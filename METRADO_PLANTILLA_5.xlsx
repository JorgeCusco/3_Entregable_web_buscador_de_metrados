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CB753F4-05E6-4EB4-84FC-AA6BC3F01C7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etrado Estructuras" sheetId="2" state="hidden" r:id="rId1"/>
    <sheet name="METRADO" sheetId="3" r:id="rId2"/>
    <sheet name="Hoja1" sheetId="4" state="hidden" r:id="rId3"/>
  </sheets>
  <definedNames>
    <definedName name="KR">Hoja1!$AV$35:$BN$36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2" l="1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R9" i="2"/>
  <c r="P12" i="2" l="1"/>
  <c r="P10" i="2"/>
  <c r="P11" i="2"/>
  <c r="Q9" i="2" l="1"/>
</calcChain>
</file>

<file path=xl/sharedStrings.xml><?xml version="1.0" encoding="utf-8"?>
<sst xmlns="http://schemas.openxmlformats.org/spreadsheetml/2006/main" count="322" uniqueCount="230">
  <si>
    <t>HOJA DE METRADOS DIARIOS DE PARTIDAS PROGRAMADAS SEGÚN EXPEDIENTE TECNICO</t>
  </si>
  <si>
    <t>OBRA</t>
  </si>
  <si>
    <t>PARTIDA</t>
  </si>
  <si>
    <t>DESCRIPCION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</si>
  <si>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</si>
  <si>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</si>
  <si>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</si>
  <si>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</si>
  <si>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</si>
  <si>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</si>
  <si>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</si>
  <si>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</si>
  <si>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</si>
  <si>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</si>
  <si>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</si>
  <si>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</si>
  <si>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</si>
  <si>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</si>
  <si>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</si>
  <si>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UND</t>
  </si>
  <si>
    <t>OE.2.3.7.3</t>
  </si>
  <si>
    <t>Columnas - acero f'y=4200 Kg/cm2</t>
  </si>
  <si>
    <t>ANCHO/EMPAME</t>
  </si>
  <si>
    <t>ALTURA/GANCHO</t>
  </si>
  <si>
    <t>bloque 5 2DO NIVEL</t>
  </si>
  <si>
    <t>COLUMNA</t>
  </si>
  <si>
    <t>ACERO LONGUTDINAL</t>
  </si>
  <si>
    <t>EMPALME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</si>
  <si>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</si>
  <si>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</si>
  <si>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</si>
  <si>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GRADO</t>
  </si>
  <si>
    <t>FECHA</t>
  </si>
  <si>
    <t>ESPECIALIDAD</t>
  </si>
  <si>
    <t>FRENTE</t>
  </si>
  <si>
    <t>BLOQUE</t>
  </si>
  <si>
    <t>NIVEL (PISO)</t>
  </si>
  <si>
    <t>CUADRILLA</t>
  </si>
  <si>
    <t>GRADO 1</t>
  </si>
  <si>
    <t>GRADO 2</t>
  </si>
  <si>
    <t>GRADO 3</t>
  </si>
  <si>
    <t>GRADO 4</t>
  </si>
  <si>
    <t>DESCRIPCIÓN</t>
  </si>
  <si>
    <t>PARCIAL</t>
  </si>
  <si>
    <t>ACERO</t>
  </si>
  <si>
    <t>TOTAL 2</t>
  </si>
  <si>
    <t>UNIDAD</t>
  </si>
  <si>
    <t>MODIF.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</si>
  <si>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</si>
  <si>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</si>
  <si>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</si>
  <si>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</si>
  <si>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</si>
  <si>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</si>
  <si>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</si>
  <si>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</si>
  <si>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</si>
  <si>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</si>
  <si>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</si>
  <si>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Item</t>
  </si>
  <si>
    <t>Descripción</t>
  </si>
  <si>
    <t>Und.</t>
  </si>
  <si>
    <t>Metrado</t>
  </si>
  <si>
    <t>Precio S/.</t>
  </si>
  <si>
    <t>Parcial S/.</t>
  </si>
  <si>
    <t>01</t>
  </si>
  <si>
    <t>TRABAJOS PRELIMINARES</t>
  </si>
  <si>
    <t>01.01</t>
  </si>
  <si>
    <t>CAMPAMENTO PROVISIONAL DE LA OBRA</t>
  </si>
  <si>
    <t>m2</t>
  </si>
  <si>
    <t>01.02</t>
  </si>
  <si>
    <t>SUMINISTRO Y COLOCACION DE CARTEL DE OBRA DE 2.40x3.60mts</t>
  </si>
  <si>
    <t>und</t>
  </si>
  <si>
    <t>01.03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</si>
  <si>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</si>
  <si>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</si>
  <si>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</si>
  <si>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</si>
  <si>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</si>
  <si>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</si>
  <si>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</si>
  <si>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</si>
  <si>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01.06</t>
  </si>
  <si>
    <t>TRAZO Y REPLANTEO</t>
  </si>
  <si>
    <t>01.07</t>
  </si>
  <si>
    <t>TRAZO Y REPLANTEO DURANTE EL PROCESO</t>
  </si>
  <si>
    <t>02</t>
  </si>
  <si>
    <t>ESTRIBOS</t>
  </si>
  <si>
    <t>02.01</t>
  </si>
  <si>
    <t>EXCAVACION CON MAQUINARIA</t>
  </si>
  <si>
    <t>m3</t>
  </si>
  <si>
    <t>02.02</t>
  </si>
  <si>
    <t>EXCAVACION CON MAQUINARIA BAJO AGUA</t>
  </si>
  <si>
    <t>02.03</t>
  </si>
  <si>
    <t>ELIMINACION DE MATERIAL EXCEDENTE</t>
  </si>
  <si>
    <t>02.04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</si>
  <si>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</si>
  <si>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</si>
  <si>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</si>
  <si>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</si>
  <si>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</si>
  <si>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</si>
  <si>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</si>
  <si>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</si>
  <si>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</si>
  <si>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</si>
  <si>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</si>
  <si>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</si>
  <si>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</si>
  <si>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</si>
  <si>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</si>
  <si>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</si>
  <si>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</si>
  <si>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</si>
  <si>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</si>
  <si>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</si>
  <si>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</si>
  <si>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</si>
  <si>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</si>
  <si>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</si>
  <si>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</si>
  <si>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</si>
  <si>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</si>
  <si>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</si>
  <si>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</si>
  <si>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</si>
  <si>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</si>
  <si>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</si>
  <si>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</si>
  <si>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</si>
  <si>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</si>
  <si>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</si>
  <si>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</si>
  <si>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</si>
  <si>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</si>
  <si>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</si>
  <si>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</si>
  <si>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</si>
  <si>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</si>
  <si>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</si>
  <si>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</si>
  <si>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</si>
  <si>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</si>
  <si>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</si>
  <si>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</si>
  <si>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</si>
  <si>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</si>
  <si>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MOVIMIENTO DE TIERRAS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</si>
  <si>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</si>
  <si>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</si>
  <si>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</si>
  <si>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</si>
  <si>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</si>
  <si>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</si>
  <si>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</si>
  <si>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</si>
  <si>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</si>
  <si>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</si>
  <si>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</si>
  <si>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</si>
  <si>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</si>
  <si>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</si>
  <si>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</si>
  <si>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</si>
  <si>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</si>
  <si>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</si>
  <si>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</si>
  <si>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</si>
  <si>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</si>
  <si>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</si>
  <si>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</si>
  <si>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</si>
  <si>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</si>
  <si>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</si>
  <si>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</si>
  <si>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</si>
  <si>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</si>
  <si>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</si>
  <si>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</si>
  <si>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</si>
  <si>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</si>
  <si>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</si>
  <si>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</si>
  <si>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</si>
  <si>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</si>
  <si>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</si>
  <si>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</si>
  <si>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</si>
  <si>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</si>
  <si>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</si>
  <si>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</si>
  <si>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</si>
  <si>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</si>
  <si>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</si>
  <si>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</si>
  <si>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</si>
  <si>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</si>
  <si>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</si>
  <si>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</si>
  <si>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</si>
  <si>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</si>
  <si>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</si>
  <si>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</si>
  <si>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</si>
  <si>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</si>
  <si>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</si>
  <si>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</si>
  <si>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</si>
  <si>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</si>
  <si>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</si>
  <si>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</si>
  <si>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</si>
  <si>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</si>
  <si>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</si>
  <si>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</si>
  <si>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</si>
  <si>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</si>
  <si>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</si>
  <si>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</si>
  <si>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</si>
  <si>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</si>
  <si>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</si>
  <si>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</si>
  <si>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</si>
  <si>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</si>
  <si>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</si>
  <si>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</si>
  <si>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</si>
  <si>
    <t>NOMBRES CUADRILLAS</t>
  </si>
  <si>
    <t>AUTOR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</si>
</sst>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dd\,\ yyyy"/>
    <numFmt numFmtId="165" formatCode="_ * #,##0.00_ ;_ * \-#,##0.00_ ;_ * &quot;-&quot;??_ ;_ @_ "/>
    <numFmt numFmtId="166" formatCode="#,##0.00_);\-#,##0.00"/>
    <numFmt numFmtId="167" formatCode="dd/mm/yyyy&quot;  &quot;hh&quot;:&quot;mm&quot;:&quot;ss\ AM/PM"/>
  </numFmts>
  <fonts count="18" x14ac:knownFonts="1">
    <font>
      <sz val="11"/>
      <color theme="1"/>
      <name val="Arial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16"/>
      <color theme="1"/>
      <name val="Arial Narrow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rgb="FF339966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rgb="FFC00000"/>
      <name val="Arial Narrow"/>
      <family val="2"/>
    </font>
    <font>
      <sz val="6"/>
      <color rgb="FF000000"/>
      <name val="Arial Narrow"/>
      <family val="2"/>
    </font>
    <font>
      <sz val="7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9"/>
      <color rgb="FF000000"/>
      <name val="Arial"/>
      <family val="2"/>
    </font>
    <font>
      <b/>
      <sz val="6"/>
      <color rgb="FF000000"/>
      <name val="Arial Narrow"/>
      <family val="2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2" fontId="2" fillId="2" borderId="7" xfId="0" applyNumberFormat="1" applyFont="1" applyFill="1" applyBorder="1" applyAlignment="1">
      <alignment horizontal="center"/>
    </xf>
    <xf numFmtId="0" fontId="2" fillId="0" borderId="0" xfId="0" applyFont="1"/>
    <xf numFmtId="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2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center"/>
    </xf>
    <xf numFmtId="12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left"/>
    </xf>
    <xf numFmtId="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4" fontId="1" fillId="0" borderId="0" xfId="0" applyNumberFormat="1" applyFont="1"/>
    <xf numFmtId="2" fontId="11" fillId="0" borderId="7" xfId="0" applyNumberFormat="1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6" fontId="16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7" fontId="14" fillId="0" borderId="0" xfId="0" applyNumberFormat="1" applyFont="1" applyAlignment="1">
      <alignment horizontal="right" vertical="center"/>
    </xf>
    <xf numFmtId="2" fontId="10" fillId="0" borderId="7" xfId="0" applyNumberFormat="1" applyFont="1" applyBorder="1" applyAlignment="1">
      <alignment horizontal="center"/>
    </xf>
    <xf numFmtId="0" fontId="17" fillId="0" borderId="0" xfId="0" applyFont="1"/>
    <xf numFmtId="0" fontId="10" fillId="3" borderId="0" xfId="0" applyFont="1" applyFill="1"/>
    <xf numFmtId="2" fontId="10" fillId="0" borderId="6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2" fontId="10" fillId="0" borderId="11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12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left"/>
    </xf>
    <xf numFmtId="2" fontId="9" fillId="0" borderId="9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11" fillId="0" borderId="8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4" fontId="1" fillId="2" borderId="2" xfId="0" applyNumberFormat="1" applyFont="1" applyFill="1" applyBorder="1" applyAlignment="1">
      <alignment horizontal="right" vertical="center"/>
    </xf>
    <xf numFmtId="0" fontId="5" fillId="0" borderId="2" xfId="0" applyFont="1" applyBorder="1"/>
    <xf numFmtId="2" fontId="2" fillId="2" borderId="4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2" fontId="2" fillId="2" borderId="3" xfId="0" applyNumberFormat="1" applyFont="1" applyFill="1" applyBorder="1" applyAlignment="1">
      <alignment horizontal="center" vertical="center"/>
    </xf>
    <xf numFmtId="0" fontId="5" fillId="0" borderId="8" xfId="0" applyFont="1" applyBorder="1"/>
    <xf numFmtId="2" fontId="2" fillId="2" borderId="3" xfId="0" applyNumberFormat="1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b/>
        <strike val="0"/>
        <outline val="0"/>
        <shadow val="0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/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rgb="FFC0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rgb="FFC0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strike val="0"/>
        <outline val="0"/>
        <shadow val="0"/>
        <vertAlign val="baseline"/>
        <color auto="1"/>
      </font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trike val="0"/>
        <outline val="0"/>
        <shadow val="0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8524875" cy="1143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0</xdr:rowOff>
    </xdr:from>
    <xdr:ext cx="4829175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AA419" headerRowCount="0" headerRowDxfId="28" totalsRowDxfId="26" tableBorderDxfId="27">
  <tableColumns count="26">
    <tableColumn id="1" xr3:uid="{00000000-0010-0000-0000-000001000000}" name="GRADO" dataDxfId="25"/>
    <tableColumn id="2" xr3:uid="{00000000-0010-0000-0000-000002000000}" name="FECHA" dataDxfId="24"/>
    <tableColumn id="3" xr3:uid="{00000000-0010-0000-0000-000003000000}" name="ESPECIALIDAD" dataDxfId="23"/>
    <tableColumn id="4" xr3:uid="{00000000-0010-0000-0000-000004000000}" name="FRENTE" dataDxfId="22"/>
    <tableColumn id="5" xr3:uid="{00000000-0010-0000-0000-000005000000}" name="BLOQUE" dataDxfId="21"/>
    <tableColumn id="6" xr3:uid="{00000000-0010-0000-0000-000006000000}" name="NIVEL (PISO)" dataDxfId="20"/>
    <tableColumn id="7" xr3:uid="{00000000-0010-0000-0000-000007000000}" name="CUADRILLA" dataDxfId="19"/>
    <tableColumn id="8" xr3:uid="{00000000-0010-0000-0000-000008000000}" name="GRADO 1" dataDxfId="18"/>
    <tableColumn id="9" xr3:uid="{00000000-0010-0000-0000-000009000000}" name="GRADO 2" dataDxfId="17"/>
    <tableColumn id="10" xr3:uid="{00000000-0010-0000-0000-00000A000000}" name="GRADO 3" dataDxfId="16"/>
    <tableColumn id="11" xr3:uid="{00000000-0010-0000-0000-00000B000000}" name="GRADO 4" dataDxfId="15"/>
    <tableColumn id="12" xr3:uid="{00000000-0010-0000-0000-00000C000000}" name="PARTIDA" dataDxfId="14"/>
    <tableColumn id="13" xr3:uid="{00000000-0010-0000-0000-00000D000000}" name="DESCRIPCIÓN" dataDxfId="13"/>
    <tableColumn id="14" xr3:uid="{00000000-0010-0000-0000-00000E000000}" name="CANTIDAD" dataDxfId="12"/>
    <tableColumn id="15" xr3:uid="{00000000-0010-0000-0000-00000F000000}" name="LONGITUD/AREA" dataDxfId="11"/>
    <tableColumn id="16" xr3:uid="{00000000-0010-0000-0000-000010000000}" name="ANCHO / EMPAME" dataDxfId="10"/>
    <tableColumn id="17" xr3:uid="{00000000-0010-0000-0000-000011000000}" name="ALTURA / L.GANCHO" dataDxfId="9"/>
    <tableColumn id="18" xr3:uid="{00000000-0010-0000-0000-000012000000}" name="PARCIAL" dataDxfId="8"/>
    <tableColumn id="19" xr3:uid="{00000000-0010-0000-0000-000013000000}" name="N° VECES" dataDxfId="7"/>
    <tableColumn id="20" xr3:uid="{00000000-0010-0000-0000-000014000000}" name="ACERO" dataDxfId="6"/>
    <tableColumn id="21" xr3:uid="{00000000-0010-0000-0000-000015000000}" name="TOTAL" dataDxfId="5"/>
    <tableColumn id="22" xr3:uid="{00000000-0010-0000-0000-000016000000}" name="TOTAL 2" dataDxfId="4"/>
    <tableColumn id="23" xr3:uid="{00000000-0010-0000-0000-000017000000}" name="UNIDAD" dataDxfId="3"/>
    <tableColumn id="24" xr3:uid="{00000000-0010-0000-0000-000018000000}" name="MODIF." dataDxfId="2"/>
    <tableColumn id="25" xr3:uid="{3865C319-53D6-41C8-9C4C-31FA4F4E0948}" name="Columna1" dataDxfId="1"/>
    <tableColumn id="26" xr3:uid="{F0183D40-AE54-4413-976E-0B00C7B637A5}" name="Columna2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2.69921875" defaultRowHeight="13.8" x14ac:dyDescent="0.25"/>
  <cols>
    <col min="1" max="1" width="3.69921875" customWidth="1"/>
    <col min="2" max="2" width="11.3984375" customWidth="1"/>
    <col min="3" max="3" width="44.3984375" customWidth="1"/>
    <col min="4" max="4" width="10.296875" customWidth="1"/>
    <col min="5" max="5" width="11.3984375" customWidth="1"/>
    <col min="6" max="7" width="11.3984375" hidden="1" customWidth="1"/>
    <col min="8" max="8" width="8.69921875" customWidth="1"/>
    <col min="9" max="9" width="5.69921875" customWidth="1"/>
    <col min="10" max="15" width="6.69921875" customWidth="1"/>
    <col min="16" max="16" width="11.69921875" customWidth="1"/>
    <col min="17" max="17" width="11.3984375" customWidth="1"/>
    <col min="18" max="18" width="6.3984375" customWidth="1"/>
    <col min="19" max="26" width="11.3984375" customWidth="1"/>
  </cols>
  <sheetData>
    <row r="1" spans="1:26" ht="93" customHeight="1" x14ac:dyDescent="0.25">
      <c r="A1" s="1"/>
      <c r="B1" s="1"/>
      <c r="C1" s="1"/>
      <c r="D1" s="2"/>
      <c r="E1" s="2"/>
      <c r="F1" s="2"/>
      <c r="G1" s="2"/>
      <c r="H1" s="55" t="s">
        <v>0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 t="s">
        <v>1</v>
      </c>
      <c r="C2" s="1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"/>
      <c r="B4" s="57">
        <v>45809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5">
      <c r="A5" s="1"/>
      <c r="B5" s="62" t="s">
        <v>2</v>
      </c>
      <c r="C5" s="64" t="s">
        <v>3</v>
      </c>
      <c r="D5" s="62" t="s">
        <v>4</v>
      </c>
      <c r="E5" s="65" t="s">
        <v>5</v>
      </c>
      <c r="F5" s="65" t="s">
        <v>6</v>
      </c>
      <c r="G5" s="65" t="s">
        <v>7</v>
      </c>
      <c r="H5" s="65" t="s">
        <v>8</v>
      </c>
      <c r="I5" s="65" t="s">
        <v>9</v>
      </c>
      <c r="J5" s="59" t="s">
        <v>10</v>
      </c>
      <c r="K5" s="60"/>
      <c r="L5" s="60"/>
      <c r="M5" s="60"/>
      <c r="N5" s="60"/>
      <c r="O5" s="61"/>
      <c r="P5" s="4"/>
      <c r="Q5" s="5"/>
      <c r="R5" s="6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25">
      <c r="A6" s="1"/>
      <c r="B6" s="63"/>
      <c r="C6" s="63"/>
      <c r="D6" s="63"/>
      <c r="E6" s="63"/>
      <c r="F6" s="63"/>
      <c r="G6" s="63"/>
      <c r="H6" s="63"/>
      <c r="I6" s="63"/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4" t="s">
        <v>17</v>
      </c>
      <c r="Q6" s="5" t="s">
        <v>18</v>
      </c>
      <c r="R6" s="6" t="s">
        <v>19</v>
      </c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5">
      <c r="A7" s="8"/>
      <c r="B7" s="9" t="s">
        <v>20</v>
      </c>
      <c r="C7" s="10" t="s">
        <v>21</v>
      </c>
      <c r="D7" s="9"/>
      <c r="E7" s="9"/>
      <c r="F7" s="9"/>
      <c r="G7" s="11"/>
      <c r="H7" s="11"/>
      <c r="I7" s="11"/>
      <c r="J7" s="11"/>
      <c r="K7" s="11"/>
      <c r="L7" s="11"/>
      <c r="M7" s="11"/>
      <c r="N7" s="11"/>
      <c r="O7" s="11" t="s">
        <v>4</v>
      </c>
      <c r="P7" s="11" t="s">
        <v>5</v>
      </c>
      <c r="Q7" s="12" t="s">
        <v>22</v>
      </c>
      <c r="R7" s="11" t="s">
        <v>23</v>
      </c>
      <c r="S7" s="8"/>
      <c r="T7" s="8"/>
      <c r="U7" s="8"/>
      <c r="V7" s="8"/>
      <c r="W7" s="8"/>
      <c r="X7" s="8"/>
      <c r="Y7" s="8"/>
      <c r="Z7" s="8"/>
    </row>
    <row r="8" spans="1:26" ht="9.75" customHeight="1" x14ac:dyDescent="0.25">
      <c r="A8" s="8"/>
      <c r="B8" s="13"/>
      <c r="C8" s="14" t="s">
        <v>24</v>
      </c>
      <c r="D8" s="15"/>
      <c r="E8" s="15"/>
      <c r="F8" s="15"/>
      <c r="G8" s="11"/>
      <c r="H8" s="16"/>
      <c r="I8" s="17"/>
      <c r="J8" s="18"/>
      <c r="K8" s="18"/>
      <c r="L8" s="18"/>
      <c r="M8" s="18"/>
      <c r="N8" s="18"/>
      <c r="O8" s="18"/>
      <c r="P8" s="16"/>
      <c r="Q8" s="12"/>
      <c r="R8" s="11"/>
      <c r="S8" s="8"/>
      <c r="T8" s="8"/>
      <c r="U8" s="8"/>
      <c r="V8" s="8"/>
      <c r="W8" s="8"/>
      <c r="X8" s="8"/>
      <c r="Y8" s="8"/>
      <c r="Z8" s="8"/>
    </row>
    <row r="9" spans="1:26" ht="9.75" customHeight="1" x14ac:dyDescent="0.25">
      <c r="A9" s="1"/>
      <c r="B9" s="19"/>
      <c r="C9" s="20" t="s">
        <v>25</v>
      </c>
      <c r="D9" s="15"/>
      <c r="E9" s="15"/>
      <c r="F9" s="15"/>
      <c r="G9" s="11"/>
      <c r="H9" s="11"/>
      <c r="I9" s="11"/>
      <c r="J9" s="18"/>
      <c r="K9" s="18"/>
      <c r="L9" s="18"/>
      <c r="M9" s="18"/>
      <c r="N9" s="18"/>
      <c r="O9" s="18"/>
      <c r="P9" s="11"/>
      <c r="Q9" s="12">
        <f>SUM(P9:P14)</f>
        <v>1498.6879999999999</v>
      </c>
      <c r="R9" s="11" t="e">
        <f>+#REF!</f>
        <v>#REF!</v>
      </c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25">
      <c r="A10" s="1"/>
      <c r="B10" s="16"/>
      <c r="C10" s="20" t="s">
        <v>26</v>
      </c>
      <c r="D10" s="16">
        <v>4</v>
      </c>
      <c r="E10" s="16">
        <v>4.5</v>
      </c>
      <c r="F10" s="16"/>
      <c r="G10" s="16"/>
      <c r="H10" s="16">
        <v>20</v>
      </c>
      <c r="I10" s="16" t="s">
        <v>16</v>
      </c>
      <c r="J10" s="18">
        <f t="shared" ref="J10:J21" si="0">+IF(I10=$J$6,D10*E10*H10*0.254,0)</f>
        <v>0</v>
      </c>
      <c r="K10" s="18">
        <f t="shared" ref="K10:K21" si="1">+IF(I10=$K$6,D10*E10*H10*0.56,0)</f>
        <v>0</v>
      </c>
      <c r="L10" s="18">
        <f t="shared" ref="L10:L21" si="2">+IF(I10=$L$6,D10*E10*H10*0.994,0)</f>
        <v>0</v>
      </c>
      <c r="M10" s="18">
        <f t="shared" ref="M10:M21" si="3">+IF(I10=$M$6,D10*E10*H10*1.55,0)</f>
        <v>0</v>
      </c>
      <c r="N10" s="18">
        <f t="shared" ref="N10:N21" si="4">+IF(I10=$N$6,D10*E10*H10*2.24,0)</f>
        <v>0</v>
      </c>
      <c r="O10" s="18">
        <f t="shared" ref="O10:O21" si="5">+IF(I10=$O$6,D10*E10*H10*3.97,0)</f>
        <v>1429.2</v>
      </c>
      <c r="P10" s="16">
        <f t="shared" ref="P10:P12" si="6">+SUM(J10:O10)</f>
        <v>1429.2</v>
      </c>
      <c r="Q10" s="21"/>
      <c r="R10" s="22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5">
      <c r="A11" s="1"/>
      <c r="B11" s="16"/>
      <c r="C11" s="20" t="s">
        <v>27</v>
      </c>
      <c r="D11" s="16">
        <v>2</v>
      </c>
      <c r="E11" s="16">
        <v>1.8</v>
      </c>
      <c r="F11" s="16"/>
      <c r="G11" s="16"/>
      <c r="H11" s="16">
        <v>4</v>
      </c>
      <c r="I11" s="16" t="s">
        <v>16</v>
      </c>
      <c r="J11" s="18">
        <f t="shared" si="0"/>
        <v>0</v>
      </c>
      <c r="K11" s="18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0</v>
      </c>
      <c r="O11" s="18">
        <f t="shared" si="5"/>
        <v>57.168000000000006</v>
      </c>
      <c r="P11" s="16">
        <f t="shared" si="6"/>
        <v>57.168000000000006</v>
      </c>
      <c r="Q11" s="21"/>
      <c r="R11" s="22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25">
      <c r="A12" s="1"/>
      <c r="B12" s="16"/>
      <c r="C12" s="20"/>
      <c r="D12" s="16">
        <v>20</v>
      </c>
      <c r="E12" s="16">
        <v>1.1000000000000001</v>
      </c>
      <c r="F12" s="16"/>
      <c r="G12" s="16"/>
      <c r="H12" s="16">
        <v>1</v>
      </c>
      <c r="I12" s="16" t="s">
        <v>12</v>
      </c>
      <c r="J12" s="18">
        <f t="shared" si="0"/>
        <v>0</v>
      </c>
      <c r="K12" s="18">
        <f t="shared" si="1"/>
        <v>12.32</v>
      </c>
      <c r="L12" s="18">
        <f t="shared" si="2"/>
        <v>0</v>
      </c>
      <c r="M12" s="18">
        <f t="shared" si="3"/>
        <v>0</v>
      </c>
      <c r="N12" s="18">
        <f t="shared" si="4"/>
        <v>0</v>
      </c>
      <c r="O12" s="18">
        <f t="shared" si="5"/>
        <v>0</v>
      </c>
      <c r="P12" s="16">
        <f t="shared" si="6"/>
        <v>12.32</v>
      </c>
      <c r="Q12" s="21"/>
      <c r="R12" s="22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8">
        <f t="shared" si="0"/>
        <v>0</v>
      </c>
      <c r="K13" s="18">
        <f t="shared" si="1"/>
        <v>0</v>
      </c>
      <c r="L13" s="18">
        <f t="shared" si="2"/>
        <v>0</v>
      </c>
      <c r="M13" s="18">
        <f t="shared" si="3"/>
        <v>0</v>
      </c>
      <c r="N13" s="18">
        <f t="shared" si="4"/>
        <v>0</v>
      </c>
      <c r="O13" s="18">
        <f t="shared" si="5"/>
        <v>0</v>
      </c>
      <c r="P13" s="16"/>
      <c r="Q13" s="21"/>
      <c r="R13" s="22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5">
      <c r="A14" s="1"/>
      <c r="B14" s="19"/>
      <c r="C14" s="23"/>
      <c r="D14" s="15"/>
      <c r="E14" s="15"/>
      <c r="F14" s="15"/>
      <c r="G14" s="11"/>
      <c r="H14" s="11"/>
      <c r="I14" s="11"/>
      <c r="J14" s="18">
        <f t="shared" si="0"/>
        <v>0</v>
      </c>
      <c r="K14" s="18">
        <f t="shared" si="1"/>
        <v>0</v>
      </c>
      <c r="L14" s="18">
        <f t="shared" si="2"/>
        <v>0</v>
      </c>
      <c r="M14" s="18">
        <f t="shared" si="3"/>
        <v>0</v>
      </c>
      <c r="N14" s="18">
        <f t="shared" si="4"/>
        <v>0</v>
      </c>
      <c r="O14" s="18">
        <f t="shared" si="5"/>
        <v>0</v>
      </c>
      <c r="P14" s="11"/>
      <c r="Q14" s="12"/>
      <c r="R14" s="1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25">
      <c r="A15" s="1"/>
      <c r="B15" s="16"/>
      <c r="C15" s="20"/>
      <c r="D15" s="16"/>
      <c r="E15" s="16"/>
      <c r="F15" s="16"/>
      <c r="G15" s="16"/>
      <c r="H15" s="16"/>
      <c r="I15" s="16"/>
      <c r="J15" s="18">
        <f t="shared" si="0"/>
        <v>0</v>
      </c>
      <c r="K15" s="18">
        <f t="shared" si="1"/>
        <v>0</v>
      </c>
      <c r="L15" s="18">
        <f t="shared" si="2"/>
        <v>0</v>
      </c>
      <c r="M15" s="18">
        <f t="shared" si="3"/>
        <v>0</v>
      </c>
      <c r="N15" s="18">
        <f t="shared" si="4"/>
        <v>0</v>
      </c>
      <c r="O15" s="18">
        <f t="shared" si="5"/>
        <v>0</v>
      </c>
      <c r="P15" s="16"/>
      <c r="Q15" s="21"/>
      <c r="R15" s="22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25">
      <c r="A16" s="1"/>
      <c r="B16" s="16"/>
      <c r="C16" s="16"/>
      <c r="D16" s="16"/>
      <c r="E16" s="16"/>
      <c r="F16" s="16"/>
      <c r="G16" s="16"/>
      <c r="H16" s="16"/>
      <c r="I16" s="16"/>
      <c r="J16" s="18">
        <f t="shared" si="0"/>
        <v>0</v>
      </c>
      <c r="K16" s="18">
        <f t="shared" si="1"/>
        <v>0</v>
      </c>
      <c r="L16" s="18">
        <f t="shared" si="2"/>
        <v>0</v>
      </c>
      <c r="M16" s="18">
        <f t="shared" si="3"/>
        <v>0</v>
      </c>
      <c r="N16" s="18">
        <f t="shared" si="4"/>
        <v>0</v>
      </c>
      <c r="O16" s="18">
        <f t="shared" si="5"/>
        <v>0</v>
      </c>
      <c r="P16" s="16"/>
      <c r="Q16" s="21"/>
      <c r="R16" s="22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5">
      <c r="A17" s="8"/>
      <c r="B17" s="19"/>
      <c r="C17" s="23"/>
      <c r="D17" s="15"/>
      <c r="E17" s="15"/>
      <c r="F17" s="15"/>
      <c r="G17" s="11"/>
      <c r="H17" s="11"/>
      <c r="I17" s="11"/>
      <c r="J17" s="18">
        <f t="shared" si="0"/>
        <v>0</v>
      </c>
      <c r="K17" s="18">
        <f t="shared" si="1"/>
        <v>0</v>
      </c>
      <c r="L17" s="18">
        <f t="shared" si="2"/>
        <v>0</v>
      </c>
      <c r="M17" s="18">
        <f t="shared" si="3"/>
        <v>0</v>
      </c>
      <c r="N17" s="18">
        <f t="shared" si="4"/>
        <v>0</v>
      </c>
      <c r="O17" s="18">
        <f t="shared" si="5"/>
        <v>0</v>
      </c>
      <c r="P17" s="11"/>
      <c r="Q17" s="12"/>
      <c r="R17" s="11"/>
      <c r="S17" s="8"/>
      <c r="T17" s="8"/>
      <c r="U17" s="8"/>
      <c r="V17" s="8"/>
      <c r="W17" s="8"/>
      <c r="X17" s="8"/>
      <c r="Y17" s="8"/>
      <c r="Z17" s="8"/>
    </row>
    <row r="18" spans="1:26" ht="9.75" customHeight="1" x14ac:dyDescent="0.25">
      <c r="A18" s="1"/>
      <c r="B18" s="16"/>
      <c r="C18" s="20"/>
      <c r="D18" s="16"/>
      <c r="E18" s="16"/>
      <c r="F18" s="16"/>
      <c r="G18" s="16"/>
      <c r="H18" s="16"/>
      <c r="I18" s="16"/>
      <c r="J18" s="18">
        <f t="shared" si="0"/>
        <v>0</v>
      </c>
      <c r="K18" s="18">
        <f t="shared" si="1"/>
        <v>0</v>
      </c>
      <c r="L18" s="18">
        <f t="shared" si="2"/>
        <v>0</v>
      </c>
      <c r="M18" s="18">
        <f t="shared" si="3"/>
        <v>0</v>
      </c>
      <c r="N18" s="18">
        <f t="shared" si="4"/>
        <v>0</v>
      </c>
      <c r="O18" s="18">
        <f t="shared" si="5"/>
        <v>0</v>
      </c>
      <c r="P18" s="16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25">
      <c r="A19" s="1"/>
      <c r="B19" s="16"/>
      <c r="C19" s="16"/>
      <c r="D19" s="16"/>
      <c r="E19" s="16"/>
      <c r="F19" s="16"/>
      <c r="G19" s="16"/>
      <c r="H19" s="16"/>
      <c r="I19" s="16"/>
      <c r="J19" s="18">
        <f t="shared" si="0"/>
        <v>0</v>
      </c>
      <c r="K19" s="18">
        <f t="shared" si="1"/>
        <v>0</v>
      </c>
      <c r="L19" s="18">
        <f t="shared" si="2"/>
        <v>0</v>
      </c>
      <c r="M19" s="18">
        <f t="shared" si="3"/>
        <v>0</v>
      </c>
      <c r="N19" s="18">
        <f t="shared" si="4"/>
        <v>0</v>
      </c>
      <c r="O19" s="18">
        <f t="shared" si="5"/>
        <v>0</v>
      </c>
      <c r="P19" s="16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5">
      <c r="A20" s="1"/>
      <c r="B20" s="19"/>
      <c r="C20" s="23"/>
      <c r="D20" s="15"/>
      <c r="E20" s="15"/>
      <c r="F20" s="15"/>
      <c r="G20" s="11"/>
      <c r="H20" s="11"/>
      <c r="I20" s="11"/>
      <c r="J20" s="18">
        <f t="shared" si="0"/>
        <v>0</v>
      </c>
      <c r="K20" s="18">
        <f t="shared" si="1"/>
        <v>0</v>
      </c>
      <c r="L20" s="18">
        <f t="shared" si="2"/>
        <v>0</v>
      </c>
      <c r="M20" s="18">
        <f t="shared" si="3"/>
        <v>0</v>
      </c>
      <c r="N20" s="18">
        <f t="shared" si="4"/>
        <v>0</v>
      </c>
      <c r="O20" s="18">
        <f t="shared" si="5"/>
        <v>0</v>
      </c>
      <c r="P20" s="11"/>
      <c r="Q20" s="12"/>
      <c r="R20" s="1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5">
      <c r="A21" s="1"/>
      <c r="B21" s="16"/>
      <c r="C21" s="20"/>
      <c r="D21" s="16"/>
      <c r="E21" s="16"/>
      <c r="F21" s="16"/>
      <c r="G21" s="16"/>
      <c r="H21" s="16"/>
      <c r="I21" s="16"/>
      <c r="J21" s="18">
        <f t="shared" si="0"/>
        <v>0</v>
      </c>
      <c r="K21" s="18">
        <f t="shared" si="1"/>
        <v>0</v>
      </c>
      <c r="L21" s="18">
        <f t="shared" si="2"/>
        <v>0</v>
      </c>
      <c r="M21" s="18">
        <f t="shared" si="3"/>
        <v>0</v>
      </c>
      <c r="N21" s="18">
        <f t="shared" si="4"/>
        <v>0</v>
      </c>
      <c r="O21" s="18">
        <f t="shared" si="5"/>
        <v>0</v>
      </c>
      <c r="P21" s="16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4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4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4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4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4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4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4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4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4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4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4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4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4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4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4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4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4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4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4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4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4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4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4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4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4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4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4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4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4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4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4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4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4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4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4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4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4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4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4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4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4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4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4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4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4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4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4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4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4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4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4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4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4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4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4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4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4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4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4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4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4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4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4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4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4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4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4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4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4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4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4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4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4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4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4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4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4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4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4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H1:R1"/>
    <mergeCell ref="B4:R4"/>
    <mergeCell ref="J5:O5"/>
    <mergeCell ref="B5:B6"/>
    <mergeCell ref="C5:C6"/>
    <mergeCell ref="D5:D6"/>
    <mergeCell ref="E5:E6"/>
    <mergeCell ref="F5:F6"/>
    <mergeCell ref="G5:G6"/>
    <mergeCell ref="H5:H6"/>
    <mergeCell ref="I5:I6"/>
  </mergeCells>
  <pageMargins left="0.78740157480314965" right="0.78740157480314965" top="0.55118110236220474" bottom="0.98425196850393704" header="0" footer="0"/>
  <pageSetup paperSize="9" orientation="portrait" useFirstPageNumber="1" horizontalDpi="4294967295" verticalDpi="4294967295"/>
  <headerFooter>
    <oddFooter>&amp;C800000&amp;F&amp;R800000&amp;P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19"/>
  <sheetViews>
    <sheetView showGridLines="0" tabSelected="1" zoomScale="51" zoomScaleNormal="51" workbookViewId="0">
      <pane ySplit="7" topLeftCell="A504" activePane="bottomLeft" state="frozen"/>
      <selection pane="bottomLeft" activeCell="V40" sqref="V40"/>
    </sheetView>
  </sheetViews>
  <sheetFormatPr baseColWidth="10" defaultColWidth="12.69921875" defaultRowHeight="13.8" x14ac:dyDescent="0.25"/>
  <cols>
    <col min="1" max="1" width="11.3984375" style="41" customWidth="1"/>
    <col min="2" max="3" width="7.3984375" style="39" customWidth="1"/>
    <col min="4" max="4" width="12.59765625" style="39" customWidth="1"/>
    <col min="5" max="7" width="6.59765625" style="39" customWidth="1"/>
    <col min="8" max="8" width="9.296875" style="39" customWidth="1"/>
    <col min="9" max="12" width="8.8984375" style="39" hidden="1" customWidth="1"/>
    <col min="13" max="13" width="55.09765625" style="39" customWidth="1"/>
    <col min="14" max="14" width="42.09765625" style="39" customWidth="1"/>
    <col min="15" max="15" width="9.69921875" style="39" customWidth="1"/>
    <col min="16" max="16" width="13.3984375" style="39" customWidth="1"/>
    <col min="17" max="17" width="14.3984375" style="39" customWidth="1"/>
    <col min="18" max="18" width="15.09765625" style="39" customWidth="1"/>
    <col min="19" max="19" width="7" style="39" customWidth="1"/>
    <col min="20" max="20" width="5.8984375" style="39" customWidth="1"/>
    <col min="21" max="21" width="6.3984375" style="39" customWidth="1"/>
    <col min="22" max="22" width="9.09765625" style="39" customWidth="1"/>
    <col min="23" max="23" width="8" style="25" customWidth="1"/>
    <col min="24" max="24" width="5.796875" style="25" customWidth="1"/>
    <col min="25" max="25" width="10.3984375" style="39" customWidth="1"/>
    <col min="26" max="26" width="55.09765625" style="39" customWidth="1"/>
    <col min="27" max="27" width="19.59765625" style="39" customWidth="1"/>
    <col min="28" max="16384" width="12.69921875" style="40"/>
  </cols>
  <sheetData>
    <row r="1" spans="1:27" s="48" customFormat="1" ht="19.5" customHeight="1" x14ac:dyDescent="0.2">
      <c r="A1" s="41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53"/>
      <c r="X1" s="53"/>
      <c r="Y1" s="47"/>
      <c r="Z1" s="47" t="s">
        <v>0</v>
      </c>
      <c r="AA1" s="47"/>
    </row>
    <row r="2" spans="1:27" ht="19.5" customHeight="1" x14ac:dyDescent="0.25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53"/>
      <c r="X2" s="53"/>
      <c r="Y2" s="47"/>
      <c r="Z2" s="47" t="s">
        <v>28</v>
      </c>
      <c r="AA2" s="47"/>
    </row>
    <row r="3" spans="1:27" ht="9.75" customHeight="1" x14ac:dyDescent="0.2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53"/>
      <c r="X3" s="53"/>
      <c r="Y3" s="47"/>
      <c r="Z3" s="47"/>
      <c r="AA3" s="47"/>
    </row>
    <row r="4" spans="1:27" ht="9.75" customHeight="1" x14ac:dyDescent="0.25">
      <c r="B4" s="48" t="s">
        <v>29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53"/>
      <c r="X4" s="53"/>
      <c r="Y4" s="47"/>
      <c r="Z4" s="47"/>
      <c r="AA4" s="47"/>
    </row>
    <row r="5" spans="1:27" ht="9.75" customHeight="1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53"/>
      <c r="X5" s="53"/>
      <c r="Y5" s="47"/>
      <c r="Z5" s="47" t="s">
        <v>30</v>
      </c>
      <c r="AA5" s="47"/>
    </row>
    <row r="6" spans="1:27" ht="15" customHeight="1" x14ac:dyDescent="0.2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53"/>
      <c r="X6" s="53"/>
      <c r="Y6" s="47"/>
      <c r="Z6" s="47"/>
      <c r="AA6" s="47"/>
    </row>
    <row r="7" spans="1:27" ht="25.2" customHeight="1" x14ac:dyDescent="0.25">
      <c r="B7" s="49" t="s">
        <v>31</v>
      </c>
      <c r="C7" s="50" t="s">
        <v>32</v>
      </c>
      <c r="D7" s="50" t="s">
        <v>33</v>
      </c>
      <c r="E7" s="50" t="s">
        <v>34</v>
      </c>
      <c r="F7" s="50" t="s">
        <v>35</v>
      </c>
      <c r="G7" s="50" t="s">
        <v>36</v>
      </c>
      <c r="H7" s="50" t="s">
        <v>37</v>
      </c>
      <c r="I7" s="50" t="s">
        <v>38</v>
      </c>
      <c r="J7" s="50" t="s">
        <v>39</v>
      </c>
      <c r="K7" s="50" t="s">
        <v>40</v>
      </c>
      <c r="L7" s="50" t="s">
        <v>41</v>
      </c>
      <c r="M7" s="50" t="s">
        <v>2</v>
      </c>
      <c r="N7" s="50" t="s">
        <v>42</v>
      </c>
      <c r="O7" s="50" t="s">
        <v>4</v>
      </c>
      <c r="P7" s="50" t="s">
        <v>5</v>
      </c>
      <c r="Q7" s="50" t="s">
        <v>22</v>
      </c>
      <c r="R7" s="50" t="s">
        <v>23</v>
      </c>
      <c r="S7" s="50" t="s">
        <v>43</v>
      </c>
      <c r="T7" s="50" t="s">
        <v>8</v>
      </c>
      <c r="U7" s="50" t="s">
        <v>44</v>
      </c>
      <c r="V7" s="50" t="s">
        <v>18</v>
      </c>
      <c r="W7" s="52" t="s">
        <v>45</v>
      </c>
      <c r="X7" s="52" t="s">
        <v>46</v>
      </c>
      <c r="Y7" s="50" t="s">
        <v>47</v>
      </c>
      <c r="Z7" s="50" t="s">
        <v>228</v>
      </c>
      <c r="AA7" s="51" t="s">
        <v>229</v>
      </c>
    </row>
    <row r="8" spans="1:27" ht="12.75" customHeight="1" x14ac:dyDescent="0.25">
      <c r="B8" s="42"/>
      <c r="AA8" s="43"/>
    </row>
    <row r="9" spans="1:27" ht="12.75" customHeight="1" x14ac:dyDescent="0.25">
      <c r="B9" s="42"/>
      <c r="AA9" s="43"/>
    </row>
    <row r="10" spans="1:27" ht="12.75" customHeight="1" x14ac:dyDescent="0.25">
      <c r="B10" s="42"/>
      <c r="AA10" s="43"/>
    </row>
    <row r="11" spans="1:27" ht="12.75" customHeight="1" x14ac:dyDescent="0.25">
      <c r="B11" s="42"/>
      <c r="AA11" s="43"/>
    </row>
    <row r="12" spans="1:27" ht="12.75" customHeight="1" x14ac:dyDescent="0.25">
      <c r="B12" s="42"/>
      <c r="AA12" s="43"/>
    </row>
    <row r="13" spans="1:27" ht="12.75" customHeight="1" x14ac:dyDescent="0.25">
      <c r="B13" s="42"/>
      <c r="AA13" s="43"/>
    </row>
    <row r="14" spans="1:27" ht="12.75" customHeight="1" x14ac:dyDescent="0.25">
      <c r="B14" s="42"/>
      <c r="AA14" s="43"/>
    </row>
    <row r="15" spans="1:27" ht="12.75" customHeight="1" x14ac:dyDescent="0.25">
      <c r="B15" s="42"/>
      <c r="AA15" s="43"/>
    </row>
    <row r="16" spans="1:27" ht="12.75" customHeight="1" x14ac:dyDescent="0.25">
      <c r="B16" s="42"/>
      <c r="AA16" s="43"/>
    </row>
    <row r="17" spans="2:27" ht="12.75" customHeight="1" x14ac:dyDescent="0.25">
      <c r="B17" s="42"/>
      <c r="AA17" s="43"/>
    </row>
    <row r="18" spans="2:27" ht="12.75" customHeight="1" x14ac:dyDescent="0.25">
      <c r="B18" s="42"/>
      <c r="AA18" s="43"/>
    </row>
    <row r="19" spans="2:27" ht="12.75" customHeight="1" x14ac:dyDescent="0.25">
      <c r="B19" s="42"/>
      <c r="AA19" s="43"/>
    </row>
    <row r="20" spans="2:27" ht="12.75" customHeight="1" x14ac:dyDescent="0.25">
      <c r="B20" s="42"/>
      <c r="AA20" s="43"/>
    </row>
    <row r="21" spans="2:27" ht="12.75" customHeight="1" x14ac:dyDescent="0.25">
      <c r="B21" s="42"/>
      <c r="AA21" s="43"/>
    </row>
    <row r="22" spans="2:27" ht="12.75" customHeight="1" x14ac:dyDescent="0.25">
      <c r="B22" s="42"/>
      <c r="AA22" s="43"/>
    </row>
    <row r="23" spans="2:27" ht="12.75" customHeight="1" x14ac:dyDescent="0.25">
      <c r="B23" s="42"/>
      <c r="AA23" s="43"/>
    </row>
    <row r="24" spans="2:27" ht="12.75" customHeight="1" x14ac:dyDescent="0.25">
      <c r="B24" s="42"/>
      <c r="AA24" s="43"/>
    </row>
    <row r="25" spans="2:27" ht="12.75" customHeight="1" x14ac:dyDescent="0.25">
      <c r="B25" s="42"/>
      <c r="AA25" s="43"/>
    </row>
    <row r="26" spans="2:27" ht="12.75" customHeight="1" x14ac:dyDescent="0.25">
      <c r="B26" s="42"/>
      <c r="AA26" s="43"/>
    </row>
    <row r="27" spans="2:27" ht="12.75" customHeight="1" x14ac:dyDescent="0.25">
      <c r="B27" s="42"/>
      <c r="AA27" s="43"/>
    </row>
    <row r="28" spans="2:27" ht="12.75" customHeight="1" x14ac:dyDescent="0.25">
      <c r="B28" s="42"/>
      <c r="AA28" s="43"/>
    </row>
    <row r="29" spans="2:27" ht="12.75" customHeight="1" x14ac:dyDescent="0.25">
      <c r="B29" s="42"/>
      <c r="AA29" s="43"/>
    </row>
    <row r="30" spans="2:27" ht="12.75" customHeight="1" x14ac:dyDescent="0.25">
      <c r="B30" s="42"/>
      <c r="AA30" s="43"/>
    </row>
    <row r="31" spans="2:27" ht="12.75" customHeight="1" x14ac:dyDescent="0.25">
      <c r="B31" s="42"/>
      <c r="AA31" s="43"/>
    </row>
    <row r="32" spans="2:27" ht="12.75" customHeight="1" x14ac:dyDescent="0.25">
      <c r="B32" s="42"/>
      <c r="AA32" s="43"/>
    </row>
    <row r="33" spans="2:27" ht="12.75" customHeight="1" x14ac:dyDescent="0.25">
      <c r="B33" s="42"/>
      <c r="AA33" s="43"/>
    </row>
    <row r="34" spans="2:27" ht="12.75" customHeight="1" x14ac:dyDescent="0.25">
      <c r="B34" s="42"/>
      <c r="AA34" s="43"/>
    </row>
    <row r="35" spans="2:27" ht="12.75" customHeight="1" x14ac:dyDescent="0.25">
      <c r="B35" s="42"/>
      <c r="AA35" s="43"/>
    </row>
    <row r="36" spans="2:27" ht="12.75" customHeight="1" x14ac:dyDescent="0.25">
      <c r="B36" s="42"/>
      <c r="AA36" s="43"/>
    </row>
    <row r="37" spans="2:27" ht="12.75" customHeight="1" x14ac:dyDescent="0.25">
      <c r="B37" s="42"/>
      <c r="AA37" s="43"/>
    </row>
    <row r="38" spans="2:27" ht="12.75" customHeight="1" x14ac:dyDescent="0.25">
      <c r="B38" s="42"/>
      <c r="AA38" s="43"/>
    </row>
    <row r="39" spans="2:27" ht="12.75" customHeight="1" x14ac:dyDescent="0.25">
      <c r="B39" s="42"/>
      <c r="AA39" s="43"/>
    </row>
    <row r="40" spans="2:27" ht="9.75" customHeight="1" x14ac:dyDescent="0.25">
      <c r="B40" s="42"/>
      <c r="AA40" s="43"/>
    </row>
    <row r="41" spans="2:27" ht="9.75" customHeight="1" x14ac:dyDescent="0.25">
      <c r="B41" s="42"/>
      <c r="AA41" s="43"/>
    </row>
    <row r="42" spans="2:27" ht="9.75" customHeight="1" x14ac:dyDescent="0.25">
      <c r="B42" s="42"/>
      <c r="AA42" s="43"/>
    </row>
    <row r="43" spans="2:27" ht="12.75" customHeight="1" x14ac:dyDescent="0.25">
      <c r="B43" s="42"/>
      <c r="AA43" s="43"/>
    </row>
    <row r="44" spans="2:27" ht="12.75" customHeight="1" x14ac:dyDescent="0.25">
      <c r="B44" s="42"/>
      <c r="AA44" s="43"/>
    </row>
    <row r="45" spans="2:27" ht="12.75" customHeight="1" x14ac:dyDescent="0.25">
      <c r="B45" s="42"/>
      <c r="AA45" s="43"/>
    </row>
    <row r="46" spans="2:27" ht="12.75" customHeight="1" x14ac:dyDescent="0.25">
      <c r="B46" s="42"/>
      <c r="AA46" s="43"/>
    </row>
    <row r="47" spans="2:27" ht="12.75" customHeight="1" x14ac:dyDescent="0.25">
      <c r="B47" s="42"/>
      <c r="AA47" s="43"/>
    </row>
    <row r="48" spans="2:27" ht="12.75" customHeight="1" x14ac:dyDescent="0.25">
      <c r="B48" s="42"/>
      <c r="AA48" s="43"/>
    </row>
    <row r="49" spans="2:27" ht="12.75" customHeight="1" x14ac:dyDescent="0.25">
      <c r="B49" s="42"/>
      <c r="AA49" s="43"/>
    </row>
    <row r="50" spans="2:27" ht="12.75" customHeight="1" x14ac:dyDescent="0.25">
      <c r="B50" s="42"/>
      <c r="AA50" s="43"/>
    </row>
    <row r="51" spans="2:27" ht="12.75" customHeight="1" x14ac:dyDescent="0.25">
      <c r="B51" s="42"/>
      <c r="AA51" s="43"/>
    </row>
    <row r="52" spans="2:27" ht="12.75" customHeight="1" x14ac:dyDescent="0.25">
      <c r="B52" s="42"/>
      <c r="AA52" s="43"/>
    </row>
    <row r="53" spans="2:27" ht="12.75" customHeight="1" x14ac:dyDescent="0.25">
      <c r="B53" s="42"/>
      <c r="AA53" s="43"/>
    </row>
    <row r="54" spans="2:27" ht="12.75" customHeight="1" x14ac:dyDescent="0.25">
      <c r="B54" s="42"/>
      <c r="AA54" s="43"/>
    </row>
    <row r="55" spans="2:27" ht="12.75" customHeight="1" x14ac:dyDescent="0.25">
      <c r="B55" s="42"/>
      <c r="AA55" s="43"/>
    </row>
    <row r="56" spans="2:27" ht="12.75" customHeight="1" x14ac:dyDescent="0.25">
      <c r="B56" s="42"/>
      <c r="AA56" s="43"/>
    </row>
    <row r="57" spans="2:27" ht="12.75" customHeight="1" x14ac:dyDescent="0.25">
      <c r="B57" s="42"/>
      <c r="AA57" s="43"/>
    </row>
    <row r="58" spans="2:27" ht="12.75" customHeight="1" x14ac:dyDescent="0.25">
      <c r="B58" s="42"/>
      <c r="AA58" s="43"/>
    </row>
    <row r="59" spans="2:27" ht="9.75" customHeight="1" x14ac:dyDescent="0.25">
      <c r="B59" s="42"/>
      <c r="AA59" s="43"/>
    </row>
    <row r="60" spans="2:27" ht="9.75" customHeight="1" x14ac:dyDescent="0.25">
      <c r="B60" s="42"/>
      <c r="AA60" s="43"/>
    </row>
    <row r="61" spans="2:27" ht="9.75" customHeight="1" x14ac:dyDescent="0.25">
      <c r="B61" s="42"/>
      <c r="AA61" s="43"/>
    </row>
    <row r="62" spans="2:27" ht="12.75" customHeight="1" x14ac:dyDescent="0.25">
      <c r="B62" s="42"/>
      <c r="AA62" s="43"/>
    </row>
    <row r="63" spans="2:27" ht="12.75" customHeight="1" x14ac:dyDescent="0.25">
      <c r="B63" s="42"/>
      <c r="AA63" s="43"/>
    </row>
    <row r="64" spans="2:27" ht="12.75" customHeight="1" x14ac:dyDescent="0.25">
      <c r="B64" s="42"/>
      <c r="AA64" s="43"/>
    </row>
    <row r="65" spans="2:27" ht="12.75" customHeight="1" x14ac:dyDescent="0.25">
      <c r="B65" s="42"/>
      <c r="AA65" s="43"/>
    </row>
    <row r="66" spans="2:27" ht="12.75" customHeight="1" x14ac:dyDescent="0.25">
      <c r="B66" s="42"/>
      <c r="AA66" s="43"/>
    </row>
    <row r="67" spans="2:27" ht="12.75" customHeight="1" x14ac:dyDescent="0.25">
      <c r="B67" s="42"/>
      <c r="AA67" s="43"/>
    </row>
    <row r="68" spans="2:27" ht="12.75" customHeight="1" x14ac:dyDescent="0.25">
      <c r="B68" s="42"/>
      <c r="AA68" s="43"/>
    </row>
    <row r="69" spans="2:27" ht="12.75" customHeight="1" x14ac:dyDescent="0.25">
      <c r="B69" s="42"/>
      <c r="AA69" s="43"/>
    </row>
    <row r="70" spans="2:27" ht="12.75" customHeight="1" x14ac:dyDescent="0.25">
      <c r="B70" s="42"/>
      <c r="AA70" s="43"/>
    </row>
    <row r="71" spans="2:27" ht="12.75" customHeight="1" x14ac:dyDescent="0.25">
      <c r="B71" s="42"/>
      <c r="AA71" s="43"/>
    </row>
    <row r="72" spans="2:27" ht="12.75" customHeight="1" x14ac:dyDescent="0.25">
      <c r="B72" s="42"/>
      <c r="AA72" s="43"/>
    </row>
    <row r="73" spans="2:27" ht="12.75" customHeight="1" x14ac:dyDescent="0.25">
      <c r="B73" s="42"/>
      <c r="AA73" s="43"/>
    </row>
    <row r="74" spans="2:27" ht="12.75" customHeight="1" x14ac:dyDescent="0.25">
      <c r="B74" s="42"/>
      <c r="AA74" s="43"/>
    </row>
    <row r="75" spans="2:27" ht="12.75" customHeight="1" x14ac:dyDescent="0.25">
      <c r="B75" s="42"/>
      <c r="AA75" s="43"/>
    </row>
    <row r="76" spans="2:27" ht="12.75" customHeight="1" x14ac:dyDescent="0.25">
      <c r="B76" s="42"/>
      <c r="AA76" s="43"/>
    </row>
    <row r="77" spans="2:27" ht="12.75" customHeight="1" x14ac:dyDescent="0.25">
      <c r="B77" s="42"/>
      <c r="AA77" s="43"/>
    </row>
    <row r="78" spans="2:27" ht="12.75" customHeight="1" x14ac:dyDescent="0.25">
      <c r="B78" s="42"/>
      <c r="AA78" s="43"/>
    </row>
    <row r="79" spans="2:27" ht="12.75" customHeight="1" x14ac:dyDescent="0.25">
      <c r="B79" s="42"/>
      <c r="AA79" s="43"/>
    </row>
    <row r="80" spans="2:27" ht="12.75" customHeight="1" x14ac:dyDescent="0.25">
      <c r="B80" s="42"/>
      <c r="AA80" s="43"/>
    </row>
    <row r="81" spans="2:27" ht="12.75" customHeight="1" x14ac:dyDescent="0.25">
      <c r="B81" s="42"/>
      <c r="AA81" s="43"/>
    </row>
    <row r="82" spans="2:27" ht="12.75" customHeight="1" x14ac:dyDescent="0.25">
      <c r="B82" s="42"/>
      <c r="AA82" s="43"/>
    </row>
    <row r="83" spans="2:27" ht="12.75" customHeight="1" x14ac:dyDescent="0.25">
      <c r="B83" s="42"/>
      <c r="AA83" s="43"/>
    </row>
    <row r="84" spans="2:27" ht="12.75" customHeight="1" x14ac:dyDescent="0.25">
      <c r="B84" s="42"/>
      <c r="AA84" s="43"/>
    </row>
    <row r="85" spans="2:27" ht="12.75" customHeight="1" x14ac:dyDescent="0.25">
      <c r="B85" s="42"/>
      <c r="AA85" s="43"/>
    </row>
    <row r="86" spans="2:27" ht="12.75" customHeight="1" x14ac:dyDescent="0.25">
      <c r="B86" s="42"/>
      <c r="AA86" s="43"/>
    </row>
    <row r="87" spans="2:27" ht="12.75" customHeight="1" x14ac:dyDescent="0.25">
      <c r="B87" s="42"/>
      <c r="AA87" s="43"/>
    </row>
    <row r="88" spans="2:27" ht="12.75" customHeight="1" x14ac:dyDescent="0.25">
      <c r="B88" s="42"/>
      <c r="AA88" s="43"/>
    </row>
    <row r="89" spans="2:27" ht="9.75" customHeight="1" x14ac:dyDescent="0.25">
      <c r="B89" s="42"/>
      <c r="AA89" s="43"/>
    </row>
    <row r="90" spans="2:27" ht="12.75" customHeight="1" x14ac:dyDescent="0.25">
      <c r="B90" s="42"/>
      <c r="AA90" s="43"/>
    </row>
    <row r="91" spans="2:27" ht="12.75" customHeight="1" x14ac:dyDescent="0.25">
      <c r="B91" s="42"/>
      <c r="AA91" s="43"/>
    </row>
    <row r="92" spans="2:27" ht="12.75" customHeight="1" x14ac:dyDescent="0.25">
      <c r="B92" s="42"/>
      <c r="AA92" s="43"/>
    </row>
    <row r="93" spans="2:27" ht="12.75" customHeight="1" x14ac:dyDescent="0.25">
      <c r="B93" s="42"/>
      <c r="AA93" s="43"/>
    </row>
    <row r="94" spans="2:27" ht="12.75" customHeight="1" x14ac:dyDescent="0.25">
      <c r="B94" s="42"/>
      <c r="AA94" s="43"/>
    </row>
    <row r="95" spans="2:27" ht="12.75" customHeight="1" x14ac:dyDescent="0.25">
      <c r="B95" s="42"/>
      <c r="AA95" s="43"/>
    </row>
    <row r="96" spans="2:27" ht="12.75" customHeight="1" x14ac:dyDescent="0.25">
      <c r="B96" s="42"/>
      <c r="AA96" s="43"/>
    </row>
    <row r="97" spans="2:27" ht="12.75" customHeight="1" x14ac:dyDescent="0.25">
      <c r="B97" s="42"/>
      <c r="AA97" s="43"/>
    </row>
    <row r="98" spans="2:27" ht="12.75" customHeight="1" x14ac:dyDescent="0.25">
      <c r="B98" s="42"/>
      <c r="AA98" s="43"/>
    </row>
    <row r="99" spans="2:27" ht="12.75" customHeight="1" x14ac:dyDescent="0.25">
      <c r="B99" s="42"/>
      <c r="AA99" s="43"/>
    </row>
    <row r="100" spans="2:27" ht="12.75" customHeight="1" x14ac:dyDescent="0.25">
      <c r="B100" s="42"/>
      <c r="AA100" s="43"/>
    </row>
    <row r="101" spans="2:27" ht="12.75" customHeight="1" x14ac:dyDescent="0.25">
      <c r="B101" s="42"/>
      <c r="AA101" s="43"/>
    </row>
    <row r="102" spans="2:27" ht="12.75" customHeight="1" x14ac:dyDescent="0.25">
      <c r="B102" s="42"/>
      <c r="AA102" s="43"/>
    </row>
    <row r="103" spans="2:27" ht="12.75" customHeight="1" x14ac:dyDescent="0.25">
      <c r="B103" s="42"/>
      <c r="AA103" s="43"/>
    </row>
    <row r="104" spans="2:27" ht="12.75" customHeight="1" x14ac:dyDescent="0.25">
      <c r="B104" s="42"/>
      <c r="AA104" s="43"/>
    </row>
    <row r="105" spans="2:27" ht="12.75" customHeight="1" x14ac:dyDescent="0.25">
      <c r="B105" s="42"/>
      <c r="AA105" s="43"/>
    </row>
    <row r="106" spans="2:27" ht="12.75" customHeight="1" x14ac:dyDescent="0.25">
      <c r="B106" s="42"/>
      <c r="AA106" s="43"/>
    </row>
    <row r="107" spans="2:27" ht="12.75" customHeight="1" x14ac:dyDescent="0.25">
      <c r="B107" s="42"/>
      <c r="AA107" s="43"/>
    </row>
    <row r="108" spans="2:27" ht="12.75" customHeight="1" x14ac:dyDescent="0.25">
      <c r="B108" s="42"/>
      <c r="AA108" s="43"/>
    </row>
    <row r="109" spans="2:27" ht="12.75" customHeight="1" x14ac:dyDescent="0.25">
      <c r="B109" s="42"/>
      <c r="AA109" s="43"/>
    </row>
    <row r="110" spans="2:27" ht="12.75" customHeight="1" x14ac:dyDescent="0.25">
      <c r="B110" s="42"/>
      <c r="AA110" s="43"/>
    </row>
    <row r="111" spans="2:27" ht="12.75" customHeight="1" x14ac:dyDescent="0.25">
      <c r="B111" s="42"/>
      <c r="AA111" s="43"/>
    </row>
    <row r="112" spans="2:27" ht="12.75" customHeight="1" x14ac:dyDescent="0.25">
      <c r="B112" s="42"/>
      <c r="AA112" s="43"/>
    </row>
    <row r="113" spans="2:27" ht="12.75" customHeight="1" x14ac:dyDescent="0.25">
      <c r="B113" s="42"/>
      <c r="AA113" s="43"/>
    </row>
    <row r="114" spans="2:27" ht="12.75" customHeight="1" x14ac:dyDescent="0.25">
      <c r="B114" s="42"/>
      <c r="AA114" s="43"/>
    </row>
    <row r="115" spans="2:27" ht="12.75" customHeight="1" x14ac:dyDescent="0.25">
      <c r="B115" s="42"/>
      <c r="AA115" s="43"/>
    </row>
    <row r="116" spans="2:27" ht="12.75" customHeight="1" x14ac:dyDescent="0.25">
      <c r="B116" s="42"/>
      <c r="AA116" s="43"/>
    </row>
    <row r="117" spans="2:27" ht="12.75" customHeight="1" x14ac:dyDescent="0.25">
      <c r="B117" s="42"/>
      <c r="AA117" s="43"/>
    </row>
    <row r="118" spans="2:27" ht="12.75" customHeight="1" x14ac:dyDescent="0.25">
      <c r="B118" s="42"/>
      <c r="AA118" s="43"/>
    </row>
    <row r="119" spans="2:27" ht="12.75" customHeight="1" x14ac:dyDescent="0.25">
      <c r="B119" s="42"/>
      <c r="AA119" s="43"/>
    </row>
    <row r="120" spans="2:27" ht="12.75" customHeight="1" x14ac:dyDescent="0.25">
      <c r="B120" s="42"/>
      <c r="AA120" s="43"/>
    </row>
    <row r="121" spans="2:27" ht="12.75" customHeight="1" x14ac:dyDescent="0.25">
      <c r="B121" s="42"/>
      <c r="AA121" s="43"/>
    </row>
    <row r="122" spans="2:27" ht="12.75" customHeight="1" x14ac:dyDescent="0.25">
      <c r="B122" s="42"/>
      <c r="AA122" s="43"/>
    </row>
    <row r="123" spans="2:27" ht="12.75" customHeight="1" x14ac:dyDescent="0.25">
      <c r="B123" s="42"/>
      <c r="AA123" s="43"/>
    </row>
    <row r="124" spans="2:27" ht="12" customHeight="1" x14ac:dyDescent="0.25">
      <c r="B124" s="42"/>
      <c r="AA124" s="43"/>
    </row>
    <row r="125" spans="2:27" ht="12.75" customHeight="1" x14ac:dyDescent="0.25">
      <c r="B125" s="42"/>
      <c r="AA125" s="43"/>
    </row>
    <row r="126" spans="2:27" ht="12.75" customHeight="1" x14ac:dyDescent="0.25">
      <c r="B126" s="42"/>
      <c r="AA126" s="43"/>
    </row>
    <row r="127" spans="2:27" ht="12.75" customHeight="1" x14ac:dyDescent="0.25">
      <c r="B127" s="42"/>
      <c r="AA127" s="43"/>
    </row>
    <row r="128" spans="2:27" ht="12.75" customHeight="1" x14ac:dyDescent="0.25">
      <c r="B128" s="42"/>
      <c r="AA128" s="43"/>
    </row>
    <row r="129" spans="2:27" ht="12.75" customHeight="1" x14ac:dyDescent="0.25">
      <c r="B129" s="42"/>
      <c r="AA129" s="43"/>
    </row>
    <row r="130" spans="2:27" ht="12.75" customHeight="1" x14ac:dyDescent="0.25">
      <c r="B130" s="42"/>
      <c r="AA130" s="43"/>
    </row>
    <row r="131" spans="2:27" ht="12.75" customHeight="1" x14ac:dyDescent="0.25">
      <c r="B131" s="42"/>
      <c r="AA131" s="43"/>
    </row>
    <row r="132" spans="2:27" ht="12.75" customHeight="1" x14ac:dyDescent="0.25">
      <c r="B132" s="42"/>
      <c r="AA132" s="43"/>
    </row>
    <row r="133" spans="2:27" ht="12.75" customHeight="1" x14ac:dyDescent="0.25">
      <c r="B133" s="42"/>
      <c r="AA133" s="43"/>
    </row>
    <row r="134" spans="2:27" ht="12.75" customHeight="1" x14ac:dyDescent="0.25">
      <c r="B134" s="42"/>
      <c r="AA134" s="43"/>
    </row>
    <row r="135" spans="2:27" ht="12.75" customHeight="1" x14ac:dyDescent="0.25">
      <c r="B135" s="42"/>
      <c r="AA135" s="43"/>
    </row>
    <row r="136" spans="2:27" ht="12.75" customHeight="1" x14ac:dyDescent="0.25">
      <c r="B136" s="42"/>
      <c r="AA136" s="43"/>
    </row>
    <row r="137" spans="2:27" ht="12.75" customHeight="1" x14ac:dyDescent="0.25">
      <c r="B137" s="42"/>
      <c r="AA137" s="43"/>
    </row>
    <row r="138" spans="2:27" ht="12.75" customHeight="1" x14ac:dyDescent="0.25">
      <c r="B138" s="42"/>
      <c r="AA138" s="43"/>
    </row>
    <row r="139" spans="2:27" ht="12.75" customHeight="1" x14ac:dyDescent="0.25">
      <c r="B139" s="42"/>
      <c r="AA139" s="43"/>
    </row>
    <row r="140" spans="2:27" ht="12.75" customHeight="1" x14ac:dyDescent="0.25">
      <c r="B140" s="42"/>
      <c r="AA140" s="43"/>
    </row>
    <row r="141" spans="2:27" ht="12.75" customHeight="1" x14ac:dyDescent="0.25">
      <c r="B141" s="42"/>
      <c r="AA141" s="43"/>
    </row>
    <row r="142" spans="2:27" ht="12.75" customHeight="1" x14ac:dyDescent="0.25">
      <c r="B142" s="42"/>
      <c r="AA142" s="43"/>
    </row>
    <row r="143" spans="2:27" ht="12.75" customHeight="1" x14ac:dyDescent="0.25">
      <c r="B143" s="42"/>
      <c r="AA143" s="43"/>
    </row>
    <row r="144" spans="2:27" ht="9.75" customHeight="1" x14ac:dyDescent="0.25">
      <c r="B144" s="42"/>
      <c r="AA144" s="43"/>
    </row>
    <row r="145" spans="2:27" ht="9.75" customHeight="1" x14ac:dyDescent="0.25">
      <c r="B145" s="42"/>
      <c r="AA145" s="43"/>
    </row>
    <row r="146" spans="2:27" ht="9.75" customHeight="1" x14ac:dyDescent="0.25">
      <c r="B146" s="42"/>
      <c r="AA146" s="43"/>
    </row>
    <row r="147" spans="2:27" ht="12.75" customHeight="1" x14ac:dyDescent="0.25">
      <c r="B147" s="42"/>
      <c r="AA147" s="43"/>
    </row>
    <row r="148" spans="2:27" ht="12.75" customHeight="1" x14ac:dyDescent="0.25">
      <c r="B148" s="42"/>
      <c r="AA148" s="43"/>
    </row>
    <row r="149" spans="2:27" ht="12.75" customHeight="1" x14ac:dyDescent="0.25">
      <c r="B149" s="42"/>
      <c r="AA149" s="43"/>
    </row>
    <row r="150" spans="2:27" ht="12.75" customHeight="1" x14ac:dyDescent="0.25">
      <c r="B150" s="42"/>
      <c r="AA150" s="43"/>
    </row>
    <row r="151" spans="2:27" ht="12.75" customHeight="1" x14ac:dyDescent="0.25">
      <c r="B151" s="42"/>
      <c r="AA151" s="43"/>
    </row>
    <row r="152" spans="2:27" ht="12.75" customHeight="1" x14ac:dyDescent="0.25">
      <c r="B152" s="42"/>
      <c r="AA152" s="43"/>
    </row>
    <row r="153" spans="2:27" ht="12.75" customHeight="1" x14ac:dyDescent="0.25">
      <c r="B153" s="42"/>
      <c r="AA153" s="43"/>
    </row>
    <row r="154" spans="2:27" ht="12.75" customHeight="1" x14ac:dyDescent="0.25">
      <c r="B154" s="42"/>
      <c r="AA154" s="43"/>
    </row>
    <row r="155" spans="2:27" ht="12.75" customHeight="1" x14ac:dyDescent="0.25">
      <c r="B155" s="42"/>
      <c r="AA155" s="43"/>
    </row>
    <row r="156" spans="2:27" ht="12.75" customHeight="1" x14ac:dyDescent="0.25">
      <c r="B156" s="42"/>
      <c r="AA156" s="43"/>
    </row>
    <row r="157" spans="2:27" ht="12.75" customHeight="1" x14ac:dyDescent="0.25">
      <c r="B157" s="42"/>
      <c r="AA157" s="43"/>
    </row>
    <row r="158" spans="2:27" ht="12.75" customHeight="1" x14ac:dyDescent="0.25">
      <c r="B158" s="42"/>
      <c r="AA158" s="43"/>
    </row>
    <row r="159" spans="2:27" ht="12.75" customHeight="1" x14ac:dyDescent="0.25">
      <c r="B159" s="42"/>
      <c r="AA159" s="43"/>
    </row>
    <row r="160" spans="2:27" ht="12.75" customHeight="1" x14ac:dyDescent="0.25">
      <c r="B160" s="42"/>
      <c r="AA160" s="43"/>
    </row>
    <row r="161" spans="2:27" ht="12.75" customHeight="1" x14ac:dyDescent="0.25">
      <c r="B161" s="42"/>
      <c r="AA161" s="43"/>
    </row>
    <row r="162" spans="2:27" ht="12.75" customHeight="1" x14ac:dyDescent="0.25">
      <c r="B162" s="42"/>
      <c r="AA162" s="43"/>
    </row>
    <row r="163" spans="2:27" ht="12.75" customHeight="1" x14ac:dyDescent="0.25">
      <c r="B163" s="42"/>
      <c r="AA163" s="43"/>
    </row>
    <row r="164" spans="2:27" ht="12.75" customHeight="1" x14ac:dyDescent="0.25">
      <c r="B164" s="42"/>
      <c r="AA164" s="43"/>
    </row>
    <row r="165" spans="2:27" ht="12.75" customHeight="1" x14ac:dyDescent="0.25">
      <c r="B165" s="42"/>
      <c r="AA165" s="43"/>
    </row>
    <row r="166" spans="2:27" ht="9.75" customHeight="1" x14ac:dyDescent="0.25">
      <c r="B166" s="42"/>
      <c r="AA166" s="43"/>
    </row>
    <row r="167" spans="2:27" ht="12.75" customHeight="1" x14ac:dyDescent="0.25">
      <c r="B167" s="42"/>
      <c r="AA167" s="43"/>
    </row>
    <row r="168" spans="2:27" ht="12.75" customHeight="1" x14ac:dyDescent="0.25">
      <c r="B168" s="42"/>
      <c r="AA168" s="43"/>
    </row>
    <row r="169" spans="2:27" ht="12.75" customHeight="1" x14ac:dyDescent="0.25">
      <c r="B169" s="42"/>
      <c r="AA169" s="43"/>
    </row>
    <row r="170" spans="2:27" ht="12.75" customHeight="1" x14ac:dyDescent="0.25">
      <c r="B170" s="42"/>
      <c r="AA170" s="43"/>
    </row>
    <row r="171" spans="2:27" ht="12.75" customHeight="1" x14ac:dyDescent="0.25">
      <c r="B171" s="42"/>
      <c r="AA171" s="43"/>
    </row>
    <row r="172" spans="2:27" ht="12.75" customHeight="1" x14ac:dyDescent="0.25">
      <c r="B172" s="42"/>
      <c r="AA172" s="43"/>
    </row>
    <row r="173" spans="2:27" ht="12.75" customHeight="1" x14ac:dyDescent="0.25">
      <c r="B173" s="42"/>
      <c r="AA173" s="43"/>
    </row>
    <row r="174" spans="2:27" ht="12.75" customHeight="1" x14ac:dyDescent="0.25">
      <c r="B174" s="42"/>
      <c r="AA174" s="43"/>
    </row>
    <row r="175" spans="2:27" ht="12.75" customHeight="1" x14ac:dyDescent="0.25">
      <c r="B175" s="42"/>
      <c r="AA175" s="43"/>
    </row>
    <row r="176" spans="2:27" ht="12.75" customHeight="1" x14ac:dyDescent="0.25">
      <c r="B176" s="42"/>
      <c r="AA176" s="43"/>
    </row>
    <row r="177" spans="2:27" ht="12.75" customHeight="1" x14ac:dyDescent="0.25">
      <c r="B177" s="42"/>
      <c r="AA177" s="43"/>
    </row>
    <row r="178" spans="2:27" ht="12.75" customHeight="1" x14ac:dyDescent="0.25">
      <c r="B178" s="42"/>
      <c r="AA178" s="43"/>
    </row>
    <row r="179" spans="2:27" ht="12.75" customHeight="1" x14ac:dyDescent="0.25">
      <c r="B179" s="42"/>
      <c r="AA179" s="43"/>
    </row>
    <row r="180" spans="2:27" ht="12.75" customHeight="1" x14ac:dyDescent="0.25">
      <c r="B180" s="42"/>
      <c r="AA180" s="43"/>
    </row>
    <row r="181" spans="2:27" ht="12.75" customHeight="1" x14ac:dyDescent="0.25">
      <c r="B181" s="42"/>
      <c r="AA181" s="43"/>
    </row>
    <row r="182" spans="2:27" ht="12.75" customHeight="1" x14ac:dyDescent="0.25">
      <c r="B182" s="42"/>
      <c r="AA182" s="43"/>
    </row>
    <row r="183" spans="2:27" ht="12.75" customHeight="1" x14ac:dyDescent="0.25">
      <c r="B183" s="42"/>
      <c r="AA183" s="43"/>
    </row>
    <row r="184" spans="2:27" ht="12.75" customHeight="1" x14ac:dyDescent="0.25">
      <c r="B184" s="42"/>
      <c r="AA184" s="43"/>
    </row>
    <row r="185" spans="2:27" ht="12.75" customHeight="1" x14ac:dyDescent="0.25">
      <c r="B185" s="42"/>
      <c r="AA185" s="43"/>
    </row>
    <row r="186" spans="2:27" ht="12.75" customHeight="1" x14ac:dyDescent="0.25">
      <c r="B186" s="42"/>
      <c r="AA186" s="43"/>
    </row>
    <row r="187" spans="2:27" ht="12.75" customHeight="1" x14ac:dyDescent="0.25">
      <c r="B187" s="42"/>
      <c r="AA187" s="43"/>
    </row>
    <row r="188" spans="2:27" ht="12.75" customHeight="1" x14ac:dyDescent="0.25">
      <c r="B188" s="42"/>
      <c r="AA188" s="43"/>
    </row>
    <row r="189" spans="2:27" ht="12.75" customHeight="1" x14ac:dyDescent="0.25">
      <c r="B189" s="42"/>
      <c r="AA189" s="43"/>
    </row>
    <row r="190" spans="2:27" ht="12.75" customHeight="1" x14ac:dyDescent="0.25">
      <c r="B190" s="42"/>
      <c r="AA190" s="43"/>
    </row>
    <row r="191" spans="2:27" ht="12.75" customHeight="1" x14ac:dyDescent="0.25">
      <c r="B191" s="42"/>
      <c r="AA191" s="43"/>
    </row>
    <row r="192" spans="2:27" ht="12.75" customHeight="1" x14ac:dyDescent="0.25">
      <c r="B192" s="42"/>
      <c r="AA192" s="43"/>
    </row>
    <row r="193" spans="2:27" ht="12.75" customHeight="1" x14ac:dyDescent="0.25">
      <c r="B193" s="42"/>
      <c r="AA193" s="43"/>
    </row>
    <row r="194" spans="2:27" ht="12.75" customHeight="1" x14ac:dyDescent="0.25">
      <c r="B194" s="42"/>
      <c r="AA194" s="43"/>
    </row>
    <row r="195" spans="2:27" ht="12.75" customHeight="1" x14ac:dyDescent="0.25">
      <c r="B195" s="42"/>
      <c r="AA195" s="43"/>
    </row>
    <row r="196" spans="2:27" ht="12.75" customHeight="1" x14ac:dyDescent="0.25">
      <c r="B196" s="42"/>
      <c r="AA196" s="43"/>
    </row>
    <row r="197" spans="2:27" ht="12.75" customHeight="1" x14ac:dyDescent="0.25">
      <c r="B197" s="42"/>
      <c r="AA197" s="43"/>
    </row>
    <row r="198" spans="2:27" ht="12.75" customHeight="1" x14ac:dyDescent="0.25">
      <c r="B198" s="42"/>
      <c r="AA198" s="43"/>
    </row>
    <row r="199" spans="2:27" ht="12.75" customHeight="1" x14ac:dyDescent="0.25">
      <c r="B199" s="42"/>
      <c r="AA199" s="43"/>
    </row>
    <row r="200" spans="2:27" ht="12.75" customHeight="1" x14ac:dyDescent="0.25">
      <c r="B200" s="42"/>
      <c r="AA200" s="43"/>
    </row>
    <row r="201" spans="2:27" ht="12.75" customHeight="1" x14ac:dyDescent="0.25">
      <c r="B201" s="42"/>
      <c r="AA201" s="43"/>
    </row>
    <row r="202" spans="2:27" ht="12.75" customHeight="1" x14ac:dyDescent="0.25">
      <c r="B202" s="42"/>
      <c r="AA202" s="43"/>
    </row>
    <row r="203" spans="2:27" ht="12.75" customHeight="1" x14ac:dyDescent="0.25">
      <c r="B203" s="42"/>
      <c r="AA203" s="43"/>
    </row>
    <row r="204" spans="2:27" ht="12.75" customHeight="1" x14ac:dyDescent="0.25">
      <c r="B204" s="42"/>
      <c r="AA204" s="43"/>
    </row>
    <row r="205" spans="2:27" ht="12.75" customHeight="1" x14ac:dyDescent="0.25">
      <c r="B205" s="42"/>
      <c r="AA205" s="43"/>
    </row>
    <row r="206" spans="2:27" ht="12.75" customHeight="1" x14ac:dyDescent="0.25">
      <c r="B206" s="42"/>
      <c r="AA206" s="43"/>
    </row>
    <row r="207" spans="2:27" ht="12.75" customHeight="1" x14ac:dyDescent="0.25">
      <c r="B207" s="42"/>
      <c r="AA207" s="43"/>
    </row>
    <row r="208" spans="2:27" ht="12.75" customHeight="1" x14ac:dyDescent="0.25">
      <c r="B208" s="42"/>
      <c r="AA208" s="43"/>
    </row>
    <row r="209" spans="2:27" ht="12.75" customHeight="1" x14ac:dyDescent="0.25">
      <c r="B209" s="42"/>
      <c r="AA209" s="43"/>
    </row>
    <row r="210" spans="2:27" ht="12.75" customHeight="1" x14ac:dyDescent="0.25">
      <c r="B210" s="42"/>
      <c r="AA210" s="43"/>
    </row>
    <row r="211" spans="2:27" ht="12.75" customHeight="1" x14ac:dyDescent="0.25">
      <c r="B211" s="42"/>
      <c r="AA211" s="43"/>
    </row>
    <row r="212" spans="2:27" ht="12.75" customHeight="1" x14ac:dyDescent="0.25">
      <c r="B212" s="42"/>
      <c r="AA212" s="43"/>
    </row>
    <row r="213" spans="2:27" ht="12.75" customHeight="1" x14ac:dyDescent="0.25">
      <c r="B213" s="42"/>
      <c r="AA213" s="43"/>
    </row>
    <row r="214" spans="2:27" ht="12.75" customHeight="1" x14ac:dyDescent="0.25">
      <c r="B214" s="42"/>
      <c r="AA214" s="43"/>
    </row>
    <row r="215" spans="2:27" ht="12.75" customHeight="1" x14ac:dyDescent="0.25">
      <c r="B215" s="42"/>
      <c r="AA215" s="43"/>
    </row>
    <row r="216" spans="2:27" ht="12.75" customHeight="1" x14ac:dyDescent="0.25">
      <c r="B216" s="42"/>
      <c r="AA216" s="43"/>
    </row>
    <row r="217" spans="2:27" ht="12.75" customHeight="1" x14ac:dyDescent="0.25">
      <c r="B217" s="42"/>
      <c r="AA217" s="43"/>
    </row>
    <row r="218" spans="2:27" ht="12.75" customHeight="1" x14ac:dyDescent="0.25">
      <c r="B218" s="42"/>
      <c r="AA218" s="43"/>
    </row>
    <row r="219" spans="2:27" ht="12.75" customHeight="1" x14ac:dyDescent="0.25">
      <c r="B219" s="42"/>
      <c r="AA219" s="43"/>
    </row>
    <row r="220" spans="2:27" ht="9.75" customHeight="1" x14ac:dyDescent="0.25">
      <c r="B220" s="42"/>
      <c r="AA220" s="43"/>
    </row>
    <row r="221" spans="2:27" ht="9.75" customHeight="1" x14ac:dyDescent="0.25">
      <c r="B221" s="42"/>
      <c r="AA221" s="43"/>
    </row>
    <row r="222" spans="2:27" ht="9.75" customHeight="1" x14ac:dyDescent="0.25">
      <c r="B222" s="42"/>
      <c r="AA222" s="43"/>
    </row>
    <row r="223" spans="2:27" ht="12.75" customHeight="1" x14ac:dyDescent="0.25">
      <c r="B223" s="42"/>
      <c r="AA223" s="43"/>
    </row>
    <row r="224" spans="2:27" ht="12.75" customHeight="1" x14ac:dyDescent="0.25">
      <c r="B224" s="42"/>
      <c r="AA224" s="43"/>
    </row>
    <row r="225" spans="2:27" ht="12.75" customHeight="1" x14ac:dyDescent="0.25">
      <c r="B225" s="42"/>
      <c r="AA225" s="43"/>
    </row>
    <row r="226" spans="2:27" ht="12.75" customHeight="1" x14ac:dyDescent="0.25">
      <c r="B226" s="42"/>
      <c r="AA226" s="43"/>
    </row>
    <row r="227" spans="2:27" ht="12.75" customHeight="1" x14ac:dyDescent="0.25">
      <c r="B227" s="42"/>
      <c r="AA227" s="43"/>
    </row>
    <row r="228" spans="2:27" ht="12.75" customHeight="1" x14ac:dyDescent="0.25">
      <c r="B228" s="42"/>
      <c r="AA228" s="43"/>
    </row>
    <row r="229" spans="2:27" ht="12.75" customHeight="1" x14ac:dyDescent="0.25">
      <c r="B229" s="42"/>
      <c r="AA229" s="43"/>
    </row>
    <row r="230" spans="2:27" ht="12.75" customHeight="1" x14ac:dyDescent="0.25">
      <c r="B230" s="42"/>
      <c r="AA230" s="43"/>
    </row>
    <row r="231" spans="2:27" ht="12.75" customHeight="1" x14ac:dyDescent="0.25">
      <c r="B231" s="42"/>
      <c r="AA231" s="43"/>
    </row>
    <row r="232" spans="2:27" ht="12.75" customHeight="1" x14ac:dyDescent="0.25">
      <c r="B232" s="42"/>
      <c r="AA232" s="43"/>
    </row>
    <row r="233" spans="2:27" ht="12.75" customHeight="1" x14ac:dyDescent="0.25">
      <c r="B233" s="42"/>
      <c r="AA233" s="43"/>
    </row>
    <row r="234" spans="2:27" ht="12.75" customHeight="1" x14ac:dyDescent="0.25">
      <c r="B234" s="42"/>
      <c r="AA234" s="43"/>
    </row>
    <row r="235" spans="2:27" ht="12.75" customHeight="1" x14ac:dyDescent="0.25">
      <c r="B235" s="42"/>
      <c r="AA235" s="43"/>
    </row>
    <row r="236" spans="2:27" ht="12.75" customHeight="1" x14ac:dyDescent="0.25">
      <c r="B236" s="42"/>
      <c r="AA236" s="43"/>
    </row>
    <row r="237" spans="2:27" ht="12.75" customHeight="1" x14ac:dyDescent="0.25">
      <c r="B237" s="42"/>
      <c r="AA237" s="43"/>
    </row>
    <row r="238" spans="2:27" ht="12.75" customHeight="1" x14ac:dyDescent="0.25">
      <c r="B238" s="42"/>
      <c r="AA238" s="43"/>
    </row>
    <row r="239" spans="2:27" ht="12.75" customHeight="1" x14ac:dyDescent="0.25">
      <c r="B239" s="42"/>
      <c r="AA239" s="43"/>
    </row>
    <row r="240" spans="2:27" ht="12.75" customHeight="1" x14ac:dyDescent="0.25">
      <c r="B240" s="42"/>
      <c r="AA240" s="43"/>
    </row>
    <row r="241" spans="2:27" ht="12.75" customHeight="1" x14ac:dyDescent="0.25">
      <c r="B241" s="42"/>
      <c r="AA241" s="43"/>
    </row>
    <row r="242" spans="2:27" ht="12.75" customHeight="1" x14ac:dyDescent="0.25">
      <c r="B242" s="42"/>
      <c r="AA242" s="43"/>
    </row>
    <row r="243" spans="2:27" ht="12.75" customHeight="1" x14ac:dyDescent="0.25">
      <c r="B243" s="42"/>
      <c r="AA243" s="43"/>
    </row>
    <row r="244" spans="2:27" ht="12.75" customHeight="1" x14ac:dyDescent="0.25">
      <c r="B244" s="42"/>
      <c r="AA244" s="43"/>
    </row>
    <row r="245" spans="2:27" ht="12.75" customHeight="1" x14ac:dyDescent="0.25">
      <c r="B245" s="42"/>
      <c r="AA245" s="43"/>
    </row>
    <row r="246" spans="2:27" ht="12.75" customHeight="1" x14ac:dyDescent="0.25">
      <c r="B246" s="42"/>
      <c r="AA246" s="43"/>
    </row>
    <row r="247" spans="2:27" ht="12.75" customHeight="1" x14ac:dyDescent="0.25">
      <c r="B247" s="42"/>
      <c r="AA247" s="43"/>
    </row>
    <row r="248" spans="2:27" ht="12.75" customHeight="1" x14ac:dyDescent="0.25">
      <c r="B248" s="42"/>
      <c r="AA248" s="43"/>
    </row>
    <row r="249" spans="2:27" ht="12.75" customHeight="1" x14ac:dyDescent="0.25">
      <c r="B249" s="42"/>
      <c r="AA249" s="43"/>
    </row>
    <row r="250" spans="2:27" ht="12.75" customHeight="1" x14ac:dyDescent="0.25">
      <c r="B250" s="42"/>
      <c r="AA250" s="43"/>
    </row>
    <row r="251" spans="2:27" ht="12.75" customHeight="1" x14ac:dyDescent="0.25">
      <c r="B251" s="42"/>
      <c r="AA251" s="43"/>
    </row>
    <row r="252" spans="2:27" ht="12.75" customHeight="1" x14ac:dyDescent="0.25">
      <c r="B252" s="42"/>
      <c r="AA252" s="43"/>
    </row>
    <row r="253" spans="2:27" ht="12.75" customHeight="1" x14ac:dyDescent="0.25">
      <c r="B253" s="42"/>
      <c r="AA253" s="43"/>
    </row>
    <row r="254" spans="2:27" ht="12.75" customHeight="1" x14ac:dyDescent="0.25">
      <c r="B254" s="42"/>
      <c r="AA254" s="43"/>
    </row>
    <row r="255" spans="2:27" ht="12.75" customHeight="1" x14ac:dyDescent="0.25">
      <c r="B255" s="42"/>
      <c r="AA255" s="43"/>
    </row>
    <row r="256" spans="2:27" ht="12.75" customHeight="1" x14ac:dyDescent="0.25">
      <c r="B256" s="42"/>
      <c r="AA256" s="43"/>
    </row>
    <row r="257" spans="2:27" ht="12.75" customHeight="1" x14ac:dyDescent="0.25">
      <c r="B257" s="42"/>
      <c r="AA257" s="43"/>
    </row>
    <row r="258" spans="2:27" ht="12.75" customHeight="1" x14ac:dyDescent="0.25">
      <c r="B258" s="42"/>
      <c r="AA258" s="43"/>
    </row>
    <row r="259" spans="2:27" ht="12.75" customHeight="1" x14ac:dyDescent="0.25">
      <c r="B259" s="42"/>
      <c r="AA259" s="43"/>
    </row>
    <row r="260" spans="2:27" ht="12.75" customHeight="1" x14ac:dyDescent="0.25">
      <c r="B260" s="42"/>
      <c r="AA260" s="43"/>
    </row>
    <row r="261" spans="2:27" ht="12.75" customHeight="1" x14ac:dyDescent="0.25">
      <c r="B261" s="42"/>
      <c r="AA261" s="43"/>
    </row>
    <row r="262" spans="2:27" ht="12.75" customHeight="1" x14ac:dyDescent="0.25">
      <c r="B262" s="42"/>
      <c r="AA262" s="43"/>
    </row>
    <row r="263" spans="2:27" ht="12.75" customHeight="1" x14ac:dyDescent="0.25">
      <c r="B263" s="42"/>
      <c r="AA263" s="43"/>
    </row>
    <row r="264" spans="2:27" ht="12.75" customHeight="1" x14ac:dyDescent="0.25">
      <c r="B264" s="42"/>
      <c r="AA264" s="43"/>
    </row>
    <row r="265" spans="2:27" ht="12.75" customHeight="1" x14ac:dyDescent="0.25">
      <c r="B265" s="42"/>
      <c r="AA265" s="43"/>
    </row>
    <row r="266" spans="2:27" ht="12.75" customHeight="1" x14ac:dyDescent="0.25">
      <c r="B266" s="42"/>
      <c r="AA266" s="43"/>
    </row>
    <row r="267" spans="2:27" ht="12.75" customHeight="1" x14ac:dyDescent="0.25">
      <c r="B267" s="42"/>
      <c r="AA267" s="43"/>
    </row>
    <row r="268" spans="2:27" ht="12.75" customHeight="1" x14ac:dyDescent="0.25">
      <c r="B268" s="42"/>
      <c r="AA268" s="43"/>
    </row>
    <row r="269" spans="2:27" ht="12.75" customHeight="1" x14ac:dyDescent="0.25">
      <c r="B269" s="42"/>
      <c r="AA269" s="43"/>
    </row>
    <row r="270" spans="2:27" ht="12.75" customHeight="1" x14ac:dyDescent="0.25">
      <c r="B270" s="42"/>
      <c r="AA270" s="43"/>
    </row>
    <row r="271" spans="2:27" ht="12.75" customHeight="1" x14ac:dyDescent="0.25">
      <c r="B271" s="42"/>
      <c r="AA271" s="43"/>
    </row>
    <row r="272" spans="2:27" ht="12.75" customHeight="1" x14ac:dyDescent="0.25">
      <c r="B272" s="42"/>
      <c r="AA272" s="43"/>
    </row>
    <row r="273" spans="2:27" ht="9.75" customHeight="1" x14ac:dyDescent="0.25">
      <c r="B273" s="42"/>
      <c r="AA273" s="43"/>
    </row>
    <row r="274" spans="2:27" ht="9.75" customHeight="1" x14ac:dyDescent="0.25">
      <c r="B274" s="42"/>
      <c r="AA274" s="43"/>
    </row>
    <row r="275" spans="2:27" ht="12.75" customHeight="1" x14ac:dyDescent="0.25">
      <c r="B275" s="42"/>
      <c r="AA275" s="43"/>
    </row>
    <row r="276" spans="2:27" ht="9.75" customHeight="1" x14ac:dyDescent="0.25">
      <c r="B276" s="42"/>
      <c r="AA276" s="43"/>
    </row>
    <row r="277" spans="2:27" ht="12.75" customHeight="1" x14ac:dyDescent="0.25">
      <c r="B277" s="42"/>
      <c r="AA277" s="43"/>
    </row>
    <row r="278" spans="2:27" ht="12.75" customHeight="1" x14ac:dyDescent="0.25">
      <c r="B278" s="42"/>
      <c r="AA278" s="43"/>
    </row>
    <row r="279" spans="2:27" ht="12.75" customHeight="1" x14ac:dyDescent="0.25">
      <c r="B279" s="42"/>
      <c r="AA279" s="43"/>
    </row>
    <row r="280" spans="2:27" ht="12.75" customHeight="1" x14ac:dyDescent="0.25">
      <c r="B280" s="42"/>
      <c r="AA280" s="43"/>
    </row>
    <row r="281" spans="2:27" ht="12.75" customHeight="1" x14ac:dyDescent="0.25">
      <c r="B281" s="42"/>
      <c r="AA281" s="43"/>
    </row>
    <row r="282" spans="2:27" ht="12.75" customHeight="1" x14ac:dyDescent="0.25">
      <c r="B282" s="42"/>
      <c r="AA282" s="43"/>
    </row>
    <row r="283" spans="2:27" ht="12.75" customHeight="1" x14ac:dyDescent="0.25">
      <c r="B283" s="42"/>
      <c r="AA283" s="43"/>
    </row>
    <row r="284" spans="2:27" ht="12.75" customHeight="1" x14ac:dyDescent="0.25">
      <c r="B284" s="42"/>
      <c r="AA284" s="43"/>
    </row>
    <row r="285" spans="2:27" ht="12.75" customHeight="1" x14ac:dyDescent="0.25">
      <c r="B285" s="42"/>
      <c r="AA285" s="43"/>
    </row>
    <row r="286" spans="2:27" ht="12.75" customHeight="1" x14ac:dyDescent="0.25">
      <c r="B286" s="42"/>
      <c r="AA286" s="43"/>
    </row>
    <row r="287" spans="2:27" ht="12.75" customHeight="1" x14ac:dyDescent="0.25">
      <c r="B287" s="42"/>
      <c r="AA287" s="43"/>
    </row>
    <row r="288" spans="2:27" ht="12.75" customHeight="1" x14ac:dyDescent="0.25">
      <c r="B288" s="42"/>
      <c r="AA288" s="43"/>
    </row>
    <row r="289" spans="2:27" ht="12.75" customHeight="1" x14ac:dyDescent="0.25">
      <c r="B289" s="42"/>
      <c r="AA289" s="43"/>
    </row>
    <row r="290" spans="2:27" ht="12.75" customHeight="1" x14ac:dyDescent="0.25">
      <c r="B290" s="42"/>
      <c r="AA290" s="43"/>
    </row>
    <row r="291" spans="2:27" ht="12.75" customHeight="1" x14ac:dyDescent="0.25">
      <c r="B291" s="42"/>
      <c r="AA291" s="43"/>
    </row>
    <row r="292" spans="2:27" ht="12.75" customHeight="1" x14ac:dyDescent="0.25">
      <c r="B292" s="42"/>
      <c r="AA292" s="43"/>
    </row>
    <row r="293" spans="2:27" ht="12.75" customHeight="1" x14ac:dyDescent="0.25">
      <c r="B293" s="42"/>
      <c r="AA293" s="43"/>
    </row>
    <row r="294" spans="2:27" ht="12.75" customHeight="1" x14ac:dyDescent="0.25">
      <c r="B294" s="42"/>
      <c r="AA294" s="43"/>
    </row>
    <row r="295" spans="2:27" ht="12.75" customHeight="1" x14ac:dyDescent="0.25">
      <c r="B295" s="42"/>
      <c r="AA295" s="43"/>
    </row>
    <row r="296" spans="2:27" ht="12.75" customHeight="1" x14ac:dyDescent="0.25">
      <c r="B296" s="42"/>
      <c r="AA296" s="43"/>
    </row>
    <row r="297" spans="2:27" ht="12.75" customHeight="1" x14ac:dyDescent="0.25">
      <c r="B297" s="42"/>
      <c r="AA297" s="43"/>
    </row>
    <row r="298" spans="2:27" ht="12.75" customHeight="1" x14ac:dyDescent="0.25">
      <c r="B298" s="42"/>
      <c r="AA298" s="43"/>
    </row>
    <row r="299" spans="2:27" ht="12.75" customHeight="1" x14ac:dyDescent="0.25">
      <c r="B299" s="42"/>
      <c r="AA299" s="43"/>
    </row>
    <row r="300" spans="2:27" ht="12.75" customHeight="1" x14ac:dyDescent="0.25">
      <c r="B300" s="42"/>
      <c r="AA300" s="43"/>
    </row>
    <row r="301" spans="2:27" ht="12.75" customHeight="1" x14ac:dyDescent="0.25">
      <c r="B301" s="42"/>
      <c r="AA301" s="43"/>
    </row>
    <row r="302" spans="2:27" ht="12.75" customHeight="1" x14ac:dyDescent="0.25">
      <c r="B302" s="42"/>
      <c r="AA302" s="43"/>
    </row>
    <row r="303" spans="2:27" ht="12.75" customHeight="1" x14ac:dyDescent="0.25">
      <c r="B303" s="42"/>
      <c r="AA303" s="43"/>
    </row>
    <row r="304" spans="2:27" ht="12.75" customHeight="1" x14ac:dyDescent="0.25">
      <c r="B304" s="42"/>
      <c r="AA304" s="43"/>
    </row>
    <row r="305" spans="2:27" ht="12.75" customHeight="1" x14ac:dyDescent="0.25">
      <c r="B305" s="42"/>
      <c r="AA305" s="43"/>
    </row>
    <row r="306" spans="2:27" ht="12.75" customHeight="1" x14ac:dyDescent="0.25">
      <c r="B306" s="42"/>
      <c r="AA306" s="43"/>
    </row>
    <row r="307" spans="2:27" ht="12.75" customHeight="1" x14ac:dyDescent="0.25">
      <c r="B307" s="42"/>
      <c r="AA307" s="43"/>
    </row>
    <row r="308" spans="2:27" ht="12.75" customHeight="1" x14ac:dyDescent="0.25">
      <c r="B308" s="42"/>
      <c r="AA308" s="43"/>
    </row>
    <row r="309" spans="2:27" ht="12.75" customHeight="1" x14ac:dyDescent="0.25">
      <c r="B309" s="42"/>
      <c r="AA309" s="43"/>
    </row>
    <row r="310" spans="2:27" ht="12.75" customHeight="1" x14ac:dyDescent="0.25">
      <c r="B310" s="42"/>
      <c r="AA310" s="43"/>
    </row>
    <row r="311" spans="2:27" ht="12.75" customHeight="1" x14ac:dyDescent="0.25">
      <c r="B311" s="42"/>
      <c r="AA311" s="43"/>
    </row>
    <row r="312" spans="2:27" ht="12.75" customHeight="1" x14ac:dyDescent="0.25">
      <c r="B312" s="42"/>
      <c r="AA312" s="43"/>
    </row>
    <row r="313" spans="2:27" ht="12.75" customHeight="1" x14ac:dyDescent="0.25">
      <c r="B313" s="42"/>
      <c r="AA313" s="43"/>
    </row>
    <row r="314" spans="2:27" ht="12.75" customHeight="1" x14ac:dyDescent="0.25">
      <c r="B314" s="42"/>
      <c r="AA314" s="43"/>
    </row>
    <row r="315" spans="2:27" ht="12.75" customHeight="1" x14ac:dyDescent="0.25">
      <c r="B315" s="42"/>
      <c r="AA315" s="43"/>
    </row>
    <row r="316" spans="2:27" ht="12.75" customHeight="1" x14ac:dyDescent="0.25">
      <c r="B316" s="42"/>
      <c r="AA316" s="43"/>
    </row>
    <row r="317" spans="2:27" ht="12.75" customHeight="1" x14ac:dyDescent="0.25">
      <c r="B317" s="42"/>
      <c r="AA317" s="43"/>
    </row>
    <row r="318" spans="2:27" ht="12.75" customHeight="1" x14ac:dyDescent="0.25">
      <c r="B318" s="42"/>
      <c r="AA318" s="43"/>
    </row>
    <row r="319" spans="2:27" ht="12.75" customHeight="1" x14ac:dyDescent="0.25">
      <c r="B319" s="42"/>
      <c r="AA319" s="43"/>
    </row>
    <row r="320" spans="2:27" ht="12.75" customHeight="1" x14ac:dyDescent="0.25">
      <c r="B320" s="42"/>
      <c r="AA320" s="43"/>
    </row>
    <row r="321" spans="2:27" ht="12.75" customHeight="1" x14ac:dyDescent="0.25">
      <c r="B321" s="42"/>
      <c r="AA321" s="43"/>
    </row>
    <row r="322" spans="2:27" ht="12.75" customHeight="1" x14ac:dyDescent="0.25">
      <c r="B322" s="42"/>
      <c r="AA322" s="43"/>
    </row>
    <row r="323" spans="2:27" ht="12.75" customHeight="1" x14ac:dyDescent="0.25">
      <c r="B323" s="42"/>
      <c r="AA323" s="43"/>
    </row>
    <row r="324" spans="2:27" ht="9.75" customHeight="1" x14ac:dyDescent="0.25">
      <c r="B324" s="42"/>
      <c r="AA324" s="43"/>
    </row>
    <row r="325" spans="2:27" ht="9.75" customHeight="1" x14ac:dyDescent="0.25">
      <c r="B325" s="42"/>
      <c r="AA325" s="43"/>
    </row>
    <row r="326" spans="2:27" ht="9.75" customHeight="1" x14ac:dyDescent="0.25">
      <c r="B326" s="42"/>
      <c r="AA326" s="43"/>
    </row>
    <row r="327" spans="2:27" ht="12.75" customHeight="1" x14ac:dyDescent="0.25">
      <c r="B327" s="42"/>
      <c r="AA327" s="43"/>
    </row>
    <row r="328" spans="2:27" ht="12.75" customHeight="1" x14ac:dyDescent="0.25">
      <c r="B328" s="42"/>
      <c r="AA328" s="43"/>
    </row>
    <row r="329" spans="2:27" ht="12.75" customHeight="1" x14ac:dyDescent="0.25">
      <c r="B329" s="42"/>
      <c r="AA329" s="43"/>
    </row>
    <row r="330" spans="2:27" ht="12.75" customHeight="1" x14ac:dyDescent="0.25">
      <c r="B330" s="42"/>
      <c r="AA330" s="43"/>
    </row>
    <row r="331" spans="2:27" ht="12.75" customHeight="1" x14ac:dyDescent="0.25">
      <c r="B331" s="42"/>
      <c r="AA331" s="43"/>
    </row>
    <row r="332" spans="2:27" ht="12.75" customHeight="1" x14ac:dyDescent="0.25">
      <c r="B332" s="42"/>
      <c r="AA332" s="43"/>
    </row>
    <row r="333" spans="2:27" ht="12.75" customHeight="1" x14ac:dyDescent="0.25">
      <c r="B333" s="42"/>
      <c r="AA333" s="43"/>
    </row>
    <row r="334" spans="2:27" ht="12.75" customHeight="1" x14ac:dyDescent="0.25">
      <c r="B334" s="42"/>
      <c r="AA334" s="43"/>
    </row>
    <row r="335" spans="2:27" ht="12.75" customHeight="1" x14ac:dyDescent="0.25">
      <c r="B335" s="42"/>
      <c r="AA335" s="43"/>
    </row>
    <row r="336" spans="2:27" ht="12.75" customHeight="1" x14ac:dyDescent="0.25">
      <c r="B336" s="42"/>
      <c r="AA336" s="43"/>
    </row>
    <row r="337" spans="2:27" ht="12.75" customHeight="1" x14ac:dyDescent="0.25">
      <c r="B337" s="42"/>
      <c r="AA337" s="43"/>
    </row>
    <row r="338" spans="2:27" ht="12.75" customHeight="1" x14ac:dyDescent="0.25">
      <c r="B338" s="42"/>
      <c r="AA338" s="43"/>
    </row>
    <row r="339" spans="2:27" ht="12.75" customHeight="1" x14ac:dyDescent="0.25">
      <c r="B339" s="42"/>
      <c r="AA339" s="43"/>
    </row>
    <row r="340" spans="2:27" ht="12.75" customHeight="1" x14ac:dyDescent="0.25">
      <c r="B340" s="42"/>
      <c r="AA340" s="43"/>
    </row>
    <row r="341" spans="2:27" ht="12.75" customHeight="1" x14ac:dyDescent="0.25">
      <c r="B341" s="42"/>
      <c r="AA341" s="43"/>
    </row>
    <row r="342" spans="2:27" ht="12.75" customHeight="1" x14ac:dyDescent="0.25">
      <c r="B342" s="42"/>
      <c r="AA342" s="43"/>
    </row>
    <row r="343" spans="2:27" ht="12.75" customHeight="1" x14ac:dyDescent="0.25">
      <c r="B343" s="42"/>
      <c r="AA343" s="43"/>
    </row>
    <row r="344" spans="2:27" ht="12.75" customHeight="1" x14ac:dyDescent="0.25">
      <c r="B344" s="42"/>
      <c r="AA344" s="43"/>
    </row>
    <row r="345" spans="2:27" ht="12.75" customHeight="1" x14ac:dyDescent="0.25">
      <c r="B345" s="42"/>
      <c r="AA345" s="43"/>
    </row>
    <row r="346" spans="2:27" ht="12.75" customHeight="1" x14ac:dyDescent="0.25">
      <c r="B346" s="42"/>
      <c r="AA346" s="43"/>
    </row>
    <row r="347" spans="2:27" ht="12.75" customHeight="1" x14ac:dyDescent="0.25">
      <c r="B347" s="42"/>
      <c r="AA347" s="43"/>
    </row>
    <row r="348" spans="2:27" ht="12.75" customHeight="1" x14ac:dyDescent="0.25">
      <c r="B348" s="42"/>
      <c r="AA348" s="43"/>
    </row>
    <row r="349" spans="2:27" ht="12.75" customHeight="1" x14ac:dyDescent="0.25">
      <c r="B349" s="42"/>
      <c r="AA349" s="43"/>
    </row>
    <row r="350" spans="2:27" ht="12.75" customHeight="1" x14ac:dyDescent="0.25">
      <c r="B350" s="42"/>
      <c r="AA350" s="43"/>
    </row>
    <row r="351" spans="2:27" ht="12.75" customHeight="1" x14ac:dyDescent="0.25">
      <c r="B351" s="42"/>
      <c r="AA351" s="43"/>
    </row>
    <row r="352" spans="2:27" ht="12.75" customHeight="1" x14ac:dyDescent="0.25">
      <c r="B352" s="42"/>
      <c r="AA352" s="43"/>
    </row>
    <row r="353" spans="2:27" ht="12.75" customHeight="1" x14ac:dyDescent="0.25">
      <c r="B353" s="42"/>
      <c r="AA353" s="43"/>
    </row>
    <row r="354" spans="2:27" ht="12.75" customHeight="1" x14ac:dyDescent="0.25">
      <c r="B354" s="42"/>
      <c r="AA354" s="43"/>
    </row>
    <row r="355" spans="2:27" ht="12.75" customHeight="1" x14ac:dyDescent="0.25">
      <c r="B355" s="42"/>
      <c r="AA355" s="43"/>
    </row>
    <row r="356" spans="2:27" ht="12.75" customHeight="1" x14ac:dyDescent="0.25">
      <c r="B356" s="42"/>
      <c r="AA356" s="43"/>
    </row>
    <row r="357" spans="2:27" ht="12.75" customHeight="1" x14ac:dyDescent="0.25">
      <c r="B357" s="42"/>
      <c r="AA357" s="43"/>
    </row>
    <row r="358" spans="2:27" ht="12.75" customHeight="1" x14ac:dyDescent="0.25">
      <c r="B358" s="42"/>
      <c r="AA358" s="43"/>
    </row>
    <row r="359" spans="2:27" ht="12.75" customHeight="1" x14ac:dyDescent="0.25">
      <c r="B359" s="42"/>
      <c r="AA359" s="43"/>
    </row>
    <row r="360" spans="2:27" ht="12.75" customHeight="1" x14ac:dyDescent="0.25">
      <c r="B360" s="42"/>
      <c r="AA360" s="43"/>
    </row>
    <row r="361" spans="2:27" ht="12.75" customHeight="1" x14ac:dyDescent="0.25">
      <c r="B361" s="42"/>
      <c r="AA361" s="43"/>
    </row>
    <row r="362" spans="2:27" ht="12.75" customHeight="1" x14ac:dyDescent="0.25">
      <c r="B362" s="42"/>
      <c r="AA362" s="43"/>
    </row>
    <row r="363" spans="2:27" ht="12.75" customHeight="1" x14ac:dyDescent="0.25">
      <c r="B363" s="42"/>
      <c r="AA363" s="43"/>
    </row>
    <row r="364" spans="2:27" ht="12.75" customHeight="1" x14ac:dyDescent="0.25">
      <c r="B364" s="42"/>
      <c r="AA364" s="43"/>
    </row>
    <row r="365" spans="2:27" ht="12.75" customHeight="1" x14ac:dyDescent="0.25">
      <c r="B365" s="42"/>
      <c r="AA365" s="43"/>
    </row>
    <row r="366" spans="2:27" ht="12.75" customHeight="1" x14ac:dyDescent="0.25">
      <c r="B366" s="42"/>
      <c r="AA366" s="43"/>
    </row>
    <row r="367" spans="2:27" ht="12.75" customHeight="1" x14ac:dyDescent="0.25">
      <c r="B367" s="42"/>
      <c r="AA367" s="43"/>
    </row>
    <row r="368" spans="2:27" ht="12.75" customHeight="1" x14ac:dyDescent="0.25">
      <c r="B368" s="42"/>
      <c r="AA368" s="43"/>
    </row>
    <row r="369" spans="2:27" ht="12.75" customHeight="1" x14ac:dyDescent="0.25">
      <c r="B369" s="42"/>
      <c r="AA369" s="43"/>
    </row>
    <row r="370" spans="2:27" ht="12.75" customHeight="1" x14ac:dyDescent="0.25">
      <c r="B370" s="42"/>
      <c r="AA370" s="43"/>
    </row>
    <row r="371" spans="2:27" ht="12.75" customHeight="1" x14ac:dyDescent="0.25">
      <c r="B371" s="42"/>
      <c r="AA371" s="43"/>
    </row>
    <row r="372" spans="2:27" ht="12.75" customHeight="1" x14ac:dyDescent="0.25">
      <c r="B372" s="42"/>
      <c r="AA372" s="43"/>
    </row>
    <row r="373" spans="2:27" ht="12.75" customHeight="1" x14ac:dyDescent="0.25">
      <c r="B373" s="42"/>
      <c r="AA373" s="43"/>
    </row>
    <row r="374" spans="2:27" ht="12.75" customHeight="1" x14ac:dyDescent="0.25">
      <c r="B374" s="42"/>
      <c r="AA374" s="43"/>
    </row>
    <row r="375" spans="2:27" ht="12.75" customHeight="1" x14ac:dyDescent="0.25">
      <c r="B375" s="42"/>
      <c r="AA375" s="43"/>
    </row>
    <row r="376" spans="2:27" ht="12.75" customHeight="1" x14ac:dyDescent="0.25">
      <c r="B376" s="42"/>
      <c r="AA376" s="43"/>
    </row>
    <row r="377" spans="2:27" ht="12.75" customHeight="1" x14ac:dyDescent="0.25">
      <c r="B377" s="42"/>
      <c r="AA377" s="43"/>
    </row>
    <row r="378" spans="2:27" ht="12.75" customHeight="1" x14ac:dyDescent="0.25">
      <c r="B378" s="42"/>
      <c r="AA378" s="43"/>
    </row>
    <row r="379" spans="2:27" ht="12.75" customHeight="1" x14ac:dyDescent="0.25">
      <c r="B379" s="42"/>
      <c r="AA379" s="43"/>
    </row>
    <row r="380" spans="2:27" ht="12.75" customHeight="1" x14ac:dyDescent="0.25">
      <c r="B380" s="42"/>
      <c r="AA380" s="43"/>
    </row>
    <row r="381" spans="2:27" ht="12.75" customHeight="1" x14ac:dyDescent="0.25">
      <c r="B381" s="42"/>
      <c r="AA381" s="43"/>
    </row>
    <row r="382" spans="2:27" ht="12.75" customHeight="1" x14ac:dyDescent="0.25">
      <c r="B382" s="42"/>
      <c r="AA382" s="43"/>
    </row>
    <row r="383" spans="2:27" ht="12.75" customHeight="1" x14ac:dyDescent="0.25">
      <c r="B383" s="42"/>
      <c r="AA383" s="43"/>
    </row>
    <row r="384" spans="2:27" ht="12.75" customHeight="1" x14ac:dyDescent="0.25">
      <c r="B384" s="42"/>
      <c r="AA384" s="43"/>
    </row>
    <row r="385" spans="2:27" ht="12.75" customHeight="1" x14ac:dyDescent="0.25">
      <c r="B385" s="42"/>
      <c r="AA385" s="43"/>
    </row>
    <row r="386" spans="2:27" ht="12.75" customHeight="1" x14ac:dyDescent="0.25">
      <c r="B386" s="42"/>
      <c r="AA386" s="43"/>
    </row>
    <row r="387" spans="2:27" ht="12.75" customHeight="1" x14ac:dyDescent="0.25">
      <c r="B387" s="42"/>
      <c r="AA387" s="43"/>
    </row>
    <row r="388" spans="2:27" ht="12.75" customHeight="1" x14ac:dyDescent="0.25">
      <c r="B388" s="42"/>
      <c r="AA388" s="43"/>
    </row>
    <row r="389" spans="2:27" ht="12.75" customHeight="1" x14ac:dyDescent="0.25">
      <c r="B389" s="42"/>
      <c r="AA389" s="43"/>
    </row>
    <row r="390" spans="2:27" ht="12.75" customHeight="1" x14ac:dyDescent="0.25">
      <c r="B390" s="42"/>
      <c r="AA390" s="43"/>
    </row>
    <row r="391" spans="2:27" ht="12.75" customHeight="1" x14ac:dyDescent="0.25">
      <c r="B391" s="42"/>
      <c r="AA391" s="43"/>
    </row>
    <row r="392" spans="2:27" ht="12.75" customHeight="1" x14ac:dyDescent="0.25">
      <c r="B392" s="42"/>
      <c r="AA392" s="43"/>
    </row>
    <row r="393" spans="2:27" ht="12.75" customHeight="1" x14ac:dyDescent="0.25">
      <c r="B393" s="42"/>
      <c r="AA393" s="43"/>
    </row>
    <row r="394" spans="2:27" ht="12.75" customHeight="1" x14ac:dyDescent="0.25">
      <c r="B394" s="42"/>
      <c r="AA394" s="43"/>
    </row>
    <row r="395" spans="2:27" ht="12.75" customHeight="1" x14ac:dyDescent="0.25">
      <c r="B395" s="42"/>
      <c r="AA395" s="43"/>
    </row>
    <row r="396" spans="2:27" ht="12.75" customHeight="1" x14ac:dyDescent="0.25">
      <c r="B396" s="42"/>
      <c r="AA396" s="43"/>
    </row>
    <row r="397" spans="2:27" ht="12.75" customHeight="1" x14ac:dyDescent="0.25">
      <c r="B397" s="42"/>
      <c r="AA397" s="43"/>
    </row>
    <row r="398" spans="2:27" ht="12.75" customHeight="1" x14ac:dyDescent="0.25">
      <c r="B398" s="42"/>
      <c r="AA398" s="43"/>
    </row>
    <row r="399" spans="2:27" ht="12.75" customHeight="1" x14ac:dyDescent="0.25">
      <c r="B399" s="42"/>
      <c r="AA399" s="43"/>
    </row>
    <row r="400" spans="2:27" ht="12.75" customHeight="1" x14ac:dyDescent="0.25">
      <c r="B400" s="42"/>
      <c r="AA400" s="43"/>
    </row>
    <row r="401" spans="2:27" ht="12.75" customHeight="1" x14ac:dyDescent="0.25">
      <c r="B401" s="42"/>
      <c r="AA401" s="43"/>
    </row>
    <row r="402" spans="2:27" ht="12.75" customHeight="1" x14ac:dyDescent="0.25">
      <c r="B402" s="42"/>
      <c r="AA402" s="43"/>
    </row>
    <row r="403" spans="2:27" ht="12.75" customHeight="1" x14ac:dyDescent="0.25">
      <c r="B403" s="42"/>
      <c r="AA403" s="43"/>
    </row>
    <row r="404" spans="2:27" ht="12.75" customHeight="1" x14ac:dyDescent="0.25">
      <c r="B404" s="42"/>
      <c r="AA404" s="43"/>
    </row>
    <row r="405" spans="2:27" ht="12.75" customHeight="1" x14ac:dyDescent="0.25">
      <c r="B405" s="42"/>
      <c r="AA405" s="43"/>
    </row>
    <row r="406" spans="2:27" ht="12.75" customHeight="1" x14ac:dyDescent="0.25">
      <c r="B406" s="42"/>
      <c r="AA406" s="43"/>
    </row>
    <row r="407" spans="2:27" ht="12.75" customHeight="1" x14ac:dyDescent="0.25">
      <c r="B407" s="42"/>
      <c r="AA407" s="43"/>
    </row>
    <row r="408" spans="2:27" ht="12.75" customHeight="1" x14ac:dyDescent="0.25">
      <c r="B408" s="42"/>
      <c r="AA408" s="43"/>
    </row>
    <row r="409" spans="2:27" ht="12.75" customHeight="1" x14ac:dyDescent="0.25">
      <c r="B409" s="42"/>
      <c r="AA409" s="43"/>
    </row>
    <row r="410" spans="2:27" ht="12.75" customHeight="1" x14ac:dyDescent="0.25">
      <c r="B410" s="42"/>
      <c r="AA410" s="43"/>
    </row>
    <row r="411" spans="2:27" ht="12.75" customHeight="1" x14ac:dyDescent="0.25">
      <c r="B411" s="42"/>
      <c r="AA411" s="43"/>
    </row>
    <row r="412" spans="2:27" ht="9.75" customHeight="1" x14ac:dyDescent="0.25">
      <c r="B412" s="42"/>
      <c r="AA412" s="43"/>
    </row>
    <row r="413" spans="2:27" ht="12.75" customHeight="1" x14ac:dyDescent="0.25">
      <c r="B413" s="42"/>
      <c r="AA413" s="43"/>
    </row>
    <row r="414" spans="2:27" ht="12.75" customHeight="1" x14ac:dyDescent="0.25">
      <c r="B414" s="42"/>
      <c r="AA414" s="43"/>
    </row>
    <row r="415" spans="2:27" ht="12.75" customHeight="1" x14ac:dyDescent="0.25">
      <c r="B415" s="42"/>
      <c r="AA415" s="43"/>
    </row>
    <row r="416" spans="2:27" ht="12.75" customHeight="1" x14ac:dyDescent="0.25">
      <c r="B416" s="42"/>
      <c r="AA416" s="43"/>
    </row>
    <row r="417" spans="2:27" ht="12.75" customHeight="1" x14ac:dyDescent="0.25">
      <c r="B417" s="42"/>
      <c r="AA417" s="43"/>
    </row>
    <row r="418" spans="2:27" ht="12.75" customHeight="1" x14ac:dyDescent="0.25">
      <c r="B418" s="42"/>
      <c r="AA418" s="43"/>
    </row>
    <row r="419" spans="2:27" ht="12.75" customHeight="1" x14ac:dyDescent="0.25">
      <c r="B419" s="44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54"/>
      <c r="X419" s="54"/>
      <c r="Y419" s="45"/>
      <c r="Z419" s="45"/>
      <c r="AA419" s="46"/>
    </row>
  </sheetData>
  <pageMargins left="0.78740157480314965" right="0.78740157480314965" top="0.55118110236220474" bottom="0.98425196850393704" header="0" footer="0"/>
  <pageSetup paperSize="9" fitToHeight="0" orientation="landscape" useFirstPageNumber="1" horizontalDpi="4294967295" verticalDpi="4294967295"/>
  <headerFooter>
    <oddFooter>&amp;C800000&amp;F&amp;R800000&amp;P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zoomScaleNormal="100" workbookViewId="0"/>
  </sheetViews>
  <sheetFormatPr baseColWidth="10" defaultColWidth="12.69921875" defaultRowHeight="13.8" x14ac:dyDescent="0.25"/>
  <cols>
    <col min="1" max="26" width="11.3984375" customWidth="1"/>
  </cols>
  <sheetData>
    <row r="1" spans="1:18" ht="12.75" customHeight="1" x14ac:dyDescent="0.25"/>
    <row r="2" spans="1:18" ht="12.75" customHeight="1" x14ac:dyDescent="0.25">
      <c r="A2" s="26" t="s">
        <v>48</v>
      </c>
      <c r="I2" s="27" t="s">
        <v>49</v>
      </c>
      <c r="J2" s="28">
        <v>1</v>
      </c>
    </row>
    <row r="3" spans="1:18" ht="12.75" customHeight="1" x14ac:dyDescent="0.25"/>
    <row r="4" spans="1:18" ht="12.75" customHeight="1" x14ac:dyDescent="0.25">
      <c r="F4" s="29" t="s">
        <v>50</v>
      </c>
    </row>
    <row r="5" spans="1:18" ht="12.75" customHeight="1" x14ac:dyDescent="0.25"/>
    <row r="6" spans="1:18" ht="12.75" customHeight="1" x14ac:dyDescent="0.25">
      <c r="A6" s="27" t="s">
        <v>50</v>
      </c>
      <c r="D6" s="30" t="s">
        <v>51</v>
      </c>
      <c r="E6" s="31" t="s">
        <v>52</v>
      </c>
    </row>
    <row r="7" spans="1:18" ht="12.75" customHeight="1" x14ac:dyDescent="0.25"/>
    <row r="8" spans="1:18" ht="12.75" customHeight="1" x14ac:dyDescent="0.25"/>
    <row r="9" spans="1:18" ht="12.75" customHeight="1" x14ac:dyDescent="0.25">
      <c r="A9" s="27" t="s">
        <v>53</v>
      </c>
      <c r="C9" s="31" t="s">
        <v>54</v>
      </c>
      <c r="H9" s="27" t="s">
        <v>55</v>
      </c>
      <c r="J9" s="30" t="s">
        <v>56</v>
      </c>
    </row>
    <row r="10" spans="1:18" ht="12.75" customHeight="1" x14ac:dyDescent="0.25">
      <c r="A10" s="27" t="s">
        <v>57</v>
      </c>
      <c r="C10" s="31" t="s">
        <v>58</v>
      </c>
    </row>
    <row r="11" spans="1:18" ht="12.75" customHeight="1" x14ac:dyDescent="0.25"/>
    <row r="12" spans="1:18" ht="12.75" customHeight="1" x14ac:dyDescent="0.25">
      <c r="A12" s="31" t="s">
        <v>59</v>
      </c>
      <c r="C12" s="31" t="s">
        <v>60</v>
      </c>
      <c r="G12" s="31" t="s">
        <v>61</v>
      </c>
      <c r="H12" s="32" t="s">
        <v>62</v>
      </c>
      <c r="I12" s="32" t="s">
        <v>63</v>
      </c>
      <c r="J12" s="32" t="s">
        <v>64</v>
      </c>
    </row>
    <row r="13" spans="1:18" ht="12.75" customHeight="1" x14ac:dyDescent="0.25"/>
    <row r="14" spans="1:18" ht="12.75" customHeight="1" x14ac:dyDescent="0.25">
      <c r="A14" s="33" t="s">
        <v>65</v>
      </c>
      <c r="E14" s="34" t="s">
        <v>66</v>
      </c>
      <c r="R14" s="35">
        <v>23651.77</v>
      </c>
    </row>
    <row r="15" spans="1:18" ht="12.75" customHeight="1" x14ac:dyDescent="0.25"/>
    <row r="16" spans="1:18" ht="12.75" customHeight="1" x14ac:dyDescent="0.25">
      <c r="A16" s="33" t="s">
        <v>67</v>
      </c>
      <c r="C16" s="33" t="s">
        <v>68</v>
      </c>
      <c r="H16" s="33" t="s">
        <v>69</v>
      </c>
      <c r="I16" s="36">
        <v>18</v>
      </c>
      <c r="K16" s="36">
        <v>126.58</v>
      </c>
      <c r="O16" s="36">
        <v>2278.44</v>
      </c>
    </row>
    <row r="17" spans="1:18" ht="12.75" customHeight="1" x14ac:dyDescent="0.25"/>
    <row r="18" spans="1:18" ht="12.75" customHeight="1" x14ac:dyDescent="0.25">
      <c r="A18" s="33" t="s">
        <v>70</v>
      </c>
      <c r="C18" s="33" t="s">
        <v>71</v>
      </c>
      <c r="H18" s="33" t="s">
        <v>72</v>
      </c>
      <c r="I18" s="36">
        <v>1</v>
      </c>
      <c r="K18" s="36">
        <v>548.21</v>
      </c>
      <c r="O18" s="36">
        <v>548.21</v>
      </c>
    </row>
    <row r="19" spans="1:18" ht="12.75" customHeight="1" x14ac:dyDescent="0.25"/>
    <row r="20" spans="1:18" ht="12.75" customHeight="1" x14ac:dyDescent="0.25">
      <c r="A20" s="33" t="s">
        <v>73</v>
      </c>
      <c r="C20" s="33" t="s">
        <v>74</v>
      </c>
      <c r="H20" s="33" t="s">
        <v>75</v>
      </c>
      <c r="K20" s="36">
        <v>150</v>
      </c>
    </row>
    <row r="21" spans="1:18" ht="12.75" customHeight="1" x14ac:dyDescent="0.25"/>
    <row r="22" spans="1:18" ht="12.75" customHeight="1" x14ac:dyDescent="0.25">
      <c r="A22" s="33" t="s">
        <v>73</v>
      </c>
      <c r="C22" s="33" t="s">
        <v>76</v>
      </c>
      <c r="H22" s="33" t="s">
        <v>75</v>
      </c>
      <c r="K22" s="36">
        <v>350</v>
      </c>
    </row>
    <row r="23" spans="1:18" ht="12.75" customHeight="1" x14ac:dyDescent="0.25"/>
    <row r="24" spans="1:18" ht="12.75" customHeight="1" x14ac:dyDescent="0.25">
      <c r="A24" s="33" t="s">
        <v>77</v>
      </c>
      <c r="C24" s="33" t="s">
        <v>78</v>
      </c>
      <c r="H24" s="33" t="s">
        <v>79</v>
      </c>
      <c r="K24" s="36">
        <v>5140.74</v>
      </c>
    </row>
    <row r="25" spans="1:18" ht="12.75" customHeight="1" x14ac:dyDescent="0.25"/>
    <row r="26" spans="1:18" ht="12.75" customHeight="1" x14ac:dyDescent="0.25">
      <c r="A26" s="33" t="s">
        <v>80</v>
      </c>
      <c r="C26" s="33" t="s">
        <v>81</v>
      </c>
      <c r="H26" s="33" t="s">
        <v>69</v>
      </c>
      <c r="K26" s="36">
        <v>1.8</v>
      </c>
    </row>
    <row r="27" spans="1:18" ht="12.75" customHeight="1" x14ac:dyDescent="0.25"/>
    <row r="28" spans="1:18" ht="12.75" customHeight="1" x14ac:dyDescent="0.25">
      <c r="A28" s="33" t="s">
        <v>82</v>
      </c>
      <c r="C28" s="33" t="s">
        <v>83</v>
      </c>
      <c r="H28" s="33" t="s">
        <v>69</v>
      </c>
      <c r="I28" s="36">
        <v>576</v>
      </c>
      <c r="K28" s="36">
        <v>4.63</v>
      </c>
      <c r="O28" s="36">
        <v>2666.88</v>
      </c>
    </row>
    <row r="29" spans="1:18" ht="12.75" customHeight="1" x14ac:dyDescent="0.25"/>
    <row r="30" spans="1:18" ht="12.75" customHeight="1" x14ac:dyDescent="0.25">
      <c r="A30" s="33" t="s">
        <v>84</v>
      </c>
      <c r="C30" s="33" t="s">
        <v>85</v>
      </c>
      <c r="H30" s="33" t="s">
        <v>75</v>
      </c>
      <c r="I30" s="36">
        <v>6</v>
      </c>
      <c r="K30" s="36">
        <v>4598.63</v>
      </c>
      <c r="O30" s="36">
        <v>27591.78</v>
      </c>
    </row>
    <row r="31" spans="1:18" ht="12.75" customHeight="1" x14ac:dyDescent="0.25"/>
    <row r="32" spans="1:18" ht="12.75" customHeight="1" x14ac:dyDescent="0.25">
      <c r="A32" s="33" t="s">
        <v>86</v>
      </c>
      <c r="E32" s="34" t="s">
        <v>87</v>
      </c>
      <c r="R32" s="35">
        <v>159927.96</v>
      </c>
    </row>
    <row r="33" spans="1:15" ht="12.75" customHeight="1" x14ac:dyDescent="0.25"/>
    <row r="34" spans="1:15" ht="12.75" customHeight="1" x14ac:dyDescent="0.25">
      <c r="A34" s="33" t="s">
        <v>88</v>
      </c>
      <c r="C34" s="33" t="s">
        <v>89</v>
      </c>
      <c r="H34" s="33" t="s">
        <v>90</v>
      </c>
      <c r="I34" s="36">
        <v>378</v>
      </c>
      <c r="K34" s="36">
        <v>17.010000000000002</v>
      </c>
      <c r="O34" s="36">
        <v>6429.78</v>
      </c>
    </row>
    <row r="35" spans="1:15" ht="12.75" customHeight="1" x14ac:dyDescent="0.25"/>
    <row r="36" spans="1:15" ht="12.75" customHeight="1" x14ac:dyDescent="0.25">
      <c r="A36" s="33" t="s">
        <v>91</v>
      </c>
      <c r="C36" s="33" t="s">
        <v>92</v>
      </c>
      <c r="H36" s="33" t="s">
        <v>90</v>
      </c>
      <c r="K36" s="36">
        <v>32.26</v>
      </c>
    </row>
    <row r="37" spans="1:15" ht="12.75" customHeight="1" x14ac:dyDescent="0.25"/>
    <row r="38" spans="1:15" ht="12.75" customHeight="1" x14ac:dyDescent="0.25">
      <c r="A38" s="33" t="s">
        <v>93</v>
      </c>
      <c r="C38" s="33" t="s">
        <v>94</v>
      </c>
      <c r="H38" s="33" t="s">
        <v>90</v>
      </c>
      <c r="I38" s="36">
        <v>252.5</v>
      </c>
      <c r="K38" s="36">
        <v>33.18</v>
      </c>
      <c r="O38" s="36">
        <v>8377.9500000000007</v>
      </c>
    </row>
    <row r="39" spans="1:15" ht="12.75" customHeight="1" x14ac:dyDescent="0.25"/>
    <row r="40" spans="1:15" ht="12.75" customHeight="1" x14ac:dyDescent="0.25">
      <c r="A40" s="33" t="s">
        <v>95</v>
      </c>
      <c r="C40" s="33" t="s">
        <v>96</v>
      </c>
      <c r="H40" s="33" t="s">
        <v>69</v>
      </c>
      <c r="K40" s="36">
        <v>62.01</v>
      </c>
    </row>
    <row r="41" spans="1:15" ht="12.75" customHeight="1" x14ac:dyDescent="0.25"/>
    <row r="42" spans="1:15" ht="12.75" customHeight="1" x14ac:dyDescent="0.25">
      <c r="A42" s="33" t="s">
        <v>95</v>
      </c>
      <c r="C42" s="33" t="s">
        <v>97</v>
      </c>
      <c r="H42" s="33" t="s">
        <v>90</v>
      </c>
      <c r="I42" s="36">
        <v>176</v>
      </c>
      <c r="K42" s="36">
        <v>19.850000000000001</v>
      </c>
      <c r="O42" s="36">
        <v>3493.6</v>
      </c>
    </row>
    <row r="43" spans="1:15" ht="12.75" customHeight="1" x14ac:dyDescent="0.25"/>
    <row r="44" spans="1:15" ht="12.75" customHeight="1" x14ac:dyDescent="0.25">
      <c r="A44" s="33" t="s">
        <v>98</v>
      </c>
      <c r="C44" s="33" t="s">
        <v>99</v>
      </c>
      <c r="H44" s="33" t="s">
        <v>69</v>
      </c>
      <c r="K44" s="36">
        <v>28.03</v>
      </c>
    </row>
    <row r="45" spans="1:15" ht="12.75" customHeight="1" x14ac:dyDescent="0.25"/>
    <row r="46" spans="1:15" ht="12.75" customHeight="1" x14ac:dyDescent="0.25">
      <c r="A46" s="33" t="s">
        <v>100</v>
      </c>
      <c r="C46" s="33" t="s">
        <v>101</v>
      </c>
      <c r="H46" s="33" t="s">
        <v>69</v>
      </c>
      <c r="I46" s="36">
        <v>302.8</v>
      </c>
      <c r="K46" s="36">
        <v>56.64</v>
      </c>
      <c r="O46" s="36">
        <v>17150.59</v>
      </c>
    </row>
    <row r="47" spans="1:15" ht="12.75" customHeight="1" x14ac:dyDescent="0.25"/>
    <row r="48" spans="1:15" ht="12.75" customHeight="1" x14ac:dyDescent="0.25">
      <c r="A48" s="33" t="s">
        <v>102</v>
      </c>
      <c r="C48" s="33" t="s">
        <v>103</v>
      </c>
      <c r="H48" s="33" t="s">
        <v>104</v>
      </c>
      <c r="I48" s="36">
        <v>7724.37</v>
      </c>
      <c r="K48" s="36">
        <v>5.27</v>
      </c>
      <c r="O48" s="36">
        <v>40707.43</v>
      </c>
    </row>
    <row r="49" spans="1:18" ht="12.75" customHeight="1" x14ac:dyDescent="0.25"/>
    <row r="50" spans="1:18" ht="12.75" customHeight="1" x14ac:dyDescent="0.25">
      <c r="A50" s="33" t="s">
        <v>105</v>
      </c>
      <c r="C50" s="33" t="s">
        <v>106</v>
      </c>
      <c r="H50" s="33" t="s">
        <v>90</v>
      </c>
      <c r="K50" s="36">
        <v>389.41</v>
      </c>
    </row>
    <row r="51" spans="1:18" ht="12.75" customHeight="1" x14ac:dyDescent="0.25"/>
    <row r="52" spans="1:18" ht="12.75" customHeight="1" x14ac:dyDescent="0.25">
      <c r="A52" s="33" t="s">
        <v>107</v>
      </c>
      <c r="E52" s="34" t="s">
        <v>108</v>
      </c>
      <c r="R52" s="35">
        <v>27798.75</v>
      </c>
    </row>
    <row r="53" spans="1:18" ht="12.75" customHeight="1" x14ac:dyDescent="0.25"/>
    <row r="54" spans="1:18" ht="12.75" customHeight="1" x14ac:dyDescent="0.25">
      <c r="A54" s="33" t="s">
        <v>109</v>
      </c>
      <c r="C54" s="33" t="s">
        <v>110</v>
      </c>
      <c r="H54" s="33" t="s">
        <v>90</v>
      </c>
      <c r="K54" s="36">
        <v>480.33</v>
      </c>
    </row>
    <row r="55" spans="1:18" ht="12.75" customHeight="1" x14ac:dyDescent="0.25"/>
    <row r="56" spans="1:18" ht="12.75" customHeight="1" x14ac:dyDescent="0.25">
      <c r="A56" s="33" t="s">
        <v>111</v>
      </c>
      <c r="C56" s="33" t="s">
        <v>112</v>
      </c>
      <c r="H56" s="33" t="s">
        <v>72</v>
      </c>
      <c r="K56" s="36">
        <v>1563.11</v>
      </c>
    </row>
    <row r="57" spans="1:18" ht="12.75" customHeight="1" x14ac:dyDescent="0.25"/>
    <row r="58" spans="1:18" ht="12.75" customHeight="1" x14ac:dyDescent="0.25">
      <c r="A58" s="33" t="s">
        <v>113</v>
      </c>
      <c r="C58" s="33" t="s">
        <v>114</v>
      </c>
      <c r="H58" s="33" t="s">
        <v>72</v>
      </c>
      <c r="K58" s="36">
        <v>1022.97</v>
      </c>
    </row>
    <row r="59" spans="1:18" ht="12.75" customHeight="1" x14ac:dyDescent="0.25"/>
    <row r="60" spans="1:18" ht="12.75" customHeight="1" x14ac:dyDescent="0.25">
      <c r="A60" s="33" t="s">
        <v>115</v>
      </c>
      <c r="C60" s="33" t="s">
        <v>116</v>
      </c>
      <c r="H60" s="33" t="s">
        <v>72</v>
      </c>
      <c r="K60" s="36">
        <v>58.57</v>
      </c>
    </row>
    <row r="61" spans="1:18" ht="12.75" customHeight="1" x14ac:dyDescent="0.25"/>
    <row r="62" spans="1:18" ht="12.75" customHeight="1" x14ac:dyDescent="0.25">
      <c r="A62" s="33" t="s">
        <v>117</v>
      </c>
      <c r="C62" s="33" t="s">
        <v>118</v>
      </c>
      <c r="H62" s="33" t="s">
        <v>69</v>
      </c>
      <c r="K62" s="36">
        <v>61.92</v>
      </c>
    </row>
    <row r="63" spans="1:18" ht="12.75" customHeight="1" x14ac:dyDescent="0.25"/>
    <row r="64" spans="1:18" ht="12.75" customHeight="1" x14ac:dyDescent="0.25">
      <c r="A64" s="33" t="s">
        <v>119</v>
      </c>
      <c r="C64" s="33" t="s">
        <v>120</v>
      </c>
      <c r="H64" s="33" t="s">
        <v>90</v>
      </c>
      <c r="K64" s="36">
        <v>75.78</v>
      </c>
    </row>
    <row r="65" spans="1:15" ht="12.75" customHeight="1" x14ac:dyDescent="0.25"/>
    <row r="66" spans="1:15" ht="12.75" customHeight="1" x14ac:dyDescent="0.25">
      <c r="A66" s="33" t="s">
        <v>121</v>
      </c>
      <c r="E66" s="34" t="s">
        <v>122</v>
      </c>
    </row>
    <row r="67" spans="1:15" ht="12.75" customHeight="1" x14ac:dyDescent="0.25"/>
    <row r="68" spans="1:15" ht="12.75" customHeight="1" x14ac:dyDescent="0.25">
      <c r="A68" s="33" t="s">
        <v>123</v>
      </c>
      <c r="C68" s="33" t="s">
        <v>124</v>
      </c>
      <c r="H68" s="33" t="s">
        <v>69</v>
      </c>
      <c r="I68" s="36">
        <v>240.95</v>
      </c>
      <c r="K68" s="36">
        <v>68.25</v>
      </c>
      <c r="O68" s="36">
        <v>16444.84</v>
      </c>
    </row>
    <row r="69" spans="1:15" ht="12.75" customHeight="1" x14ac:dyDescent="0.25"/>
    <row r="70" spans="1:15" ht="12.75" customHeight="1" x14ac:dyDescent="0.25">
      <c r="A70" s="33" t="s">
        <v>125</v>
      </c>
      <c r="C70" s="33" t="s">
        <v>103</v>
      </c>
      <c r="H70" s="33" t="s">
        <v>104</v>
      </c>
      <c r="I70" s="36">
        <v>8027.14</v>
      </c>
      <c r="K70" s="36">
        <v>5.27</v>
      </c>
      <c r="O70" s="36">
        <v>42303.03</v>
      </c>
    </row>
    <row r="71" spans="1:15" ht="12.75" customHeight="1" x14ac:dyDescent="0.25"/>
    <row r="72" spans="1:15" ht="12.75" customHeight="1" x14ac:dyDescent="0.25">
      <c r="A72" s="33" t="s">
        <v>126</v>
      </c>
      <c r="C72" s="33" t="s">
        <v>127</v>
      </c>
      <c r="H72" s="33" t="s">
        <v>128</v>
      </c>
      <c r="K72" s="36">
        <v>9.31</v>
      </c>
    </row>
    <row r="73" spans="1:15" ht="12.75" customHeight="1" x14ac:dyDescent="0.25"/>
    <row r="74" spans="1:15" ht="12.75" customHeight="1" x14ac:dyDescent="0.25">
      <c r="A74" s="33" t="s">
        <v>129</v>
      </c>
      <c r="C74" s="33" t="s">
        <v>130</v>
      </c>
      <c r="H74" s="33" t="s">
        <v>90</v>
      </c>
      <c r="K74" s="36">
        <v>427.5</v>
      </c>
    </row>
    <row r="75" spans="1:15" ht="12.75" customHeight="1" x14ac:dyDescent="0.25"/>
    <row r="76" spans="1:15" ht="12.75" customHeight="1" x14ac:dyDescent="0.25">
      <c r="A76" s="33" t="s">
        <v>131</v>
      </c>
      <c r="E76" s="34" t="s">
        <v>132</v>
      </c>
    </row>
    <row r="77" spans="1:15" ht="12.75" customHeight="1" x14ac:dyDescent="0.25"/>
    <row r="78" spans="1:15" ht="12.75" customHeight="1" x14ac:dyDescent="0.25">
      <c r="A78" s="33" t="s">
        <v>133</v>
      </c>
      <c r="C78" s="33" t="s">
        <v>124</v>
      </c>
      <c r="H78" s="33" t="s">
        <v>69</v>
      </c>
      <c r="I78" s="36">
        <v>90</v>
      </c>
      <c r="K78" s="36">
        <v>68.25</v>
      </c>
      <c r="O78" s="36">
        <v>6142.5</v>
      </c>
    </row>
    <row r="79" spans="1:15" ht="12.75" customHeight="1" x14ac:dyDescent="0.25"/>
    <row r="80" spans="1:15" ht="12.75" customHeight="1" x14ac:dyDescent="0.25">
      <c r="A80" s="33" t="s">
        <v>134</v>
      </c>
      <c r="C80" s="33" t="s">
        <v>103</v>
      </c>
      <c r="H80" s="33" t="s">
        <v>104</v>
      </c>
      <c r="I80" s="36">
        <v>3291.79</v>
      </c>
      <c r="K80" s="36">
        <v>5.27</v>
      </c>
      <c r="O80" s="36">
        <v>17347.73</v>
      </c>
    </row>
    <row r="81" spans="1:15" ht="12.75" customHeight="1" x14ac:dyDescent="0.25"/>
    <row r="82" spans="1:15" ht="12.75" customHeight="1" x14ac:dyDescent="0.25">
      <c r="A82" s="33" t="s">
        <v>135</v>
      </c>
      <c r="C82" s="33" t="s">
        <v>136</v>
      </c>
      <c r="H82" s="33" t="s">
        <v>90</v>
      </c>
      <c r="K82" s="36">
        <v>431.4</v>
      </c>
    </row>
    <row r="83" spans="1:15" ht="12.75" customHeight="1" x14ac:dyDescent="0.25"/>
    <row r="84" spans="1:15" ht="12.75" customHeight="1" x14ac:dyDescent="0.25">
      <c r="A84" s="33" t="s">
        <v>137</v>
      </c>
      <c r="E84" s="34" t="s">
        <v>138</v>
      </c>
    </row>
    <row r="85" spans="1:15" ht="12.75" customHeight="1" x14ac:dyDescent="0.25"/>
    <row r="86" spans="1:15" ht="12.75" customHeight="1" x14ac:dyDescent="0.25">
      <c r="A86" s="33" t="s">
        <v>139</v>
      </c>
      <c r="C86" s="33" t="s">
        <v>124</v>
      </c>
      <c r="H86" s="33" t="s">
        <v>69</v>
      </c>
      <c r="I86" s="36">
        <v>35</v>
      </c>
      <c r="K86" s="36">
        <v>68.25</v>
      </c>
      <c r="O86" s="36">
        <v>2388.75</v>
      </c>
    </row>
    <row r="87" spans="1:15" ht="12.75" customHeight="1" x14ac:dyDescent="0.25"/>
    <row r="88" spans="1:15" ht="12.75" customHeight="1" x14ac:dyDescent="0.25">
      <c r="A88" s="33" t="s">
        <v>140</v>
      </c>
      <c r="C88" s="33" t="s">
        <v>103</v>
      </c>
      <c r="H88" s="33" t="s">
        <v>104</v>
      </c>
      <c r="I88" s="36">
        <v>943.35</v>
      </c>
      <c r="K88" s="36">
        <v>5.27</v>
      </c>
      <c r="O88" s="36">
        <v>4971.45</v>
      </c>
    </row>
    <row r="89" spans="1:15" ht="12.75" customHeight="1" x14ac:dyDescent="0.25"/>
    <row r="90" spans="1:15" ht="12.75" customHeight="1" x14ac:dyDescent="0.25">
      <c r="A90" s="33" t="s">
        <v>141</v>
      </c>
      <c r="C90" s="33" t="s">
        <v>136</v>
      </c>
      <c r="H90" s="33" t="s">
        <v>90</v>
      </c>
      <c r="K90" s="36">
        <v>431.4</v>
      </c>
    </row>
    <row r="91" spans="1:15" ht="12.75" customHeight="1" x14ac:dyDescent="0.25"/>
    <row r="92" spans="1:15" ht="12.75" customHeight="1" x14ac:dyDescent="0.25">
      <c r="A92" s="33" t="s">
        <v>142</v>
      </c>
      <c r="E92" s="34" t="s">
        <v>143</v>
      </c>
    </row>
    <row r="93" spans="1:15" ht="12.75" customHeight="1" x14ac:dyDescent="0.25"/>
    <row r="94" spans="1:15" ht="12.75" customHeight="1" x14ac:dyDescent="0.25">
      <c r="A94" s="33" t="s">
        <v>144</v>
      </c>
      <c r="E94" s="34" t="s">
        <v>66</v>
      </c>
    </row>
    <row r="95" spans="1:15" ht="12.75" customHeight="1" x14ac:dyDescent="0.25"/>
    <row r="96" spans="1:15" ht="12.75" customHeight="1" x14ac:dyDescent="0.25">
      <c r="A96" s="33" t="s">
        <v>145</v>
      </c>
      <c r="C96" s="33" t="s">
        <v>83</v>
      </c>
      <c r="H96" s="33" t="s">
        <v>69</v>
      </c>
      <c r="I96" s="36">
        <v>576</v>
      </c>
      <c r="K96" s="36">
        <v>4.63</v>
      </c>
      <c r="O96" s="36">
        <v>2666.88</v>
      </c>
    </row>
    <row r="97" spans="1:15" ht="12.75" customHeight="1" x14ac:dyDescent="0.25"/>
    <row r="98" spans="1:15" ht="12.75" customHeight="1" x14ac:dyDescent="0.25">
      <c r="A98" s="33" t="s">
        <v>146</v>
      </c>
      <c r="E98" s="34" t="s">
        <v>147</v>
      </c>
    </row>
    <row r="99" spans="1:15" ht="12.75" customHeight="1" x14ac:dyDescent="0.25"/>
    <row r="100" spans="1:15" ht="12.75" customHeight="1" x14ac:dyDescent="0.25">
      <c r="A100" s="33" t="s">
        <v>148</v>
      </c>
      <c r="C100" s="33" t="s">
        <v>149</v>
      </c>
      <c r="H100" s="33" t="s">
        <v>90</v>
      </c>
      <c r="I100" s="36">
        <v>502.8</v>
      </c>
      <c r="K100" s="36">
        <v>8.85</v>
      </c>
      <c r="O100" s="36">
        <v>4449.78</v>
      </c>
    </row>
    <row r="101" spans="1:15" ht="12.75" customHeight="1" x14ac:dyDescent="0.25"/>
    <row r="102" spans="1:15" ht="12.75" customHeight="1" x14ac:dyDescent="0.25">
      <c r="A102" s="33" t="s">
        <v>150</v>
      </c>
      <c r="C102" s="33" t="s">
        <v>151</v>
      </c>
      <c r="H102" s="33" t="s">
        <v>90</v>
      </c>
      <c r="I102" s="36">
        <v>502.8</v>
      </c>
      <c r="K102" s="36">
        <v>8.85</v>
      </c>
      <c r="O102" s="36">
        <v>4449.78</v>
      </c>
    </row>
    <row r="103" spans="1:15" ht="12.75" customHeight="1" x14ac:dyDescent="0.25"/>
    <row r="104" spans="1:15" ht="12.75" customHeight="1" x14ac:dyDescent="0.25">
      <c r="A104" s="33" t="s">
        <v>152</v>
      </c>
      <c r="C104" s="33" t="s">
        <v>153</v>
      </c>
      <c r="H104" s="33" t="s">
        <v>90</v>
      </c>
      <c r="I104" s="36">
        <v>502.8</v>
      </c>
      <c r="K104" s="36">
        <v>4.3099999999999996</v>
      </c>
      <c r="O104" s="36">
        <v>2167.0700000000002</v>
      </c>
    </row>
    <row r="105" spans="1:15" ht="12.75" customHeight="1" x14ac:dyDescent="0.25"/>
    <row r="106" spans="1:15" ht="12.75" customHeight="1" x14ac:dyDescent="0.25">
      <c r="A106" s="33" t="s">
        <v>154</v>
      </c>
      <c r="C106" s="33" t="s">
        <v>155</v>
      </c>
      <c r="H106" s="33" t="s">
        <v>90</v>
      </c>
      <c r="I106" s="36">
        <v>502.8</v>
      </c>
      <c r="K106" s="36">
        <v>22.44</v>
      </c>
      <c r="O106" s="36">
        <v>11282.83</v>
      </c>
    </row>
    <row r="107" spans="1:15" ht="12.75" customHeight="1" x14ac:dyDescent="0.25"/>
    <row r="108" spans="1:15" ht="12.75" customHeight="1" x14ac:dyDescent="0.25">
      <c r="A108" s="33" t="s">
        <v>154</v>
      </c>
      <c r="C108" s="33" t="s">
        <v>156</v>
      </c>
      <c r="H108" s="33" t="s">
        <v>90</v>
      </c>
      <c r="K108" s="36">
        <v>7.81</v>
      </c>
    </row>
    <row r="109" spans="1:15" ht="12.75" customHeight="1" x14ac:dyDescent="0.25"/>
    <row r="110" spans="1:15" ht="12.75" customHeight="1" x14ac:dyDescent="0.25">
      <c r="A110" s="33" t="s">
        <v>157</v>
      </c>
      <c r="C110" s="33" t="s">
        <v>158</v>
      </c>
      <c r="H110" s="33" t="s">
        <v>90</v>
      </c>
      <c r="K110" s="36">
        <v>6.95</v>
      </c>
    </row>
    <row r="111" spans="1:15" ht="12.75" customHeight="1" x14ac:dyDescent="0.25"/>
    <row r="112" spans="1:15" ht="12.75" customHeight="1" x14ac:dyDescent="0.25">
      <c r="A112" s="33" t="s">
        <v>159</v>
      </c>
      <c r="C112" s="33" t="s">
        <v>160</v>
      </c>
      <c r="H112" s="33" t="s">
        <v>69</v>
      </c>
      <c r="K112" s="36">
        <v>32.409999999999997</v>
      </c>
    </row>
    <row r="113" spans="1:15" ht="12.75" customHeight="1" x14ac:dyDescent="0.25"/>
    <row r="114" spans="1:15" ht="12.75" customHeight="1" x14ac:dyDescent="0.25">
      <c r="A114" s="33" t="s">
        <v>161</v>
      </c>
      <c r="E114" s="34" t="s">
        <v>162</v>
      </c>
    </row>
    <row r="115" spans="1:15" ht="12.75" customHeight="1" x14ac:dyDescent="0.25"/>
    <row r="116" spans="1:15" ht="12.75" customHeight="1" x14ac:dyDescent="0.25">
      <c r="A116" s="33" t="s">
        <v>163</v>
      </c>
      <c r="E116" s="34" t="s">
        <v>66</v>
      </c>
    </row>
    <row r="117" spans="1:15" ht="12.75" customHeight="1" x14ac:dyDescent="0.25"/>
    <row r="118" spans="1:15" ht="12.75" customHeight="1" x14ac:dyDescent="0.25">
      <c r="A118" s="33" t="s">
        <v>164</v>
      </c>
      <c r="C118" s="33" t="s">
        <v>81</v>
      </c>
      <c r="H118" s="33" t="s">
        <v>69</v>
      </c>
      <c r="K118" s="36">
        <v>1.8</v>
      </c>
    </row>
    <row r="119" spans="1:15" ht="12.75" customHeight="1" x14ac:dyDescent="0.25"/>
    <row r="120" spans="1:15" ht="12.75" customHeight="1" x14ac:dyDescent="0.25">
      <c r="A120" s="33" t="s">
        <v>165</v>
      </c>
      <c r="C120" s="33" t="s">
        <v>83</v>
      </c>
      <c r="H120" s="33" t="s">
        <v>69</v>
      </c>
      <c r="I120" s="36">
        <v>576</v>
      </c>
      <c r="K120" s="36">
        <v>4.63</v>
      </c>
      <c r="O120" s="36">
        <v>2666.88</v>
      </c>
    </row>
    <row r="121" spans="1:15" ht="12.75" customHeight="1" x14ac:dyDescent="0.25"/>
    <row r="122" spans="1:15" ht="12.75" customHeight="1" x14ac:dyDescent="0.25">
      <c r="A122" s="33" t="s">
        <v>166</v>
      </c>
      <c r="E122" s="34" t="s">
        <v>147</v>
      </c>
    </row>
    <row r="123" spans="1:15" ht="12.75" customHeight="1" x14ac:dyDescent="0.25"/>
    <row r="124" spans="1:15" ht="12.75" customHeight="1" x14ac:dyDescent="0.25">
      <c r="A124" s="33" t="s">
        <v>167</v>
      </c>
      <c r="C124" s="33" t="s">
        <v>89</v>
      </c>
      <c r="H124" s="33" t="s">
        <v>90</v>
      </c>
      <c r="I124" s="36">
        <v>378</v>
      </c>
      <c r="K124" s="36">
        <v>17.010000000000002</v>
      </c>
      <c r="O124" s="36">
        <v>6429.78</v>
      </c>
    </row>
    <row r="125" spans="1:15" ht="12.75" customHeight="1" x14ac:dyDescent="0.25"/>
    <row r="126" spans="1:15" ht="12.75" customHeight="1" x14ac:dyDescent="0.25">
      <c r="A126" s="33" t="s">
        <v>168</v>
      </c>
      <c r="C126" s="33" t="s">
        <v>94</v>
      </c>
      <c r="H126" s="33" t="s">
        <v>90</v>
      </c>
      <c r="I126" s="36">
        <v>252.5</v>
      </c>
      <c r="K126" s="36">
        <v>33.18</v>
      </c>
      <c r="O126" s="36">
        <v>8377.9500000000007</v>
      </c>
    </row>
    <row r="127" spans="1:15" ht="12.75" customHeight="1" x14ac:dyDescent="0.25"/>
    <row r="128" spans="1:15" ht="12.75" customHeight="1" x14ac:dyDescent="0.25">
      <c r="A128" s="33" t="s">
        <v>169</v>
      </c>
      <c r="C128" s="33" t="s">
        <v>96</v>
      </c>
      <c r="H128" s="33" t="s">
        <v>69</v>
      </c>
      <c r="K128" s="36">
        <v>62.01</v>
      </c>
    </row>
    <row r="129" spans="1:18" ht="12.75" customHeight="1" x14ac:dyDescent="0.25"/>
    <row r="130" spans="1:18" ht="12.75" customHeight="1" x14ac:dyDescent="0.25">
      <c r="A130" s="33" t="s">
        <v>170</v>
      </c>
      <c r="C130" s="33" t="s">
        <v>97</v>
      </c>
      <c r="H130" s="33" t="s">
        <v>90</v>
      </c>
      <c r="I130" s="36">
        <v>176</v>
      </c>
      <c r="K130" s="36">
        <v>22.07</v>
      </c>
      <c r="O130" s="36">
        <v>3884.32</v>
      </c>
    </row>
    <row r="131" spans="1:18" ht="12.75" customHeight="1" x14ac:dyDescent="0.25"/>
    <row r="132" spans="1:18" ht="12.75" customHeight="1" x14ac:dyDescent="0.25">
      <c r="A132" s="33" t="s">
        <v>171</v>
      </c>
      <c r="E132" s="34" t="s">
        <v>172</v>
      </c>
    </row>
    <row r="133" spans="1:18" ht="12.75" customHeight="1" x14ac:dyDescent="0.25"/>
    <row r="134" spans="1:18" ht="12.75" customHeight="1" x14ac:dyDescent="0.25">
      <c r="A134" s="33" t="s">
        <v>173</v>
      </c>
      <c r="C134" s="33" t="s">
        <v>174</v>
      </c>
      <c r="H134" s="33" t="s">
        <v>90</v>
      </c>
      <c r="K134" s="36">
        <v>207.31</v>
      </c>
    </row>
    <row r="135" spans="1:18" ht="12.75" customHeight="1" x14ac:dyDescent="0.25"/>
    <row r="136" spans="1:18" ht="12.75" customHeight="1" x14ac:dyDescent="0.25">
      <c r="A136" s="33" t="s">
        <v>175</v>
      </c>
      <c r="C136" s="33" t="s">
        <v>176</v>
      </c>
      <c r="H136" s="33" t="s">
        <v>69</v>
      </c>
      <c r="K136" s="36">
        <v>74.14</v>
      </c>
    </row>
    <row r="137" spans="1:18" ht="12.75" customHeight="1" x14ac:dyDescent="0.25"/>
    <row r="138" spans="1:18" ht="12.75" customHeight="1" x14ac:dyDescent="0.25">
      <c r="A138" s="33" t="s">
        <v>177</v>
      </c>
      <c r="E138" s="34" t="s">
        <v>178</v>
      </c>
      <c r="R138" s="35">
        <v>22667.599999999999</v>
      </c>
    </row>
    <row r="139" spans="1:18" ht="12.75" customHeight="1" x14ac:dyDescent="0.25"/>
    <row r="140" spans="1:18" ht="12.75" customHeight="1" x14ac:dyDescent="0.25">
      <c r="A140" s="33" t="s">
        <v>179</v>
      </c>
      <c r="C140" s="33" t="s">
        <v>180</v>
      </c>
      <c r="H140" s="33" t="s">
        <v>72</v>
      </c>
      <c r="I140" s="36">
        <v>2</v>
      </c>
      <c r="K140" s="36">
        <v>3106.52</v>
      </c>
      <c r="O140" s="36">
        <v>6213.04</v>
      </c>
    </row>
    <row r="141" spans="1:18" ht="12.75" customHeight="1" x14ac:dyDescent="0.25"/>
    <row r="142" spans="1:18" ht="12.75" customHeight="1" x14ac:dyDescent="0.25">
      <c r="A142" s="33" t="s">
        <v>181</v>
      </c>
      <c r="C142" s="33" t="s">
        <v>182</v>
      </c>
      <c r="H142" s="33" t="s">
        <v>72</v>
      </c>
      <c r="I142" s="36">
        <v>2</v>
      </c>
      <c r="K142" s="36">
        <v>4606.5200000000004</v>
      </c>
      <c r="O142" s="36">
        <v>9213.0400000000009</v>
      </c>
    </row>
    <row r="143" spans="1:18" ht="12.75" customHeight="1" x14ac:dyDescent="0.25"/>
    <row r="144" spans="1:18" ht="12.75" customHeight="1" x14ac:dyDescent="0.25">
      <c r="A144" s="33" t="s">
        <v>183</v>
      </c>
      <c r="C144" s="33" t="s">
        <v>184</v>
      </c>
      <c r="H144" s="33" t="s">
        <v>185</v>
      </c>
      <c r="I144" s="36">
        <v>19.2</v>
      </c>
      <c r="K144" s="36">
        <v>8.6999999999999993</v>
      </c>
      <c r="O144" s="36">
        <v>167.04</v>
      </c>
    </row>
    <row r="145" spans="1:15" ht="12.75" customHeight="1" x14ac:dyDescent="0.25"/>
    <row r="146" spans="1:15" ht="12.75" customHeight="1" x14ac:dyDescent="0.25">
      <c r="A146" s="33" t="s">
        <v>186</v>
      </c>
      <c r="C146" s="33" t="s">
        <v>187</v>
      </c>
      <c r="H146" s="33" t="s">
        <v>185</v>
      </c>
      <c r="I146" s="36">
        <v>7.2</v>
      </c>
      <c r="K146" s="36">
        <v>166.09</v>
      </c>
      <c r="O146" s="36">
        <v>1195.8499999999999</v>
      </c>
    </row>
    <row r="147" spans="1:15" ht="12.75" customHeight="1" x14ac:dyDescent="0.25"/>
    <row r="148" spans="1:15" ht="12.75" customHeight="1" x14ac:dyDescent="0.25">
      <c r="A148" s="33" t="s">
        <v>188</v>
      </c>
      <c r="C148" s="33" t="s">
        <v>189</v>
      </c>
      <c r="H148" s="33" t="s">
        <v>185</v>
      </c>
      <c r="I148" s="36">
        <v>50</v>
      </c>
      <c r="K148" s="36">
        <v>798.3</v>
      </c>
      <c r="O148" s="36">
        <v>39915</v>
      </c>
    </row>
    <row r="149" spans="1:15" ht="12.75" customHeight="1" x14ac:dyDescent="0.25"/>
    <row r="150" spans="1:15" ht="12.75" customHeight="1" x14ac:dyDescent="0.25">
      <c r="A150" s="33" t="s">
        <v>190</v>
      </c>
      <c r="C150" s="33" t="s">
        <v>191</v>
      </c>
      <c r="H150" s="33" t="s">
        <v>69</v>
      </c>
      <c r="I150" s="36">
        <v>81.599999999999994</v>
      </c>
      <c r="K150" s="36">
        <v>8.57</v>
      </c>
      <c r="O150" s="36">
        <v>699.31</v>
      </c>
    </row>
    <row r="151" spans="1:15" ht="12.75" customHeight="1" x14ac:dyDescent="0.25"/>
    <row r="152" spans="1:15" ht="12.75" customHeight="1" x14ac:dyDescent="0.25">
      <c r="A152" s="33" t="s">
        <v>192</v>
      </c>
      <c r="C152" s="33" t="s">
        <v>193</v>
      </c>
      <c r="H152" s="33" t="s">
        <v>185</v>
      </c>
      <c r="I152" s="36">
        <v>6</v>
      </c>
      <c r="K152" s="36">
        <v>13.27</v>
      </c>
      <c r="O152" s="36">
        <v>79.62</v>
      </c>
    </row>
    <row r="153" spans="1:15" ht="12.75" customHeight="1" x14ac:dyDescent="0.25"/>
    <row r="154" spans="1:15" ht="12.75" customHeight="1" x14ac:dyDescent="0.25">
      <c r="A154" s="33" t="s">
        <v>194</v>
      </c>
      <c r="C154" s="33" t="s">
        <v>195</v>
      </c>
      <c r="H154" s="33" t="s">
        <v>72</v>
      </c>
      <c r="I154" s="36">
        <v>1</v>
      </c>
      <c r="K154" s="36">
        <v>700</v>
      </c>
      <c r="O154" s="36">
        <v>700</v>
      </c>
    </row>
    <row r="155" spans="1:15" ht="12.75" customHeight="1" x14ac:dyDescent="0.25"/>
    <row r="156" spans="1:15" ht="12.75" customHeight="1" x14ac:dyDescent="0.25">
      <c r="A156" s="33" t="s">
        <v>196</v>
      </c>
      <c r="E156" s="34" t="s">
        <v>197</v>
      </c>
    </row>
    <row r="157" spans="1:15" ht="12.75" customHeight="1" x14ac:dyDescent="0.25"/>
    <row r="158" spans="1:15" ht="12.75" customHeight="1" x14ac:dyDescent="0.25">
      <c r="A158" s="33" t="s">
        <v>198</v>
      </c>
      <c r="C158" s="33" t="s">
        <v>199</v>
      </c>
      <c r="H158" s="33" t="s">
        <v>72</v>
      </c>
      <c r="K158" s="36">
        <v>486.46</v>
      </c>
    </row>
    <row r="159" spans="1:15" ht="12.75" customHeight="1" x14ac:dyDescent="0.25"/>
    <row r="160" spans="1:15" ht="12.75" customHeight="1" x14ac:dyDescent="0.25">
      <c r="A160" s="33" t="s">
        <v>200</v>
      </c>
      <c r="C160" s="33" t="s">
        <v>201</v>
      </c>
      <c r="H160" s="33" t="s">
        <v>72</v>
      </c>
      <c r="K160" s="36">
        <v>636.46</v>
      </c>
    </row>
    <row r="161" spans="1:18" ht="12.75" customHeight="1" x14ac:dyDescent="0.25"/>
    <row r="162" spans="1:18" ht="12.75" customHeight="1" x14ac:dyDescent="0.25">
      <c r="A162" s="33" t="s">
        <v>202</v>
      </c>
      <c r="C162" s="33" t="s">
        <v>203</v>
      </c>
      <c r="H162" s="33" t="s">
        <v>72</v>
      </c>
      <c r="K162" s="36">
        <v>536.46</v>
      </c>
    </row>
    <row r="163" spans="1:18" ht="12.75" customHeight="1" x14ac:dyDescent="0.25"/>
    <row r="164" spans="1:18" ht="12.75" customHeight="1" x14ac:dyDescent="0.25">
      <c r="A164" s="33" t="s">
        <v>204</v>
      </c>
      <c r="C164" s="33" t="s">
        <v>205</v>
      </c>
      <c r="H164" s="33" t="s">
        <v>185</v>
      </c>
      <c r="K164" s="36">
        <v>10.16</v>
      </c>
    </row>
    <row r="165" spans="1:18" ht="12.75" customHeight="1" x14ac:dyDescent="0.25"/>
    <row r="166" spans="1:18" ht="12.75" customHeight="1" x14ac:dyDescent="0.25">
      <c r="A166" s="33" t="s">
        <v>206</v>
      </c>
      <c r="C166" s="33" t="s">
        <v>207</v>
      </c>
      <c r="H166" s="33" t="s">
        <v>69</v>
      </c>
      <c r="I166" s="36">
        <v>12.5</v>
      </c>
      <c r="K166" s="36">
        <v>16.48</v>
      </c>
      <c r="O166" s="36">
        <v>206</v>
      </c>
    </row>
    <row r="167" spans="1:18" ht="12.75" customHeight="1" x14ac:dyDescent="0.25"/>
    <row r="168" spans="1:18" ht="12.75" customHeight="1" x14ac:dyDescent="0.25">
      <c r="A168" s="33" t="s">
        <v>208</v>
      </c>
      <c r="E168" s="34" t="s">
        <v>209</v>
      </c>
      <c r="R168" s="35">
        <v>2800.59</v>
      </c>
    </row>
    <row r="169" spans="1:18" ht="12.75" customHeight="1" x14ac:dyDescent="0.25"/>
    <row r="170" spans="1:18" ht="12.75" customHeight="1" x14ac:dyDescent="0.25">
      <c r="A170" s="33" t="s">
        <v>210</v>
      </c>
      <c r="C170" s="33" t="s">
        <v>211</v>
      </c>
      <c r="H170" s="33" t="s">
        <v>69</v>
      </c>
      <c r="I170" s="36">
        <v>600</v>
      </c>
      <c r="K170" s="36">
        <v>4.2</v>
      </c>
      <c r="O170" s="36">
        <v>2520</v>
      </c>
    </row>
    <row r="171" spans="1:18" ht="12.75" customHeight="1" x14ac:dyDescent="0.25"/>
    <row r="172" spans="1:18" ht="12.75" customHeight="1" x14ac:dyDescent="0.25">
      <c r="A172" s="33" t="s">
        <v>212</v>
      </c>
      <c r="C172" s="33" t="s">
        <v>213</v>
      </c>
      <c r="H172" s="33" t="s">
        <v>69</v>
      </c>
      <c r="I172" s="36">
        <v>18</v>
      </c>
      <c r="K172" s="36">
        <v>2.0099999999999998</v>
      </c>
      <c r="O172" s="36">
        <v>36.18</v>
      </c>
    </row>
    <row r="173" spans="1:18" ht="12.75" customHeight="1" x14ac:dyDescent="0.25"/>
    <row r="174" spans="1:18" ht="12.75" customHeight="1" x14ac:dyDescent="0.25">
      <c r="A174" s="33" t="s">
        <v>214</v>
      </c>
      <c r="E174" s="34" t="s">
        <v>215</v>
      </c>
      <c r="R174" s="35">
        <v>5000</v>
      </c>
    </row>
    <row r="175" spans="1:18" ht="12.75" customHeight="1" x14ac:dyDescent="0.25"/>
    <row r="176" spans="1:18" ht="12.75" customHeight="1" x14ac:dyDescent="0.25">
      <c r="A176" s="33" t="s">
        <v>216</v>
      </c>
      <c r="C176" s="33" t="s">
        <v>217</v>
      </c>
      <c r="H176" s="33" t="s">
        <v>72</v>
      </c>
      <c r="I176" s="36">
        <v>3</v>
      </c>
      <c r="K176" s="36">
        <v>1200</v>
      </c>
      <c r="O176" s="36">
        <v>3600</v>
      </c>
    </row>
    <row r="177" spans="1:18" ht="12.75" customHeight="1" x14ac:dyDescent="0.25"/>
    <row r="178" spans="1:18" ht="12.75" customHeight="1" x14ac:dyDescent="0.25">
      <c r="A178" s="33" t="s">
        <v>218</v>
      </c>
      <c r="C178" s="33" t="s">
        <v>219</v>
      </c>
      <c r="H178" s="33" t="s">
        <v>72</v>
      </c>
      <c r="I178" s="36">
        <v>1</v>
      </c>
      <c r="K178" s="36">
        <v>400</v>
      </c>
      <c r="O178" s="36">
        <v>400</v>
      </c>
    </row>
    <row r="179" spans="1:18" ht="12.75" customHeight="1" x14ac:dyDescent="0.25"/>
    <row r="180" spans="1:18" ht="12.75" customHeight="1" x14ac:dyDescent="0.25">
      <c r="A180" s="33" t="s">
        <v>220</v>
      </c>
      <c r="C180" s="33" t="s">
        <v>221</v>
      </c>
      <c r="H180" s="33" t="s">
        <v>72</v>
      </c>
      <c r="I180" s="36">
        <v>2</v>
      </c>
      <c r="K180" s="36">
        <v>500</v>
      </c>
      <c r="O180" s="36">
        <v>1000</v>
      </c>
    </row>
    <row r="181" spans="1:18" ht="12.75" customHeight="1" x14ac:dyDescent="0.25"/>
    <row r="182" spans="1:18" ht="12.75" customHeight="1" x14ac:dyDescent="0.25">
      <c r="A182" s="33" t="s">
        <v>222</v>
      </c>
      <c r="E182" s="34" t="s">
        <v>223</v>
      </c>
      <c r="R182" s="35">
        <v>26167.200000000001</v>
      </c>
    </row>
    <row r="183" spans="1:18" ht="12.75" customHeight="1" x14ac:dyDescent="0.25"/>
    <row r="184" spans="1:18" ht="12.75" customHeight="1" x14ac:dyDescent="0.25">
      <c r="A184" s="33" t="s">
        <v>224</v>
      </c>
      <c r="C184" s="33" t="s">
        <v>225</v>
      </c>
      <c r="H184" s="33" t="s">
        <v>226</v>
      </c>
      <c r="I184" s="36">
        <v>218.06</v>
      </c>
      <c r="K184" s="36">
        <v>120</v>
      </c>
      <c r="O184" s="36">
        <v>26167.200000000001</v>
      </c>
    </row>
    <row r="185" spans="1:18" ht="12.75" customHeight="1" x14ac:dyDescent="0.25"/>
    <row r="186" spans="1:18" ht="12.75" customHeight="1" x14ac:dyDescent="0.25">
      <c r="I186" s="37" t="s">
        <v>227</v>
      </c>
      <c r="J186" s="38">
        <v>41254.838900462964</v>
      </c>
    </row>
    <row r="187" spans="1:18" ht="12.75" customHeight="1" x14ac:dyDescent="0.25"/>
    <row r="188" spans="1:18" ht="12.75" customHeight="1" x14ac:dyDescent="0.25"/>
    <row r="189" spans="1:18" ht="12.75" customHeight="1" x14ac:dyDescent="0.25"/>
    <row r="190" spans="1:18" ht="12.75" customHeight="1" x14ac:dyDescent="0.25"/>
    <row r="191" spans="1:18" ht="12.75" customHeight="1" x14ac:dyDescent="0.25"/>
    <row r="192" spans="1:18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Metrado Estructuras</vt:lpstr>
      <vt:lpstr>METRADO</vt:lpstr>
      <vt:lpstr>Hoja1</vt:lpstr>
      <vt:lpstr>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2026-03-11T04:21:51Z</dcterms:created>
  <dcterms:modified xsi:type="dcterms:W3CDTF">2026-03-31T22:08:59Z</dcterms:modified>
</cp:coreProperties>
</file>