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/>
  <xr:revisionPtr revIDLastSave="0" documentId="13_ncr:1_{6A459F7D-0B3E-4464-8141-02207F19420C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Metrado Estructuras" sheetId="2" state="hidden" r:id="rId1"/>
    <sheet name="METRADO" sheetId="3" r:id="rId2"/>
    <sheet name="Hoja2" sheetId="5" r:id="rId3"/>
    <sheet name="Hoja1" sheetId="4" state="hidden" r:id="rId4"/>
  </sheets>
  <definedNames>
    <definedName name="KR">Hoja1!$AV$35:$BN$36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" i="2" l="1"/>
  <c r="N21" i="2"/>
  <c r="M21" i="2"/>
  <c r="L21" i="2"/>
  <c r="K21" i="2"/>
  <c r="J21" i="2"/>
  <c r="O20" i="2"/>
  <c r="N20" i="2"/>
  <c r="M20" i="2"/>
  <c r="L20" i="2"/>
  <c r="K20" i="2"/>
  <c r="J20" i="2"/>
  <c r="O19" i="2"/>
  <c r="N19" i="2"/>
  <c r="M19" i="2"/>
  <c r="L19" i="2"/>
  <c r="K19" i="2"/>
  <c r="J19" i="2"/>
  <c r="O18" i="2"/>
  <c r="N18" i="2"/>
  <c r="M18" i="2"/>
  <c r="L18" i="2"/>
  <c r="K18" i="2"/>
  <c r="J18" i="2"/>
  <c r="O17" i="2"/>
  <c r="N17" i="2"/>
  <c r="M17" i="2"/>
  <c r="L17" i="2"/>
  <c r="K17" i="2"/>
  <c r="J17" i="2"/>
  <c r="O16" i="2"/>
  <c r="N16" i="2"/>
  <c r="M16" i="2"/>
  <c r="L16" i="2"/>
  <c r="K16" i="2"/>
  <c r="J16" i="2"/>
  <c r="O15" i="2"/>
  <c r="N15" i="2"/>
  <c r="M15" i="2"/>
  <c r="L15" i="2"/>
  <c r="K15" i="2"/>
  <c r="J15" i="2"/>
  <c r="O14" i="2"/>
  <c r="N14" i="2"/>
  <c r="M14" i="2"/>
  <c r="L14" i="2"/>
  <c r="K14" i="2"/>
  <c r="J14" i="2"/>
  <c r="O13" i="2"/>
  <c r="N13" i="2"/>
  <c r="M13" i="2"/>
  <c r="L13" i="2"/>
  <c r="K13" i="2"/>
  <c r="J13" i="2"/>
  <c r="O12" i="2"/>
  <c r="N12" i="2"/>
  <c r="M12" i="2"/>
  <c r="L12" i="2"/>
  <c r="K12" i="2"/>
  <c r="J12" i="2"/>
  <c r="O11" i="2"/>
  <c r="N11" i="2"/>
  <c r="M11" i="2"/>
  <c r="L11" i="2"/>
  <c r="K11" i="2"/>
  <c r="J11" i="2"/>
  <c r="O10" i="2"/>
  <c r="N10" i="2"/>
  <c r="M10" i="2"/>
  <c r="L10" i="2"/>
  <c r="K10" i="2"/>
  <c r="J10" i="2"/>
  <c r="R9" i="2"/>
  <c r="P12" i="2" l="1"/>
  <c r="P10" i="2"/>
  <c r="P11" i="2"/>
  <c r="Q9" i="2" l="1"/>
</calcChain>
</file>

<file path=xl/sharedStrings.xml><?xml version="1.0" encoding="utf-8"?>
<sst xmlns="http://schemas.openxmlformats.org/spreadsheetml/2006/main" count="352" uniqueCount="230">
  <si>
    <t>HOJA DE METRADOS DIARIOS DE PARTIDAS PROGRAMADAS SEGÚN EXPEDIENTE TECNICO</t>
  </si>
  <si>
    <t>OBRA</t>
  </si>
  <si>
    <t>PARTIDA</t>
  </si>
  <si>
    <t>DESCRIPCION</t>
  </si>
  <si>
    <t>CANTIDAD</t>
  </si>
  <si>
    <t>LONGITUD/AREA</t>
  </si>
  <si>
    <t>ANCHO</t>
  </si>
  <si>
    <t>ALTURA</t>
  </si>
  <si>
    <t>N° VECES</t>
  </si>
  <si>
    <t>Φ</t>
  </si>
  <si>
    <t>DIAMETRO DE REFUERZO DE ACERO</t>
  </si>
  <si>
    <t>1/4"</t>
  </si>
  <si>
    <t>3/8"</t>
  </si>
  <si>
    <t>1/2"</t>
  </si>
  <si>
    <t>|</t>
  </si>
  <si>
    <t>3/4"</t>
  </si>
  <si>
    <t>1"</t>
  </si>
  <si>
    <t>SUB-TOTAL</t>
  </si>
  <si>
    <t>TOTAL</t>
  </si>
  <si>
    <t>UND</t>
  </si>
  <si>
    <t>OE.2.3.7.3</t>
  </si>
  <si>
    <t>Columnas - acero f'y=4200 Kg/cm2</t>
  </si>
  <si>
    <t>ANCHO/EMPAME</t>
  </si>
  <si>
    <t>ALTURA/GANCHO</t>
  </si>
  <si>
    <t>bloque 5 2DO NIVEL</t>
  </si>
  <si>
    <t>COLUMNA</t>
  </si>
  <si>
    <t>ACERO LONGUTDINAL</t>
  </si>
  <si>
    <t>EMPALME</t>
  </si>
  <si>
    <t>MARZO DEL 2026</t>
  </si>
  <si>
    <t>OBRA : “MEJORAMIENTO Y AMPLIACION DE LOS SERVICIOS DE SALUD DEL ESTABLECIMIENTO DE SALUD DE BELEMPAMPA - DISTRITO DE SANTIAGO - PROVINCIA DE CUSCO - REGION CUSCO - HOSPITAL”</t>
  </si>
  <si>
    <t>HOJA DE METRADOS DIARIOS DE PARTIDAS NUEVAS POR APROBAR</t>
  </si>
  <si>
    <t>GRADO</t>
  </si>
  <si>
    <t>FECHA</t>
  </si>
  <si>
    <t>ESPECIALIDAD</t>
  </si>
  <si>
    <t>FRENTE</t>
  </si>
  <si>
    <t>BLOQUE</t>
  </si>
  <si>
    <t>NIVEL (PISO)</t>
  </si>
  <si>
    <t>CUADRILLA</t>
  </si>
  <si>
    <t>GRADO 1</t>
  </si>
  <si>
    <t>GRADO 2</t>
  </si>
  <si>
    <t>GRADO 3</t>
  </si>
  <si>
    <t>GRADO 4</t>
  </si>
  <si>
    <t>DESCRIPCIÓN</t>
  </si>
  <si>
    <t>PARCIAL</t>
  </si>
  <si>
    <t>ACERO</t>
  </si>
  <si>
    <t>TOTAL 2</t>
  </si>
  <si>
    <t>UNIDAD</t>
  </si>
  <si>
    <t>MODIF.</t>
  </si>
  <si>
    <t>S10</t>
  </si>
  <si>
    <t>Página</t>
  </si>
  <si>
    <t>Presupuesto</t>
  </si>
  <si>
    <t>0305020</t>
  </si>
  <si>
    <t>DISEÑO INTEGRAL DEL NUEVO PUENTE DE PISAC</t>
  </si>
  <si>
    <t>Cliente</t>
  </si>
  <si>
    <t>UNIVERSIDAD NACIONAL SAN ANTONIO ABAD DEL CUSCO</t>
  </si>
  <si>
    <t>Costo al</t>
  </si>
  <si>
    <t>01/02/2012</t>
  </si>
  <si>
    <t>Lugar</t>
  </si>
  <si>
    <t>CUSCO - CALCA - PISAC</t>
  </si>
  <si>
    <t>Item</t>
  </si>
  <si>
    <t>Descripción</t>
  </si>
  <si>
    <t>Und.</t>
  </si>
  <si>
    <t>Metrado</t>
  </si>
  <si>
    <t>Precio S/.</t>
  </si>
  <si>
    <t>Parcial S/.</t>
  </si>
  <si>
    <t>01</t>
  </si>
  <si>
    <t>TRABAJOS PRELIMINARES</t>
  </si>
  <si>
    <t>01.01</t>
  </si>
  <si>
    <t>CAMPAMENTO PROVISIONAL DE LA OBRA</t>
  </si>
  <si>
    <t>m2</t>
  </si>
  <si>
    <t>01.02</t>
  </si>
  <si>
    <t>SUMINISTRO Y COLOCACION DE CARTEL DE OBRA DE 2.40x3.60mts</t>
  </si>
  <si>
    <t>und</t>
  </si>
  <si>
    <t>01.03</t>
  </si>
  <si>
    <t>AGUA PARA LA CONSTRUCCION (Almacenamiento y Distribucion)</t>
  </si>
  <si>
    <t>mes</t>
  </si>
  <si>
    <t>ENERGIA ELECTRICA PROVISIONAL (Consumo y Mantenimiento)</t>
  </si>
  <si>
    <t>01.04</t>
  </si>
  <si>
    <t>MOVILIZACION Y DESMOVILIZACION DE MAQUINARIAS Y MATERIALES</t>
  </si>
  <si>
    <t>GLB</t>
  </si>
  <si>
    <t>01.05</t>
  </si>
  <si>
    <t>LIMPIEZA DE TERRENO MANUAL</t>
  </si>
  <si>
    <t>01.06</t>
  </si>
  <si>
    <t>TRAZO Y REPLANTEO</t>
  </si>
  <si>
    <t>01.07</t>
  </si>
  <si>
    <t>TRAZO Y REPLANTEO DURANTE EL PROCESO</t>
  </si>
  <si>
    <t>02</t>
  </si>
  <si>
    <t>ESTRIBOS</t>
  </si>
  <si>
    <t>02.01</t>
  </si>
  <si>
    <t>EXCAVACION CON MAQUINARIA</t>
  </si>
  <si>
    <t>m3</t>
  </si>
  <si>
    <t>02.02</t>
  </si>
  <si>
    <t>EXCAVACION CON MAQUINARIA BAJO AGUA</t>
  </si>
  <si>
    <t>02.03</t>
  </si>
  <si>
    <t>ELIMINACION DE MATERIAL EXCEDENTE</t>
  </si>
  <si>
    <t>02.04</t>
  </si>
  <si>
    <t>ENTIBADO DE ZANJAS</t>
  </si>
  <si>
    <t>RELLENO Y COMPACTACION CON MATERIAL PROPIO</t>
  </si>
  <si>
    <t>02.05</t>
  </si>
  <si>
    <t>SOLADO PARA ZAPATAS, e=10cm, MEZCLA C:H - 1:10</t>
  </si>
  <si>
    <t>02.06</t>
  </si>
  <si>
    <t>ENCOFRADO Y DESENCOFRADO DE ESTRIBOS</t>
  </si>
  <si>
    <t>02.07</t>
  </si>
  <si>
    <t>ACERO FY=4200 KG/CM2</t>
  </si>
  <si>
    <t>kg</t>
  </si>
  <si>
    <t>02.08</t>
  </si>
  <si>
    <t>CONCRETO FC=210 KG/CM2, PARA ESTRIBOS</t>
  </si>
  <si>
    <t>03</t>
  </si>
  <si>
    <t>FALSO PUENTE</t>
  </si>
  <si>
    <t>03.01</t>
  </si>
  <si>
    <t>DADO CONCRETO CICLOPEO f'c=140 kg/cm2 + 30%P.G</t>
  </si>
  <si>
    <t>03.02</t>
  </si>
  <si>
    <t>VIGAS PRINCIPALES  DE MADERA ROLLIZO</t>
  </si>
  <si>
    <t>03.03</t>
  </si>
  <si>
    <t>VIGAS TRANSVERSALES DE MADERA</t>
  </si>
  <si>
    <t>03.04</t>
  </si>
  <si>
    <t>PIES DERECHOS DE MADERA</t>
  </si>
  <si>
    <t>03.05</t>
  </si>
  <si>
    <t>DESMONTAJE DE FALSO PUENTE</t>
  </si>
  <si>
    <t>03.06</t>
  </si>
  <si>
    <t>DEMOLICION DE DADOS DE CONCRETO CICLOPEO</t>
  </si>
  <si>
    <t>04</t>
  </si>
  <si>
    <t>VIGAS POSTENSADAS</t>
  </si>
  <si>
    <t>04.01</t>
  </si>
  <si>
    <t>ENCOFRADO Y DESENCOFRADO</t>
  </si>
  <si>
    <t>04.02</t>
  </si>
  <si>
    <t>04.03</t>
  </si>
  <si>
    <t>ACERO PARA PRETENSADO</t>
  </si>
  <si>
    <t>ton-m</t>
  </si>
  <si>
    <t>04.04</t>
  </si>
  <si>
    <t>CONCRETO FC=350 KG/CM2</t>
  </si>
  <si>
    <t>05</t>
  </si>
  <si>
    <t>LOSA DE PUENTE</t>
  </si>
  <si>
    <t>05.01</t>
  </si>
  <si>
    <t>05.02</t>
  </si>
  <si>
    <t>05.03</t>
  </si>
  <si>
    <t>CONCRETO FC=280 KG/CM2</t>
  </si>
  <si>
    <t>06</t>
  </si>
  <si>
    <t>VEREDAS</t>
  </si>
  <si>
    <t>06.01</t>
  </si>
  <si>
    <t>06.02</t>
  </si>
  <si>
    <t>06.03</t>
  </si>
  <si>
    <t>07</t>
  </si>
  <si>
    <t>ACONDICIONAMIENTO DE ACCESOS</t>
  </si>
  <si>
    <t>07.01</t>
  </si>
  <si>
    <t>07.01.01</t>
  </si>
  <si>
    <t>07.02</t>
  </si>
  <si>
    <t>MOVIMIENTO DE TIERRAS</t>
  </si>
  <si>
    <t>07.02.01</t>
  </si>
  <si>
    <t>EXTRACCION Y APILAMIENTO DE MATERIAL DE CANTERA</t>
  </si>
  <si>
    <t>07.02.02</t>
  </si>
  <si>
    <t>CARGUIO DE MATERIAL DE CANTERA</t>
  </si>
  <si>
    <t>07.02.03</t>
  </si>
  <si>
    <t>TRANSPORTE DE MATERIAL A OBRA</t>
  </si>
  <si>
    <t>07.02.04</t>
  </si>
  <si>
    <t>CONFORMACION DE TERRAPLENES</t>
  </si>
  <si>
    <t>SUB - BASE GRANULAR</t>
  </si>
  <si>
    <t>07.02.05</t>
  </si>
  <si>
    <t>BASE GRANULAR</t>
  </si>
  <si>
    <t>07.02.06</t>
  </si>
  <si>
    <t>IMPRIMACION ASFALTICA</t>
  </si>
  <si>
    <t>08</t>
  </si>
  <si>
    <t>OBRAS DE PROTECCION DEL PUENTE</t>
  </si>
  <si>
    <t>08.01</t>
  </si>
  <si>
    <t>08.01.01</t>
  </si>
  <si>
    <t>08.01.02</t>
  </si>
  <si>
    <t>08.02</t>
  </si>
  <si>
    <t>08.02.01</t>
  </si>
  <si>
    <t>08.02.02</t>
  </si>
  <si>
    <t>08.02.03</t>
  </si>
  <si>
    <t>08.02.04</t>
  </si>
  <si>
    <t>08.03</t>
  </si>
  <si>
    <t>GAVIONES</t>
  </si>
  <si>
    <t>08.03.01</t>
  </si>
  <si>
    <t>GAVION CAJA MALLA H=1M</t>
  </si>
  <si>
    <t>08.03.02</t>
  </si>
  <si>
    <t>COLCHON ANTISOCAVANTE</t>
  </si>
  <si>
    <t>09</t>
  </si>
  <si>
    <t>VARIOS</t>
  </si>
  <si>
    <t>09.01</t>
  </si>
  <si>
    <t>SUMINISTRO  Y COLOCACION DE APOYOS FIJOS</t>
  </si>
  <si>
    <t>09.02</t>
  </si>
  <si>
    <t>SUMINISTRO  Y COLOCACION DE APOYOS MOVILES</t>
  </si>
  <si>
    <t>09.03</t>
  </si>
  <si>
    <t>JUNTAS ASFALTICAS</t>
  </si>
  <si>
    <t>m</t>
  </si>
  <si>
    <t>09.04</t>
  </si>
  <si>
    <t>JUNTA METALICA</t>
  </si>
  <si>
    <t>09.05</t>
  </si>
  <si>
    <t>SUMINISTRO Y COLOCACION DE BARANDA METALICA D=2"</t>
  </si>
  <si>
    <t>09.06</t>
  </si>
  <si>
    <t>PINTURA EN BARANDAS CON ESMALTE ANTICORROSIVO</t>
  </si>
  <si>
    <t>09.07</t>
  </si>
  <si>
    <t>TUBOS DE DRENAJE</t>
  </si>
  <si>
    <t>09.08</t>
  </si>
  <si>
    <t>PLACA RECORDATORIA</t>
  </si>
  <si>
    <t>10</t>
  </si>
  <si>
    <t>SEÑALIZACION</t>
  </si>
  <si>
    <t>10.01</t>
  </si>
  <si>
    <t>SEÑALIZACION PREVENTIVA</t>
  </si>
  <si>
    <t>10.02</t>
  </si>
  <si>
    <t>SEÑALIZACION INFORMATIVA</t>
  </si>
  <si>
    <t>10.03</t>
  </si>
  <si>
    <t>SEÑALIZACION REGULADORA</t>
  </si>
  <si>
    <t>10.04</t>
  </si>
  <si>
    <t>LINEAS CONTINUAS EN PAVIMENTO</t>
  </si>
  <si>
    <t>10.05</t>
  </si>
  <si>
    <t>PINTURA ESMALTE PARA ESTRUCTURA DE CONCRETO</t>
  </si>
  <si>
    <t>11</t>
  </si>
  <si>
    <t>MITIGACION DE IMPACTO AMBIENTAL</t>
  </si>
  <si>
    <t>11.01</t>
  </si>
  <si>
    <t>RESTAURACION DE CANTERAS</t>
  </si>
  <si>
    <t>11.02</t>
  </si>
  <si>
    <t>RESTAURACION DE AREAS AFECTADAS POR CAMPAMENTO</t>
  </si>
  <si>
    <t>12</t>
  </si>
  <si>
    <t>CONTROL DE CALIDAD DE OBRA</t>
  </si>
  <si>
    <t>12.01</t>
  </si>
  <si>
    <t>CONTROL DE CALIDAD DEL CONCRETO</t>
  </si>
  <si>
    <t>12.02</t>
  </si>
  <si>
    <t>CONTROL DE CALIDAD DE AGREGADOS</t>
  </si>
  <si>
    <t>12.03</t>
  </si>
  <si>
    <t>CONTROL DE CALIDAD DE COMPACTACION DE TERRAPLENES</t>
  </si>
  <si>
    <t>13</t>
  </si>
  <si>
    <t>FLETE</t>
  </si>
  <si>
    <t>13.01</t>
  </si>
  <si>
    <t>FLETE TERRESTRE</t>
  </si>
  <si>
    <t>ton</t>
  </si>
  <si>
    <t>Fecha :</t>
  </si>
  <si>
    <t>NOMBRES CUADRILLAS</t>
  </si>
  <si>
    <t>AUTOR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</si>
</sst>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800]dddd\,\ mmmm\ dddd\,\ yyyy"/>
    <numFmt numFmtId="165" formatCode="_ * #,##0.00_ ;_ * \-#,##0.00_ ;_ * &quot;-&quot;??_ ;_ @_ "/>
    <numFmt numFmtId="166" formatCode="#,##0.00_);\-#,##0.00"/>
    <numFmt numFmtId="167" formatCode="dd/mm/yyyy&quot;  &quot;hh&quot;:&quot;mm&quot;:&quot;ss\ AM/PM"/>
    <numFmt numFmtId="169" formatCode="dd/mm/yy;@"/>
  </numFmts>
  <fonts count="19" x14ac:knownFonts="1">
    <font>
      <sz val="11"/>
      <color theme="1"/>
      <name val="Arial"/>
      <family val="2"/>
      <scheme val="minor"/>
    </font>
    <font>
      <sz val="8"/>
      <color theme="1"/>
      <name val="Arial Narrow"/>
      <family val="2"/>
    </font>
    <font>
      <b/>
      <sz val="8"/>
      <color theme="1"/>
      <name val="Arial Narrow"/>
      <family val="2"/>
    </font>
    <font>
      <b/>
      <sz val="16"/>
      <color theme="1"/>
      <name val="Arial Narrow"/>
      <family val="2"/>
    </font>
    <font>
      <sz val="10"/>
      <color rgb="FF000000"/>
      <name val="Arial"/>
      <family val="2"/>
      <scheme val="minor"/>
    </font>
    <font>
      <sz val="10"/>
      <name val="Arial"/>
      <family val="2"/>
    </font>
    <font>
      <b/>
      <sz val="8"/>
      <color rgb="FFFF0000"/>
      <name val="Arial Narrow"/>
      <family val="2"/>
    </font>
    <font>
      <b/>
      <sz val="8"/>
      <color rgb="FF0033CC"/>
      <name val="Arial Narrow"/>
      <family val="2"/>
    </font>
    <font>
      <b/>
      <sz val="8"/>
      <color rgb="FF339966"/>
      <name val="Arial Narrow"/>
      <family val="2"/>
    </font>
    <font>
      <b/>
      <sz val="8"/>
      <name val="Arial Narrow"/>
      <family val="2"/>
    </font>
    <font>
      <sz val="8"/>
      <name val="Arial Narrow"/>
      <family val="2"/>
    </font>
    <font>
      <b/>
      <sz val="8"/>
      <color rgb="FFC00000"/>
      <name val="Arial Narrow"/>
      <family val="2"/>
    </font>
    <font>
      <sz val="6"/>
      <color rgb="FF000000"/>
      <name val="Arial Narrow"/>
      <family val="2"/>
    </font>
    <font>
      <sz val="7"/>
      <color rgb="FF000000"/>
      <name val="Arial Narrow"/>
      <family val="2"/>
    </font>
    <font>
      <b/>
      <sz val="7"/>
      <color rgb="FF000000"/>
      <name val="Arial Narrow"/>
      <family val="2"/>
    </font>
    <font>
      <b/>
      <sz val="9"/>
      <color rgb="FF000000"/>
      <name val="Arial"/>
      <family val="2"/>
    </font>
    <font>
      <b/>
      <sz val="6"/>
      <color rgb="FF000000"/>
      <name val="Arial Narrow"/>
      <family val="2"/>
    </font>
    <font>
      <sz val="11"/>
      <name val="Arial"/>
      <family val="2"/>
      <scheme val="minor"/>
    </font>
    <font>
      <sz val="8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262626"/>
        <bgColor rgb="FF262626"/>
      </patternFill>
    </fill>
  </fills>
  <borders count="1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2" fontId="2" fillId="2" borderId="7" xfId="0" applyNumberFormat="1" applyFont="1" applyFill="1" applyBorder="1" applyAlignment="1">
      <alignment horizontal="center"/>
    </xf>
    <xf numFmtId="4" fontId="2" fillId="2" borderId="7" xfId="0" applyNumberFormat="1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12" fontId="2" fillId="2" borderId="7" xfId="0" applyNumberFormat="1" applyFont="1" applyFill="1" applyBorder="1" applyAlignment="1">
      <alignment horizontal="center"/>
    </xf>
    <xf numFmtId="0" fontId="2" fillId="0" borderId="0" xfId="0" applyFont="1"/>
    <xf numFmtId="4" fontId="6" fillId="0" borderId="7" xfId="0" applyNumberFormat="1" applyFont="1" applyBorder="1" applyAlignment="1">
      <alignment vertical="center"/>
    </xf>
    <xf numFmtId="0" fontId="6" fillId="0" borderId="7" xfId="0" applyFont="1" applyBorder="1" applyAlignment="1">
      <alignment vertical="center"/>
    </xf>
    <xf numFmtId="2" fontId="2" fillId="0" borderId="7" xfId="0" applyNumberFormat="1" applyFont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7" fillId="0" borderId="7" xfId="0" applyNumberFormat="1" applyFont="1" applyBorder="1" applyAlignment="1">
      <alignment vertical="center"/>
    </xf>
    <xf numFmtId="0" fontId="7" fillId="0" borderId="7" xfId="0" applyFont="1" applyBorder="1" applyAlignment="1">
      <alignment vertical="center"/>
    </xf>
    <xf numFmtId="4" fontId="8" fillId="0" borderId="7" xfId="0" applyNumberFormat="1" applyFont="1" applyBorder="1" applyAlignment="1">
      <alignment vertical="center"/>
    </xf>
    <xf numFmtId="2" fontId="1" fillId="0" borderId="7" xfId="0" applyNumberFormat="1" applyFont="1" applyBorder="1" applyAlignment="1">
      <alignment horizontal="center"/>
    </xf>
    <xf numFmtId="12" fontId="1" fillId="0" borderId="7" xfId="0" applyNumberFormat="1" applyFont="1" applyBorder="1" applyAlignment="1">
      <alignment horizontal="center"/>
    </xf>
    <xf numFmtId="165" fontId="1" fillId="0" borderId="7" xfId="0" applyNumberFormat="1" applyFont="1" applyBorder="1" applyAlignment="1">
      <alignment horizontal="center"/>
    </xf>
    <xf numFmtId="4" fontId="2" fillId="0" borderId="7" xfId="0" applyNumberFormat="1" applyFont="1" applyBorder="1" applyAlignment="1">
      <alignment vertical="center"/>
    </xf>
    <xf numFmtId="2" fontId="1" fillId="0" borderId="7" xfId="0" applyNumberFormat="1" applyFont="1" applyBorder="1" applyAlignment="1">
      <alignment horizontal="left"/>
    </xf>
    <xf numFmtId="4" fontId="1" fillId="0" borderId="7" xfId="0" applyNumberFormat="1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2" fillId="0" borderId="7" xfId="0" applyFont="1" applyBorder="1" applyAlignment="1">
      <alignment vertical="center"/>
    </xf>
    <xf numFmtId="4" fontId="1" fillId="0" borderId="0" xfId="0" applyNumberFormat="1" applyFont="1"/>
    <xf numFmtId="2" fontId="11" fillId="0" borderId="7" xfId="0" applyNumberFormat="1" applyFont="1" applyBorder="1" applyAlignment="1">
      <alignment horizont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3" fontId="14" fillId="0" borderId="0" xfId="0" applyNumberFormat="1" applyFont="1" applyAlignment="1">
      <alignment horizontal="right" vertical="center"/>
    </xf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right" vertical="center"/>
    </xf>
    <xf numFmtId="0" fontId="14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166" fontId="16" fillId="0" borderId="0" xfId="0" applyNumberFormat="1" applyFont="1" applyAlignment="1">
      <alignment horizontal="right" vertical="center"/>
    </xf>
    <xf numFmtId="166" fontId="12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right" vertical="center"/>
    </xf>
    <xf numFmtId="167" fontId="14" fillId="0" borderId="0" xfId="0" applyNumberFormat="1" applyFont="1" applyAlignment="1">
      <alignment horizontal="right" vertical="center"/>
    </xf>
    <xf numFmtId="2" fontId="10" fillId="0" borderId="7" xfId="0" applyNumberFormat="1" applyFont="1" applyBorder="1" applyAlignment="1">
      <alignment horizontal="center"/>
    </xf>
    <xf numFmtId="0" fontId="17" fillId="0" borderId="0" xfId="0" applyFont="1"/>
    <xf numFmtId="0" fontId="10" fillId="3" borderId="0" xfId="0" applyFont="1" applyFill="1"/>
    <xf numFmtId="2" fontId="10" fillId="0" borderId="6" xfId="0" applyNumberFormat="1" applyFont="1" applyBorder="1" applyAlignment="1">
      <alignment horizontal="center"/>
    </xf>
    <xf numFmtId="2" fontId="10" fillId="0" borderId="4" xfId="0" applyNumberFormat="1" applyFont="1" applyBorder="1" applyAlignment="1">
      <alignment horizontal="center"/>
    </xf>
    <xf numFmtId="2" fontId="10" fillId="0" borderId="11" xfId="0" applyNumberFormat="1" applyFont="1" applyBorder="1" applyAlignment="1">
      <alignment horizontal="center"/>
    </xf>
    <xf numFmtId="2" fontId="10" fillId="0" borderId="3" xfId="0" applyNumberFormat="1" applyFont="1" applyBorder="1" applyAlignment="1">
      <alignment horizontal="center"/>
    </xf>
    <xf numFmtId="2" fontId="10" fillId="0" borderId="12" xfId="0" applyNumberFormat="1" applyFont="1" applyBorder="1" applyAlignment="1">
      <alignment horizontal="center"/>
    </xf>
    <xf numFmtId="2" fontId="10" fillId="0" borderId="0" xfId="0" applyNumberFormat="1" applyFont="1" applyAlignment="1">
      <alignment horizontal="center"/>
    </xf>
    <xf numFmtId="2" fontId="10" fillId="0" borderId="0" xfId="0" applyNumberFormat="1" applyFont="1" applyAlignment="1">
      <alignment horizontal="left"/>
    </xf>
    <xf numFmtId="2" fontId="9" fillId="0" borderId="9" xfId="0" applyNumberFormat="1" applyFont="1" applyBorder="1" applyAlignment="1">
      <alignment horizontal="center"/>
    </xf>
    <xf numFmtId="2" fontId="9" fillId="0" borderId="8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11" fillId="0" borderId="8" xfId="0" applyNumberFormat="1" applyFont="1" applyBorder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0" borderId="3" xfId="0" applyNumberFormat="1" applyFont="1" applyBorder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/>
    <xf numFmtId="164" fontId="1" fillId="2" borderId="2" xfId="0" applyNumberFormat="1" applyFont="1" applyFill="1" applyBorder="1" applyAlignment="1">
      <alignment horizontal="right" vertical="center"/>
    </xf>
    <xf numFmtId="0" fontId="5" fillId="0" borderId="2" xfId="0" applyFont="1" applyBorder="1"/>
    <xf numFmtId="2" fontId="2" fillId="2" borderId="4" xfId="0" applyNumberFormat="1" applyFont="1" applyFill="1" applyBorder="1" applyAlignment="1">
      <alignment horizontal="center" vertical="center"/>
    </xf>
    <xf numFmtId="0" fontId="5" fillId="0" borderId="5" xfId="0" applyFont="1" applyBorder="1"/>
    <xf numFmtId="0" fontId="5" fillId="0" borderId="6" xfId="0" applyFont="1" applyBorder="1"/>
    <xf numFmtId="2" fontId="2" fillId="2" borderId="3" xfId="0" applyNumberFormat="1" applyFont="1" applyFill="1" applyBorder="1" applyAlignment="1">
      <alignment horizontal="center" vertical="center"/>
    </xf>
    <xf numFmtId="0" fontId="5" fillId="0" borderId="8" xfId="0" applyFont="1" applyBorder="1"/>
    <xf numFmtId="2" fontId="2" fillId="2" borderId="3" xfId="0" applyNumberFormat="1" applyFont="1" applyFill="1" applyBorder="1" applyAlignment="1">
      <alignment horizontal="left" vertical="center"/>
    </xf>
    <xf numFmtId="2" fontId="2" fillId="2" borderId="3" xfId="0" applyNumberFormat="1" applyFont="1" applyFill="1" applyBorder="1" applyAlignment="1">
      <alignment horizontal="center" vertical="center" wrapText="1"/>
    </xf>
    <xf numFmtId="169" fontId="10" fillId="0" borderId="0" xfId="0" applyNumberFormat="1" applyFont="1" applyAlignment="1">
      <alignment horizontal="center"/>
    </xf>
    <xf numFmtId="169" fontId="10" fillId="0" borderId="7" xfId="0" applyNumberFormat="1" applyFont="1" applyBorder="1" applyAlignment="1">
      <alignment horizontal="center"/>
    </xf>
    <xf numFmtId="169" fontId="10" fillId="0" borderId="3" xfId="0" applyNumberFormat="1" applyFont="1" applyBorder="1" applyAlignment="1">
      <alignment horizontal="center"/>
    </xf>
    <xf numFmtId="0" fontId="10" fillId="3" borderId="0" xfId="0" applyFont="1" applyFill="1" applyAlignment="1">
      <alignment vertical="center"/>
    </xf>
    <xf numFmtId="2" fontId="9" fillId="0" borderId="9" xfId="0" applyNumberFormat="1" applyFont="1" applyBorder="1" applyAlignment="1">
      <alignment horizontal="center" vertical="center"/>
    </xf>
    <xf numFmtId="169" fontId="9" fillId="0" borderId="8" xfId="0" applyNumberFormat="1" applyFont="1" applyBorder="1" applyAlignment="1">
      <alignment horizontal="center" vertical="center"/>
    </xf>
    <xf numFmtId="2" fontId="9" fillId="0" borderId="8" xfId="0" applyNumberFormat="1" applyFont="1" applyBorder="1" applyAlignment="1">
      <alignment horizontal="center" vertical="center"/>
    </xf>
    <xf numFmtId="2" fontId="11" fillId="0" borderId="8" xfId="0" applyNumberFormat="1" applyFont="1" applyBorder="1" applyAlignment="1">
      <alignment horizontal="center" vertical="center"/>
    </xf>
    <xf numFmtId="2" fontId="9" fillId="0" borderId="10" xfId="0" applyNumberFormat="1" applyFont="1" applyBorder="1" applyAlignment="1">
      <alignment horizontal="center" vertical="center"/>
    </xf>
    <xf numFmtId="0" fontId="17" fillId="0" borderId="0" xfId="0" applyFont="1" applyAlignment="1">
      <alignment vertical="center"/>
    </xf>
  </cellXfs>
  <cellStyles count="1">
    <cellStyle name="Normal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rgb="FF000000"/>
        </left>
        <right style="hair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/>
        <top style="hair">
          <color rgb="FF000000"/>
        </top>
        <bottom style="hair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C00000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C00000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169" formatCode="dd/mm/yy;@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/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border outline="0">
        <top style="hair">
          <color rgb="FF000000"/>
        </top>
      </border>
    </dxf>
    <dxf>
      <border outline="0">
        <bottom style="hair">
          <color rgb="FF000000"/>
        </bottom>
      </border>
    </dxf>
    <dxf>
      <border outline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0</xdr:row>
      <xdr:rowOff>0</xdr:rowOff>
    </xdr:from>
    <xdr:ext cx="8524875" cy="11430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133350</xdr:colOff>
      <xdr:row>0</xdr:row>
      <xdr:rowOff>0</xdr:rowOff>
    </xdr:from>
    <xdr:ext cx="4829175" cy="581025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0EECDDA-F12C-4CFE-B3F2-A8CC73A89723}" name="Tabla6" displayName="Tabla6" ref="B7:AA10000" totalsRowShown="0" headerRowDxfId="0" headerRowBorderDxfId="28" tableBorderDxfId="29" totalsRowBorderDxfId="27">
  <autoFilter ref="B7:AA10000" xr:uid="{60EECDDA-F12C-4CFE-B3F2-A8CC73A89723}"/>
  <tableColumns count="26">
    <tableColumn id="1" xr3:uid="{CA2653CE-0D99-4A94-AEF8-A6E3F50822EB}" name="GRADO" dataDxfId="26"/>
    <tableColumn id="2" xr3:uid="{89D1C300-8D73-4402-AF9B-F84ACBAAB367}" name="FECHA" dataDxfId="25"/>
    <tableColumn id="3" xr3:uid="{028D1830-AE87-48D8-ABA8-AED9FC956C3C}" name="ESPECIALIDAD" dataDxfId="24"/>
    <tableColumn id="4" xr3:uid="{CCEFB86E-B4C5-4971-BF3D-950F12BE4748}" name="FRENTE" dataDxfId="23"/>
    <tableColumn id="5" xr3:uid="{63D1AC7C-A10C-4CF0-B4C9-A9601AC29C6A}" name="BLOQUE" dataDxfId="22"/>
    <tableColumn id="6" xr3:uid="{0339489E-ED18-4AC0-9947-4523ADFA854E}" name="NIVEL (PISO)" dataDxfId="21"/>
    <tableColumn id="7" xr3:uid="{D41A1737-FCCA-4629-BD94-A1DBDA55EFF3}" name="CUADRILLA" dataDxfId="20"/>
    <tableColumn id="8" xr3:uid="{6E9E2843-CF04-43E6-AE73-548632569FDE}" name="GRADO 1" dataDxfId="19"/>
    <tableColumn id="9" xr3:uid="{422D3682-6B2E-45F7-AE46-661987B52DF1}" name="GRADO 2" dataDxfId="18"/>
    <tableColumn id="10" xr3:uid="{B59C81EA-EFCE-4B9F-B280-0DAE1C8F4210}" name="GRADO 3" dataDxfId="17"/>
    <tableColumn id="11" xr3:uid="{EB1A99D3-C540-4F1B-AB17-E008B270E063}" name="GRADO 4" dataDxfId="16"/>
    <tableColumn id="12" xr3:uid="{F1AF8275-6E5E-49C5-8E30-809254F1B6C1}" name="PARTIDA" dataDxfId="15"/>
    <tableColumn id="13" xr3:uid="{28F4C25A-6436-40D8-B9B4-FA2D40B54353}" name="DESCRIPCIÓN" dataDxfId="14"/>
    <tableColumn id="14" xr3:uid="{34797B6F-191C-4D42-BA09-278183F65047}" name="CANTIDAD" dataDxfId="13"/>
    <tableColumn id="15" xr3:uid="{831EDFD5-D3B5-46ED-BE66-CABED4AC42B3}" name="LONGITUD/AREA" dataDxfId="12"/>
    <tableColumn id="16" xr3:uid="{1B347271-7C32-4B6B-968E-9A16DF913EA3}" name="ANCHO/EMPAME" dataDxfId="11"/>
    <tableColumn id="17" xr3:uid="{4F11B377-CF8D-4BB8-8344-A368A8D36C12}" name="ALTURA/GANCHO" dataDxfId="10"/>
    <tableColumn id="18" xr3:uid="{B6BEB75A-9D06-4B83-B834-316B0586B401}" name="PARCIAL" dataDxfId="9"/>
    <tableColumn id="19" xr3:uid="{113462EA-0184-4F7B-97BD-AAD19E64C4E4}" name="N° VECES" dataDxfId="8"/>
    <tableColumn id="20" xr3:uid="{453318D1-33D1-434F-BCDB-E78599C44262}" name="ACERO" dataDxfId="7"/>
    <tableColumn id="21" xr3:uid="{6DD4C9D7-E359-48A6-A9D4-EF4B1D3BEC07}" name="TOTAL" dataDxfId="6"/>
    <tableColumn id="22" xr3:uid="{E54168C1-8A2D-44CB-BE84-2143E6B34373}" name="TOTAL 2" dataDxfId="5"/>
    <tableColumn id="23" xr3:uid="{87921F61-8E13-47FF-97D7-4FEB3708ABFB}" name="UNIDAD" dataDxfId="4"/>
    <tableColumn id="24" xr3:uid="{AA1194DC-3ABC-459A-89A0-62771AD81C24}" name="MODIF." dataDxfId="3"/>
    <tableColumn id="25" xr3:uid="{72992AF6-27B3-453E-A871-898E4507257B}" name="NOMBRES CUADRILLAS" dataDxfId="2"/>
    <tableColumn id="26" xr3:uid="{87C15D0D-4D28-4501-BA30-8DC30C9D0222}" name="AUTOR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zoomScaleNormal="100" workbookViewId="0">
      <pane ySplit="6" topLeftCell="A7" activePane="bottomLeft" state="frozen"/>
      <selection pane="bottomLeft" activeCell="B8" sqref="B8"/>
    </sheetView>
  </sheetViews>
  <sheetFormatPr baseColWidth="10" defaultColWidth="12.69921875" defaultRowHeight="13.8" x14ac:dyDescent="0.25"/>
  <cols>
    <col min="1" max="1" width="3.69921875" customWidth="1"/>
    <col min="2" max="2" width="11.3984375" customWidth="1"/>
    <col min="3" max="3" width="44.3984375" customWidth="1"/>
    <col min="4" max="4" width="10.296875" customWidth="1"/>
    <col min="5" max="5" width="11.3984375" customWidth="1"/>
    <col min="6" max="7" width="11.3984375" hidden="1" customWidth="1"/>
    <col min="8" max="8" width="8.69921875" customWidth="1"/>
    <col min="9" max="9" width="5.69921875" customWidth="1"/>
    <col min="10" max="15" width="6.69921875" customWidth="1"/>
    <col min="16" max="16" width="11.69921875" customWidth="1"/>
    <col min="17" max="17" width="11.3984375" customWidth="1"/>
    <col min="18" max="18" width="6.3984375" customWidth="1"/>
    <col min="19" max="26" width="11.3984375" customWidth="1"/>
  </cols>
  <sheetData>
    <row r="1" spans="1:26" ht="93" customHeight="1" x14ac:dyDescent="0.25">
      <c r="A1" s="1"/>
      <c r="B1" s="1"/>
      <c r="C1" s="1"/>
      <c r="D1" s="2"/>
      <c r="E1" s="2"/>
      <c r="F1" s="2"/>
      <c r="G1" s="2"/>
      <c r="H1" s="55" t="s">
        <v>0</v>
      </c>
      <c r="I1" s="56"/>
      <c r="J1" s="56"/>
      <c r="K1" s="56"/>
      <c r="L1" s="56"/>
      <c r="M1" s="56"/>
      <c r="N1" s="56"/>
      <c r="O1" s="56"/>
      <c r="P1" s="56"/>
      <c r="Q1" s="56"/>
      <c r="R1" s="56"/>
      <c r="S1" s="1"/>
      <c r="T1" s="1"/>
      <c r="U1" s="1"/>
      <c r="V1" s="1"/>
      <c r="W1" s="1"/>
      <c r="X1" s="1"/>
      <c r="Y1" s="1"/>
      <c r="Z1" s="1"/>
    </row>
    <row r="2" spans="1:26" ht="15" customHeight="1" x14ac:dyDescent="0.25">
      <c r="A2" s="1"/>
      <c r="B2" s="1" t="s">
        <v>1</v>
      </c>
      <c r="C2" s="1"/>
      <c r="D2" s="2"/>
      <c r="E2" s="2"/>
      <c r="F2" s="2"/>
      <c r="G2" s="2"/>
      <c r="H2" s="2"/>
      <c r="I2" s="2"/>
      <c r="J2" s="3"/>
      <c r="K2" s="3"/>
      <c r="L2" s="3"/>
      <c r="M2" s="3"/>
      <c r="N2" s="3"/>
      <c r="O2" s="3"/>
      <c r="P2" s="3"/>
      <c r="Q2" s="3"/>
      <c r="R2" s="3"/>
      <c r="S2" s="1"/>
      <c r="T2" s="1"/>
      <c r="U2" s="1"/>
      <c r="V2" s="1"/>
      <c r="W2" s="1"/>
      <c r="X2" s="1"/>
      <c r="Y2" s="1"/>
      <c r="Z2" s="1"/>
    </row>
    <row r="3" spans="1:26" ht="15" customHeight="1" x14ac:dyDescent="0.25">
      <c r="A3" s="1"/>
      <c r="B3" s="1"/>
      <c r="C3" s="1"/>
      <c r="D3" s="2"/>
      <c r="E3" s="2"/>
      <c r="F3" s="2"/>
      <c r="G3" s="2"/>
      <c r="H3" s="2"/>
      <c r="I3" s="2"/>
      <c r="J3" s="3"/>
      <c r="K3" s="3"/>
      <c r="L3" s="3"/>
      <c r="M3" s="3"/>
      <c r="N3" s="3"/>
      <c r="O3" s="3"/>
      <c r="P3" s="3"/>
      <c r="Q3" s="3"/>
      <c r="R3" s="3"/>
      <c r="S3" s="1"/>
      <c r="T3" s="1"/>
      <c r="U3" s="1"/>
      <c r="V3" s="1"/>
      <c r="W3" s="1"/>
      <c r="X3" s="1"/>
      <c r="Y3" s="1"/>
      <c r="Z3" s="1"/>
    </row>
    <row r="4" spans="1:26" ht="18" customHeight="1" x14ac:dyDescent="0.25">
      <c r="A4" s="1"/>
      <c r="B4" s="57">
        <v>45809</v>
      </c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1"/>
      <c r="T4" s="1"/>
      <c r="U4" s="1"/>
      <c r="V4" s="1"/>
      <c r="W4" s="1"/>
      <c r="X4" s="1"/>
      <c r="Y4" s="1"/>
      <c r="Z4" s="1"/>
    </row>
    <row r="5" spans="1:26" ht="9.75" customHeight="1" x14ac:dyDescent="0.25">
      <c r="A5" s="1"/>
      <c r="B5" s="62" t="s">
        <v>2</v>
      </c>
      <c r="C5" s="64" t="s">
        <v>3</v>
      </c>
      <c r="D5" s="62" t="s">
        <v>4</v>
      </c>
      <c r="E5" s="65" t="s">
        <v>5</v>
      </c>
      <c r="F5" s="65" t="s">
        <v>6</v>
      </c>
      <c r="G5" s="65" t="s">
        <v>7</v>
      </c>
      <c r="H5" s="65" t="s">
        <v>8</v>
      </c>
      <c r="I5" s="65" t="s">
        <v>9</v>
      </c>
      <c r="J5" s="59" t="s">
        <v>10</v>
      </c>
      <c r="K5" s="60"/>
      <c r="L5" s="60"/>
      <c r="M5" s="60"/>
      <c r="N5" s="60"/>
      <c r="O5" s="61"/>
      <c r="P5" s="4"/>
      <c r="Q5" s="5"/>
      <c r="R5" s="6"/>
      <c r="S5" s="1"/>
      <c r="T5" s="1"/>
      <c r="U5" s="1"/>
      <c r="V5" s="1"/>
      <c r="W5" s="1"/>
      <c r="X5" s="1"/>
      <c r="Y5" s="1"/>
      <c r="Z5" s="1"/>
    </row>
    <row r="6" spans="1:26" ht="9.75" customHeight="1" x14ac:dyDescent="0.25">
      <c r="A6" s="1"/>
      <c r="B6" s="63"/>
      <c r="C6" s="63"/>
      <c r="D6" s="63"/>
      <c r="E6" s="63"/>
      <c r="F6" s="63"/>
      <c r="G6" s="63"/>
      <c r="H6" s="63"/>
      <c r="I6" s="63"/>
      <c r="J6" s="7" t="s">
        <v>11</v>
      </c>
      <c r="K6" s="7" t="s">
        <v>12</v>
      </c>
      <c r="L6" s="7" t="s">
        <v>13</v>
      </c>
      <c r="M6" s="7" t="s">
        <v>14</v>
      </c>
      <c r="N6" s="7" t="s">
        <v>15</v>
      </c>
      <c r="O6" s="7" t="s">
        <v>16</v>
      </c>
      <c r="P6" s="4" t="s">
        <v>17</v>
      </c>
      <c r="Q6" s="5" t="s">
        <v>18</v>
      </c>
      <c r="R6" s="6" t="s">
        <v>19</v>
      </c>
      <c r="S6" s="1"/>
      <c r="T6" s="1"/>
      <c r="U6" s="1"/>
      <c r="V6" s="1"/>
      <c r="W6" s="1"/>
      <c r="X6" s="1"/>
      <c r="Y6" s="1"/>
      <c r="Z6" s="1"/>
    </row>
    <row r="7" spans="1:26" ht="9.75" customHeight="1" x14ac:dyDescent="0.25">
      <c r="A7" s="8"/>
      <c r="B7" s="9" t="s">
        <v>20</v>
      </c>
      <c r="C7" s="10" t="s">
        <v>21</v>
      </c>
      <c r="D7" s="9"/>
      <c r="E7" s="9"/>
      <c r="F7" s="9"/>
      <c r="G7" s="11"/>
      <c r="H7" s="11"/>
      <c r="I7" s="11"/>
      <c r="J7" s="11"/>
      <c r="K7" s="11"/>
      <c r="L7" s="11"/>
      <c r="M7" s="11"/>
      <c r="N7" s="11"/>
      <c r="O7" s="11" t="s">
        <v>4</v>
      </c>
      <c r="P7" s="11" t="s">
        <v>5</v>
      </c>
      <c r="Q7" s="12" t="s">
        <v>22</v>
      </c>
      <c r="R7" s="11" t="s">
        <v>23</v>
      </c>
      <c r="S7" s="8"/>
      <c r="T7" s="8"/>
      <c r="U7" s="8"/>
      <c r="V7" s="8"/>
      <c r="W7" s="8"/>
      <c r="X7" s="8"/>
      <c r="Y7" s="8"/>
      <c r="Z7" s="8"/>
    </row>
    <row r="8" spans="1:26" ht="9.75" customHeight="1" x14ac:dyDescent="0.25">
      <c r="A8" s="8"/>
      <c r="B8" s="13"/>
      <c r="C8" s="14" t="s">
        <v>24</v>
      </c>
      <c r="D8" s="15"/>
      <c r="E8" s="15"/>
      <c r="F8" s="15"/>
      <c r="G8" s="11"/>
      <c r="H8" s="16"/>
      <c r="I8" s="17"/>
      <c r="J8" s="18"/>
      <c r="K8" s="18"/>
      <c r="L8" s="18"/>
      <c r="M8" s="18"/>
      <c r="N8" s="18"/>
      <c r="O8" s="18"/>
      <c r="P8" s="16"/>
      <c r="Q8" s="12"/>
      <c r="R8" s="11"/>
      <c r="S8" s="8"/>
      <c r="T8" s="8"/>
      <c r="U8" s="8"/>
      <c r="V8" s="8"/>
      <c r="W8" s="8"/>
      <c r="X8" s="8"/>
      <c r="Y8" s="8"/>
      <c r="Z8" s="8"/>
    </row>
    <row r="9" spans="1:26" ht="9.75" customHeight="1" x14ac:dyDescent="0.25">
      <c r="A9" s="1"/>
      <c r="B9" s="19"/>
      <c r="C9" s="20" t="s">
        <v>25</v>
      </c>
      <c r="D9" s="15"/>
      <c r="E9" s="15"/>
      <c r="F9" s="15"/>
      <c r="G9" s="11"/>
      <c r="H9" s="11"/>
      <c r="I9" s="11"/>
      <c r="J9" s="18"/>
      <c r="K9" s="18"/>
      <c r="L9" s="18"/>
      <c r="M9" s="18"/>
      <c r="N9" s="18"/>
      <c r="O9" s="18"/>
      <c r="P9" s="11"/>
      <c r="Q9" s="12">
        <f>SUM(P9:P14)</f>
        <v>1498.6879999999999</v>
      </c>
      <c r="R9" s="11" t="e">
        <f>+#REF!</f>
        <v>#REF!</v>
      </c>
      <c r="S9" s="1"/>
      <c r="T9" s="1"/>
      <c r="U9" s="1"/>
      <c r="V9" s="1"/>
      <c r="W9" s="1"/>
      <c r="X9" s="1"/>
      <c r="Y9" s="1"/>
      <c r="Z9" s="1"/>
    </row>
    <row r="10" spans="1:26" ht="9.75" customHeight="1" x14ac:dyDescent="0.25">
      <c r="A10" s="1"/>
      <c r="B10" s="16"/>
      <c r="C10" s="20" t="s">
        <v>26</v>
      </c>
      <c r="D10" s="16">
        <v>4</v>
      </c>
      <c r="E10" s="16">
        <v>4.5</v>
      </c>
      <c r="F10" s="16"/>
      <c r="G10" s="16"/>
      <c r="H10" s="16">
        <v>20</v>
      </c>
      <c r="I10" s="16" t="s">
        <v>16</v>
      </c>
      <c r="J10" s="18">
        <f t="shared" ref="J10:J21" si="0">+IF(I10=$J$6,D10*E10*H10*0.254,0)</f>
        <v>0</v>
      </c>
      <c r="K10" s="18">
        <f t="shared" ref="K10:K21" si="1">+IF(I10=$K$6,D10*E10*H10*0.56,0)</f>
        <v>0</v>
      </c>
      <c r="L10" s="18">
        <f t="shared" ref="L10:L21" si="2">+IF(I10=$L$6,D10*E10*H10*0.994,0)</f>
        <v>0</v>
      </c>
      <c r="M10" s="18">
        <f t="shared" ref="M10:M21" si="3">+IF(I10=$M$6,D10*E10*H10*1.55,0)</f>
        <v>0</v>
      </c>
      <c r="N10" s="18">
        <f t="shared" ref="N10:N21" si="4">+IF(I10=$N$6,D10*E10*H10*2.24,0)</f>
        <v>0</v>
      </c>
      <c r="O10" s="18">
        <f t="shared" ref="O10:O21" si="5">+IF(I10=$O$6,D10*E10*H10*3.97,0)</f>
        <v>1429.2</v>
      </c>
      <c r="P10" s="16">
        <f t="shared" ref="P10:P12" si="6">+SUM(J10:O10)</f>
        <v>1429.2</v>
      </c>
      <c r="Q10" s="21"/>
      <c r="R10" s="22"/>
      <c r="S10" s="1"/>
      <c r="T10" s="1"/>
      <c r="U10" s="1"/>
      <c r="V10" s="1"/>
      <c r="W10" s="1"/>
      <c r="X10" s="1"/>
      <c r="Y10" s="1"/>
      <c r="Z10" s="1"/>
    </row>
    <row r="11" spans="1:26" ht="9.75" customHeight="1" x14ac:dyDescent="0.25">
      <c r="A11" s="1"/>
      <c r="B11" s="16"/>
      <c r="C11" s="20" t="s">
        <v>27</v>
      </c>
      <c r="D11" s="16">
        <v>2</v>
      </c>
      <c r="E11" s="16">
        <v>1.8</v>
      </c>
      <c r="F11" s="16"/>
      <c r="G11" s="16"/>
      <c r="H11" s="16">
        <v>4</v>
      </c>
      <c r="I11" s="16" t="s">
        <v>16</v>
      </c>
      <c r="J11" s="18">
        <f t="shared" si="0"/>
        <v>0</v>
      </c>
      <c r="K11" s="18">
        <f t="shared" si="1"/>
        <v>0</v>
      </c>
      <c r="L11" s="18">
        <f t="shared" si="2"/>
        <v>0</v>
      </c>
      <c r="M11" s="18">
        <f t="shared" si="3"/>
        <v>0</v>
      </c>
      <c r="N11" s="18">
        <f t="shared" si="4"/>
        <v>0</v>
      </c>
      <c r="O11" s="18">
        <f t="shared" si="5"/>
        <v>57.168000000000006</v>
      </c>
      <c r="P11" s="16">
        <f t="shared" si="6"/>
        <v>57.168000000000006</v>
      </c>
      <c r="Q11" s="21"/>
      <c r="R11" s="22"/>
      <c r="S11" s="1"/>
      <c r="T11" s="1"/>
      <c r="U11" s="1"/>
      <c r="V11" s="1"/>
      <c r="W11" s="1"/>
      <c r="X11" s="1"/>
      <c r="Y11" s="1"/>
      <c r="Z11" s="1"/>
    </row>
    <row r="12" spans="1:26" ht="9.75" customHeight="1" x14ac:dyDescent="0.25">
      <c r="A12" s="1"/>
      <c r="B12" s="16"/>
      <c r="C12" s="20"/>
      <c r="D12" s="16">
        <v>20</v>
      </c>
      <c r="E12" s="16">
        <v>1.1000000000000001</v>
      </c>
      <c r="F12" s="16"/>
      <c r="G12" s="16"/>
      <c r="H12" s="16">
        <v>1</v>
      </c>
      <c r="I12" s="16" t="s">
        <v>12</v>
      </c>
      <c r="J12" s="18">
        <f t="shared" si="0"/>
        <v>0</v>
      </c>
      <c r="K12" s="18">
        <f t="shared" si="1"/>
        <v>12.32</v>
      </c>
      <c r="L12" s="18">
        <f t="shared" si="2"/>
        <v>0</v>
      </c>
      <c r="M12" s="18">
        <f t="shared" si="3"/>
        <v>0</v>
      </c>
      <c r="N12" s="18">
        <f t="shared" si="4"/>
        <v>0</v>
      </c>
      <c r="O12" s="18">
        <f t="shared" si="5"/>
        <v>0</v>
      </c>
      <c r="P12" s="16">
        <f t="shared" si="6"/>
        <v>12.32</v>
      </c>
      <c r="Q12" s="21"/>
      <c r="R12" s="22"/>
      <c r="S12" s="1"/>
      <c r="T12" s="1"/>
      <c r="U12" s="1"/>
      <c r="V12" s="1"/>
      <c r="W12" s="1"/>
      <c r="X12" s="1"/>
      <c r="Y12" s="1"/>
      <c r="Z12" s="1"/>
    </row>
    <row r="13" spans="1:26" ht="9.75" customHeight="1" x14ac:dyDescent="0.25">
      <c r="A13" s="1"/>
      <c r="B13" s="16"/>
      <c r="C13" s="16"/>
      <c r="D13" s="16"/>
      <c r="E13" s="16"/>
      <c r="F13" s="16"/>
      <c r="G13" s="16"/>
      <c r="H13" s="16"/>
      <c r="I13" s="16"/>
      <c r="J13" s="18">
        <f t="shared" si="0"/>
        <v>0</v>
      </c>
      <c r="K13" s="18">
        <f t="shared" si="1"/>
        <v>0</v>
      </c>
      <c r="L13" s="18">
        <f t="shared" si="2"/>
        <v>0</v>
      </c>
      <c r="M13" s="18">
        <f t="shared" si="3"/>
        <v>0</v>
      </c>
      <c r="N13" s="18">
        <f t="shared" si="4"/>
        <v>0</v>
      </c>
      <c r="O13" s="18">
        <f t="shared" si="5"/>
        <v>0</v>
      </c>
      <c r="P13" s="16"/>
      <c r="Q13" s="21"/>
      <c r="R13" s="22"/>
      <c r="S13" s="1"/>
      <c r="T13" s="1"/>
      <c r="U13" s="1"/>
      <c r="V13" s="1"/>
      <c r="W13" s="1"/>
      <c r="X13" s="1"/>
      <c r="Y13" s="1"/>
      <c r="Z13" s="1"/>
    </row>
    <row r="14" spans="1:26" ht="9.75" customHeight="1" x14ac:dyDescent="0.25">
      <c r="A14" s="1"/>
      <c r="B14" s="19"/>
      <c r="C14" s="23"/>
      <c r="D14" s="15"/>
      <c r="E14" s="15"/>
      <c r="F14" s="15"/>
      <c r="G14" s="11"/>
      <c r="H14" s="11"/>
      <c r="I14" s="11"/>
      <c r="J14" s="18">
        <f t="shared" si="0"/>
        <v>0</v>
      </c>
      <c r="K14" s="18">
        <f t="shared" si="1"/>
        <v>0</v>
      </c>
      <c r="L14" s="18">
        <f t="shared" si="2"/>
        <v>0</v>
      </c>
      <c r="M14" s="18">
        <f t="shared" si="3"/>
        <v>0</v>
      </c>
      <c r="N14" s="18">
        <f t="shared" si="4"/>
        <v>0</v>
      </c>
      <c r="O14" s="18">
        <f t="shared" si="5"/>
        <v>0</v>
      </c>
      <c r="P14" s="11"/>
      <c r="Q14" s="12"/>
      <c r="R14" s="11"/>
      <c r="S14" s="1"/>
      <c r="T14" s="1"/>
      <c r="U14" s="1"/>
      <c r="V14" s="1"/>
      <c r="W14" s="1"/>
      <c r="X14" s="1"/>
      <c r="Y14" s="1"/>
      <c r="Z14" s="1"/>
    </row>
    <row r="15" spans="1:26" ht="9.75" customHeight="1" x14ac:dyDescent="0.25">
      <c r="A15" s="1"/>
      <c r="B15" s="16"/>
      <c r="C15" s="20"/>
      <c r="D15" s="16"/>
      <c r="E15" s="16"/>
      <c r="F15" s="16"/>
      <c r="G15" s="16"/>
      <c r="H15" s="16"/>
      <c r="I15" s="16"/>
      <c r="J15" s="18">
        <f t="shared" si="0"/>
        <v>0</v>
      </c>
      <c r="K15" s="18">
        <f t="shared" si="1"/>
        <v>0</v>
      </c>
      <c r="L15" s="18">
        <f t="shared" si="2"/>
        <v>0</v>
      </c>
      <c r="M15" s="18">
        <f t="shared" si="3"/>
        <v>0</v>
      </c>
      <c r="N15" s="18">
        <f t="shared" si="4"/>
        <v>0</v>
      </c>
      <c r="O15" s="18">
        <f t="shared" si="5"/>
        <v>0</v>
      </c>
      <c r="P15" s="16"/>
      <c r="Q15" s="21"/>
      <c r="R15" s="22"/>
      <c r="S15" s="1"/>
      <c r="T15" s="1"/>
      <c r="U15" s="1"/>
      <c r="V15" s="1"/>
      <c r="W15" s="1"/>
      <c r="X15" s="1"/>
      <c r="Y15" s="1"/>
      <c r="Z15" s="1"/>
    </row>
    <row r="16" spans="1:26" ht="9.75" customHeight="1" x14ac:dyDescent="0.25">
      <c r="A16" s="1"/>
      <c r="B16" s="16"/>
      <c r="C16" s="16"/>
      <c r="D16" s="16"/>
      <c r="E16" s="16"/>
      <c r="F16" s="16"/>
      <c r="G16" s="16"/>
      <c r="H16" s="16"/>
      <c r="I16" s="16"/>
      <c r="J16" s="18">
        <f t="shared" si="0"/>
        <v>0</v>
      </c>
      <c r="K16" s="18">
        <f t="shared" si="1"/>
        <v>0</v>
      </c>
      <c r="L16" s="18">
        <f t="shared" si="2"/>
        <v>0</v>
      </c>
      <c r="M16" s="18">
        <f t="shared" si="3"/>
        <v>0</v>
      </c>
      <c r="N16" s="18">
        <f t="shared" si="4"/>
        <v>0</v>
      </c>
      <c r="O16" s="18">
        <f t="shared" si="5"/>
        <v>0</v>
      </c>
      <c r="P16" s="16"/>
      <c r="Q16" s="21"/>
      <c r="R16" s="22"/>
      <c r="S16" s="1"/>
      <c r="T16" s="1"/>
      <c r="U16" s="1"/>
      <c r="V16" s="1"/>
      <c r="W16" s="1"/>
      <c r="X16" s="1"/>
      <c r="Y16" s="1"/>
      <c r="Z16" s="1"/>
    </row>
    <row r="17" spans="1:26" ht="9.75" customHeight="1" x14ac:dyDescent="0.25">
      <c r="A17" s="8"/>
      <c r="B17" s="19"/>
      <c r="C17" s="23"/>
      <c r="D17" s="15"/>
      <c r="E17" s="15"/>
      <c r="F17" s="15"/>
      <c r="G17" s="11"/>
      <c r="H17" s="11"/>
      <c r="I17" s="11"/>
      <c r="J17" s="18">
        <f t="shared" si="0"/>
        <v>0</v>
      </c>
      <c r="K17" s="18">
        <f t="shared" si="1"/>
        <v>0</v>
      </c>
      <c r="L17" s="18">
        <f t="shared" si="2"/>
        <v>0</v>
      </c>
      <c r="M17" s="18">
        <f t="shared" si="3"/>
        <v>0</v>
      </c>
      <c r="N17" s="18">
        <f t="shared" si="4"/>
        <v>0</v>
      </c>
      <c r="O17" s="18">
        <f t="shared" si="5"/>
        <v>0</v>
      </c>
      <c r="P17" s="11"/>
      <c r="Q17" s="12"/>
      <c r="R17" s="11"/>
      <c r="S17" s="8"/>
      <c r="T17" s="8"/>
      <c r="U17" s="8"/>
      <c r="V17" s="8"/>
      <c r="W17" s="8"/>
      <c r="X17" s="8"/>
      <c r="Y17" s="8"/>
      <c r="Z17" s="8"/>
    </row>
    <row r="18" spans="1:26" ht="9.75" customHeight="1" x14ac:dyDescent="0.25">
      <c r="A18" s="1"/>
      <c r="B18" s="16"/>
      <c r="C18" s="20"/>
      <c r="D18" s="16"/>
      <c r="E18" s="16"/>
      <c r="F18" s="16"/>
      <c r="G18" s="16"/>
      <c r="H18" s="16"/>
      <c r="I18" s="16"/>
      <c r="J18" s="18">
        <f t="shared" si="0"/>
        <v>0</v>
      </c>
      <c r="K18" s="18">
        <f t="shared" si="1"/>
        <v>0</v>
      </c>
      <c r="L18" s="18">
        <f t="shared" si="2"/>
        <v>0</v>
      </c>
      <c r="M18" s="18">
        <f t="shared" si="3"/>
        <v>0</v>
      </c>
      <c r="N18" s="18">
        <f t="shared" si="4"/>
        <v>0</v>
      </c>
      <c r="O18" s="18">
        <f t="shared" si="5"/>
        <v>0</v>
      </c>
      <c r="P18" s="16"/>
      <c r="Q18" s="21"/>
      <c r="R18" s="22"/>
      <c r="S18" s="1"/>
      <c r="T18" s="1"/>
      <c r="U18" s="1"/>
      <c r="V18" s="1"/>
      <c r="W18" s="1"/>
      <c r="X18" s="1"/>
      <c r="Y18" s="1"/>
      <c r="Z18" s="1"/>
    </row>
    <row r="19" spans="1:26" ht="9.75" customHeight="1" x14ac:dyDescent="0.25">
      <c r="A19" s="1"/>
      <c r="B19" s="16"/>
      <c r="C19" s="16"/>
      <c r="D19" s="16"/>
      <c r="E19" s="16"/>
      <c r="F19" s="16"/>
      <c r="G19" s="16"/>
      <c r="H19" s="16"/>
      <c r="I19" s="16"/>
      <c r="J19" s="18">
        <f t="shared" si="0"/>
        <v>0</v>
      </c>
      <c r="K19" s="18">
        <f t="shared" si="1"/>
        <v>0</v>
      </c>
      <c r="L19" s="18">
        <f t="shared" si="2"/>
        <v>0</v>
      </c>
      <c r="M19" s="18">
        <f t="shared" si="3"/>
        <v>0</v>
      </c>
      <c r="N19" s="18">
        <f t="shared" si="4"/>
        <v>0</v>
      </c>
      <c r="O19" s="18">
        <f t="shared" si="5"/>
        <v>0</v>
      </c>
      <c r="P19" s="16"/>
      <c r="Q19" s="21"/>
      <c r="R19" s="22"/>
      <c r="S19" s="1"/>
      <c r="T19" s="1"/>
      <c r="U19" s="1"/>
      <c r="V19" s="1"/>
      <c r="W19" s="1"/>
      <c r="X19" s="1"/>
      <c r="Y19" s="1"/>
      <c r="Z19" s="1"/>
    </row>
    <row r="20" spans="1:26" ht="9.75" customHeight="1" x14ac:dyDescent="0.25">
      <c r="A20" s="1"/>
      <c r="B20" s="19"/>
      <c r="C20" s="23"/>
      <c r="D20" s="15"/>
      <c r="E20" s="15"/>
      <c r="F20" s="15"/>
      <c r="G20" s="11"/>
      <c r="H20" s="11"/>
      <c r="I20" s="11"/>
      <c r="J20" s="18">
        <f t="shared" si="0"/>
        <v>0</v>
      </c>
      <c r="K20" s="18">
        <f t="shared" si="1"/>
        <v>0</v>
      </c>
      <c r="L20" s="18">
        <f t="shared" si="2"/>
        <v>0</v>
      </c>
      <c r="M20" s="18">
        <f t="shared" si="3"/>
        <v>0</v>
      </c>
      <c r="N20" s="18">
        <f t="shared" si="4"/>
        <v>0</v>
      </c>
      <c r="O20" s="18">
        <f t="shared" si="5"/>
        <v>0</v>
      </c>
      <c r="P20" s="11"/>
      <c r="Q20" s="12"/>
      <c r="R20" s="11"/>
      <c r="S20" s="1"/>
      <c r="T20" s="1"/>
      <c r="U20" s="1"/>
      <c r="V20" s="1"/>
      <c r="W20" s="1"/>
      <c r="X20" s="1"/>
      <c r="Y20" s="1"/>
      <c r="Z20" s="1"/>
    </row>
    <row r="21" spans="1:26" ht="9.75" customHeight="1" x14ac:dyDescent="0.25">
      <c r="A21" s="1"/>
      <c r="B21" s="16"/>
      <c r="C21" s="20"/>
      <c r="D21" s="16"/>
      <c r="E21" s="16"/>
      <c r="F21" s="16"/>
      <c r="G21" s="16"/>
      <c r="H21" s="16"/>
      <c r="I21" s="16"/>
      <c r="J21" s="18">
        <f t="shared" si="0"/>
        <v>0</v>
      </c>
      <c r="K21" s="18">
        <f t="shared" si="1"/>
        <v>0</v>
      </c>
      <c r="L21" s="18">
        <f t="shared" si="2"/>
        <v>0</v>
      </c>
      <c r="M21" s="18">
        <f t="shared" si="3"/>
        <v>0</v>
      </c>
      <c r="N21" s="18">
        <f t="shared" si="4"/>
        <v>0</v>
      </c>
      <c r="O21" s="18">
        <f t="shared" si="5"/>
        <v>0</v>
      </c>
      <c r="P21" s="16"/>
      <c r="Q21" s="21"/>
      <c r="R21" s="22"/>
      <c r="S21" s="1"/>
      <c r="T21" s="1"/>
      <c r="U21" s="1"/>
      <c r="V21" s="1"/>
      <c r="W21" s="1"/>
      <c r="X21" s="1"/>
      <c r="Y21" s="1"/>
      <c r="Z21" s="1"/>
    </row>
    <row r="22" spans="1:26" ht="9.7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24"/>
      <c r="R22" s="1"/>
      <c r="S22" s="1"/>
      <c r="T22" s="1"/>
      <c r="U22" s="1"/>
      <c r="V22" s="1"/>
      <c r="W22" s="1"/>
      <c r="X22" s="1"/>
      <c r="Y22" s="1"/>
      <c r="Z22" s="1"/>
    </row>
    <row r="23" spans="1:26" ht="9.7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24"/>
      <c r="R23" s="1"/>
      <c r="S23" s="1"/>
      <c r="T23" s="1"/>
      <c r="U23" s="1"/>
      <c r="V23" s="1"/>
      <c r="W23" s="1"/>
      <c r="X23" s="1"/>
      <c r="Y23" s="1"/>
      <c r="Z23" s="1"/>
    </row>
    <row r="24" spans="1:26" ht="9.7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24"/>
      <c r="R24" s="1"/>
      <c r="S24" s="1"/>
      <c r="T24" s="1"/>
      <c r="U24" s="1"/>
      <c r="V24" s="1"/>
      <c r="W24" s="1"/>
      <c r="X24" s="1"/>
      <c r="Y24" s="1"/>
      <c r="Z24" s="1"/>
    </row>
    <row r="25" spans="1:26" ht="9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24"/>
      <c r="R25" s="1"/>
      <c r="S25" s="1"/>
      <c r="T25" s="1"/>
      <c r="U25" s="1"/>
      <c r="V25" s="1"/>
      <c r="W25" s="1"/>
      <c r="X25" s="1"/>
      <c r="Y25" s="1"/>
      <c r="Z25" s="1"/>
    </row>
    <row r="26" spans="1:26" ht="9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24"/>
      <c r="R26" s="1"/>
      <c r="S26" s="1"/>
      <c r="T26" s="1"/>
      <c r="U26" s="1"/>
      <c r="V26" s="1"/>
      <c r="W26" s="1"/>
      <c r="X26" s="1"/>
      <c r="Y26" s="1"/>
      <c r="Z26" s="1"/>
    </row>
    <row r="27" spans="1:26" ht="9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24"/>
      <c r="R27" s="1"/>
      <c r="S27" s="1"/>
      <c r="T27" s="1"/>
      <c r="U27" s="1"/>
      <c r="V27" s="1"/>
      <c r="W27" s="1"/>
      <c r="X27" s="1"/>
      <c r="Y27" s="1"/>
      <c r="Z27" s="1"/>
    </row>
    <row r="28" spans="1:26" ht="9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24"/>
      <c r="R28" s="1"/>
      <c r="S28" s="1"/>
      <c r="T28" s="1"/>
      <c r="U28" s="1"/>
      <c r="V28" s="1"/>
      <c r="W28" s="1"/>
      <c r="X28" s="1"/>
      <c r="Y28" s="1"/>
      <c r="Z28" s="1"/>
    </row>
    <row r="29" spans="1:26" ht="9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24"/>
      <c r="R29" s="1"/>
      <c r="S29" s="1"/>
      <c r="T29" s="1"/>
      <c r="U29" s="1"/>
      <c r="V29" s="1"/>
      <c r="W29" s="1"/>
      <c r="X29" s="1"/>
      <c r="Y29" s="1"/>
      <c r="Z29" s="1"/>
    </row>
    <row r="30" spans="1:26" ht="9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24"/>
      <c r="R30" s="1"/>
      <c r="S30" s="1"/>
      <c r="T30" s="1"/>
      <c r="U30" s="1"/>
      <c r="V30" s="1"/>
      <c r="W30" s="1"/>
      <c r="X30" s="1"/>
      <c r="Y30" s="1"/>
      <c r="Z30" s="1"/>
    </row>
    <row r="31" spans="1:26" ht="9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24"/>
      <c r="R31" s="1"/>
      <c r="S31" s="1"/>
      <c r="T31" s="1"/>
      <c r="U31" s="1"/>
      <c r="V31" s="1"/>
      <c r="W31" s="1"/>
      <c r="X31" s="1"/>
      <c r="Y31" s="1"/>
      <c r="Z31" s="1"/>
    </row>
    <row r="32" spans="1:26" ht="9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24"/>
      <c r="R32" s="1"/>
      <c r="S32" s="1"/>
      <c r="T32" s="1"/>
      <c r="U32" s="1"/>
      <c r="V32" s="1"/>
      <c r="W32" s="1"/>
      <c r="X32" s="1"/>
      <c r="Y32" s="1"/>
      <c r="Z32" s="1"/>
    </row>
    <row r="33" spans="1:26" ht="9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24"/>
      <c r="R33" s="1"/>
      <c r="S33" s="1"/>
      <c r="T33" s="1"/>
      <c r="U33" s="1"/>
      <c r="V33" s="1"/>
      <c r="W33" s="1"/>
      <c r="X33" s="1"/>
      <c r="Y33" s="1"/>
      <c r="Z33" s="1"/>
    </row>
    <row r="34" spans="1:26" ht="9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24"/>
      <c r="R34" s="1"/>
      <c r="S34" s="1"/>
      <c r="T34" s="1"/>
      <c r="U34" s="1"/>
      <c r="V34" s="1"/>
      <c r="W34" s="1"/>
      <c r="X34" s="1"/>
      <c r="Y34" s="1"/>
      <c r="Z34" s="1"/>
    </row>
    <row r="35" spans="1:26" ht="9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24"/>
      <c r="R35" s="1"/>
      <c r="S35" s="1"/>
      <c r="T35" s="1"/>
      <c r="U35" s="1"/>
      <c r="V35" s="1"/>
      <c r="W35" s="1"/>
      <c r="X35" s="1"/>
      <c r="Y35" s="1"/>
      <c r="Z35" s="1"/>
    </row>
    <row r="36" spans="1:26" ht="9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24"/>
      <c r="R36" s="1"/>
      <c r="S36" s="1"/>
      <c r="T36" s="1"/>
      <c r="U36" s="1"/>
      <c r="V36" s="1"/>
      <c r="W36" s="1"/>
      <c r="X36" s="1"/>
      <c r="Y36" s="1"/>
      <c r="Z36" s="1"/>
    </row>
    <row r="37" spans="1:26" ht="9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24"/>
      <c r="R37" s="1"/>
      <c r="S37" s="1"/>
      <c r="T37" s="1"/>
      <c r="U37" s="1"/>
      <c r="V37" s="1"/>
      <c r="W37" s="1"/>
      <c r="X37" s="1"/>
      <c r="Y37" s="1"/>
      <c r="Z37" s="1"/>
    </row>
    <row r="38" spans="1:26" ht="9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24"/>
      <c r="R38" s="1"/>
      <c r="S38" s="1"/>
      <c r="T38" s="1"/>
      <c r="U38" s="1"/>
      <c r="V38" s="1"/>
      <c r="W38" s="1"/>
      <c r="X38" s="1"/>
      <c r="Y38" s="1"/>
      <c r="Z38" s="1"/>
    </row>
    <row r="39" spans="1:26" ht="9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24"/>
      <c r="R39" s="1"/>
      <c r="S39" s="1"/>
      <c r="T39" s="1"/>
      <c r="U39" s="1"/>
      <c r="V39" s="1"/>
      <c r="W39" s="1"/>
      <c r="X39" s="1"/>
      <c r="Y39" s="1"/>
      <c r="Z39" s="1"/>
    </row>
    <row r="40" spans="1:26" ht="9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24"/>
      <c r="R40" s="1"/>
      <c r="S40" s="1"/>
      <c r="T40" s="1"/>
      <c r="U40" s="1"/>
      <c r="V40" s="1"/>
      <c r="W40" s="1"/>
      <c r="X40" s="1"/>
      <c r="Y40" s="1"/>
      <c r="Z40" s="1"/>
    </row>
    <row r="41" spans="1:26" ht="9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24"/>
      <c r="R41" s="1"/>
      <c r="S41" s="1"/>
      <c r="T41" s="1"/>
      <c r="U41" s="1"/>
      <c r="V41" s="1"/>
      <c r="W41" s="1"/>
      <c r="X41" s="1"/>
      <c r="Y41" s="1"/>
      <c r="Z41" s="1"/>
    </row>
    <row r="42" spans="1:26" ht="9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24"/>
      <c r="R42" s="1"/>
      <c r="S42" s="1"/>
      <c r="T42" s="1"/>
      <c r="U42" s="1"/>
      <c r="V42" s="1"/>
      <c r="W42" s="1"/>
      <c r="X42" s="1"/>
      <c r="Y42" s="1"/>
      <c r="Z42" s="1"/>
    </row>
    <row r="43" spans="1:26" ht="9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24"/>
      <c r="R43" s="1"/>
      <c r="S43" s="1"/>
      <c r="T43" s="1"/>
      <c r="U43" s="1"/>
      <c r="V43" s="1"/>
      <c r="W43" s="1"/>
      <c r="X43" s="1"/>
      <c r="Y43" s="1"/>
      <c r="Z43" s="1"/>
    </row>
    <row r="44" spans="1:26" ht="9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24"/>
      <c r="R44" s="1"/>
      <c r="S44" s="1"/>
      <c r="T44" s="1"/>
      <c r="U44" s="1"/>
      <c r="V44" s="1"/>
      <c r="W44" s="1"/>
      <c r="X44" s="1"/>
      <c r="Y44" s="1"/>
      <c r="Z44" s="1"/>
    </row>
    <row r="45" spans="1:26" ht="9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24"/>
      <c r="R45" s="1"/>
      <c r="S45" s="1"/>
      <c r="T45" s="1"/>
      <c r="U45" s="1"/>
      <c r="V45" s="1"/>
      <c r="W45" s="1"/>
      <c r="X45" s="1"/>
      <c r="Y45" s="1"/>
      <c r="Z45" s="1"/>
    </row>
    <row r="46" spans="1:26" ht="9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24"/>
      <c r="R46" s="1"/>
      <c r="S46" s="1"/>
      <c r="T46" s="1"/>
      <c r="U46" s="1"/>
      <c r="V46" s="1"/>
      <c r="W46" s="1"/>
      <c r="X46" s="1"/>
      <c r="Y46" s="1"/>
      <c r="Z46" s="1"/>
    </row>
    <row r="47" spans="1:26" ht="9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24"/>
      <c r="R47" s="1"/>
      <c r="S47" s="1"/>
      <c r="T47" s="1"/>
      <c r="U47" s="1"/>
      <c r="V47" s="1"/>
      <c r="W47" s="1"/>
      <c r="X47" s="1"/>
      <c r="Y47" s="1"/>
      <c r="Z47" s="1"/>
    </row>
    <row r="48" spans="1:26" ht="9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24"/>
      <c r="R48" s="1"/>
      <c r="S48" s="1"/>
      <c r="T48" s="1"/>
      <c r="U48" s="1"/>
      <c r="V48" s="1"/>
      <c r="W48" s="1"/>
      <c r="X48" s="1"/>
      <c r="Y48" s="1"/>
      <c r="Z48" s="1"/>
    </row>
    <row r="49" spans="1:26" ht="9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24"/>
      <c r="R49" s="1"/>
      <c r="S49" s="1"/>
      <c r="T49" s="1"/>
      <c r="U49" s="1"/>
      <c r="V49" s="1"/>
      <c r="W49" s="1"/>
      <c r="X49" s="1"/>
      <c r="Y49" s="1"/>
      <c r="Z49" s="1"/>
    </row>
    <row r="50" spans="1:26" ht="9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24"/>
      <c r="R50" s="1"/>
      <c r="S50" s="1"/>
      <c r="T50" s="1"/>
      <c r="U50" s="1"/>
      <c r="V50" s="1"/>
      <c r="W50" s="1"/>
      <c r="X50" s="1"/>
      <c r="Y50" s="1"/>
      <c r="Z50" s="1"/>
    </row>
    <row r="51" spans="1:26" ht="9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24"/>
      <c r="R51" s="1"/>
      <c r="S51" s="1"/>
      <c r="T51" s="1"/>
      <c r="U51" s="1"/>
      <c r="V51" s="1"/>
      <c r="W51" s="1"/>
      <c r="X51" s="1"/>
      <c r="Y51" s="1"/>
      <c r="Z51" s="1"/>
    </row>
    <row r="52" spans="1:26" ht="9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4"/>
      <c r="R52" s="1"/>
      <c r="S52" s="1"/>
      <c r="T52" s="1"/>
      <c r="U52" s="1"/>
      <c r="V52" s="1"/>
      <c r="W52" s="1"/>
      <c r="X52" s="1"/>
      <c r="Y52" s="1"/>
      <c r="Z52" s="1"/>
    </row>
    <row r="53" spans="1:26" ht="9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4"/>
      <c r="R53" s="1"/>
      <c r="S53" s="1"/>
      <c r="T53" s="1"/>
      <c r="U53" s="1"/>
      <c r="V53" s="1"/>
      <c r="W53" s="1"/>
      <c r="X53" s="1"/>
      <c r="Y53" s="1"/>
      <c r="Z53" s="1"/>
    </row>
    <row r="54" spans="1:26" ht="9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24"/>
      <c r="R54" s="1"/>
      <c r="S54" s="1"/>
      <c r="T54" s="1"/>
      <c r="U54" s="1"/>
      <c r="V54" s="1"/>
      <c r="W54" s="1"/>
      <c r="X54" s="1"/>
      <c r="Y54" s="1"/>
      <c r="Z54" s="1"/>
    </row>
    <row r="55" spans="1:26" ht="9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24"/>
      <c r="R55" s="1"/>
      <c r="S55" s="1"/>
      <c r="T55" s="1"/>
      <c r="U55" s="1"/>
      <c r="V55" s="1"/>
      <c r="W55" s="1"/>
      <c r="X55" s="1"/>
      <c r="Y55" s="1"/>
      <c r="Z55" s="1"/>
    </row>
    <row r="56" spans="1:26" ht="9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24"/>
      <c r="R56" s="1"/>
      <c r="S56" s="1"/>
      <c r="T56" s="1"/>
      <c r="U56" s="1"/>
      <c r="V56" s="1"/>
      <c r="W56" s="1"/>
      <c r="X56" s="1"/>
      <c r="Y56" s="1"/>
      <c r="Z56" s="1"/>
    </row>
    <row r="57" spans="1:26" ht="9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24"/>
      <c r="R57" s="1"/>
      <c r="S57" s="1"/>
      <c r="T57" s="1"/>
      <c r="U57" s="1"/>
      <c r="V57" s="1"/>
      <c r="W57" s="1"/>
      <c r="X57" s="1"/>
      <c r="Y57" s="1"/>
      <c r="Z57" s="1"/>
    </row>
    <row r="58" spans="1:26" ht="9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24"/>
      <c r="R58" s="1"/>
      <c r="S58" s="1"/>
      <c r="T58" s="1"/>
      <c r="U58" s="1"/>
      <c r="V58" s="1"/>
      <c r="W58" s="1"/>
      <c r="X58" s="1"/>
      <c r="Y58" s="1"/>
      <c r="Z58" s="1"/>
    </row>
    <row r="59" spans="1:26" ht="9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24"/>
      <c r="R59" s="1"/>
      <c r="S59" s="1"/>
      <c r="T59" s="1"/>
      <c r="U59" s="1"/>
      <c r="V59" s="1"/>
      <c r="W59" s="1"/>
      <c r="X59" s="1"/>
      <c r="Y59" s="1"/>
      <c r="Z59" s="1"/>
    </row>
    <row r="60" spans="1:26" ht="9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24"/>
      <c r="R60" s="1"/>
      <c r="S60" s="1"/>
      <c r="T60" s="1"/>
      <c r="U60" s="1"/>
      <c r="V60" s="1"/>
      <c r="W60" s="1"/>
      <c r="X60" s="1"/>
      <c r="Y60" s="1"/>
      <c r="Z60" s="1"/>
    </row>
    <row r="61" spans="1:26" ht="9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24"/>
      <c r="R61" s="1"/>
      <c r="S61" s="1"/>
      <c r="T61" s="1"/>
      <c r="U61" s="1"/>
      <c r="V61" s="1"/>
      <c r="W61" s="1"/>
      <c r="X61" s="1"/>
      <c r="Y61" s="1"/>
      <c r="Z61" s="1"/>
    </row>
    <row r="62" spans="1:26" ht="9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24"/>
      <c r="R62" s="1"/>
      <c r="S62" s="1"/>
      <c r="T62" s="1"/>
      <c r="U62" s="1"/>
      <c r="V62" s="1"/>
      <c r="W62" s="1"/>
      <c r="X62" s="1"/>
      <c r="Y62" s="1"/>
      <c r="Z62" s="1"/>
    </row>
    <row r="63" spans="1:26" ht="9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24"/>
      <c r="R63" s="1"/>
      <c r="S63" s="1"/>
      <c r="T63" s="1"/>
      <c r="U63" s="1"/>
      <c r="V63" s="1"/>
      <c r="W63" s="1"/>
      <c r="X63" s="1"/>
      <c r="Y63" s="1"/>
      <c r="Z63" s="1"/>
    </row>
    <row r="64" spans="1:26" ht="9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24"/>
      <c r="R64" s="1"/>
      <c r="S64" s="1"/>
      <c r="T64" s="1"/>
      <c r="U64" s="1"/>
      <c r="V64" s="1"/>
      <c r="W64" s="1"/>
      <c r="X64" s="1"/>
      <c r="Y64" s="1"/>
      <c r="Z64" s="1"/>
    </row>
    <row r="65" spans="1:26" ht="9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24"/>
      <c r="R65" s="1"/>
      <c r="S65" s="1"/>
      <c r="T65" s="1"/>
      <c r="U65" s="1"/>
      <c r="V65" s="1"/>
      <c r="W65" s="1"/>
      <c r="X65" s="1"/>
      <c r="Y65" s="1"/>
      <c r="Z65" s="1"/>
    </row>
    <row r="66" spans="1:26" ht="9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24"/>
      <c r="R66" s="1"/>
      <c r="S66" s="1"/>
      <c r="T66" s="1"/>
      <c r="U66" s="1"/>
      <c r="V66" s="1"/>
      <c r="W66" s="1"/>
      <c r="X66" s="1"/>
      <c r="Y66" s="1"/>
      <c r="Z66" s="1"/>
    </row>
    <row r="67" spans="1:26" ht="9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24"/>
      <c r="R67" s="1"/>
      <c r="S67" s="1"/>
      <c r="T67" s="1"/>
      <c r="U67" s="1"/>
      <c r="V67" s="1"/>
      <c r="W67" s="1"/>
      <c r="X67" s="1"/>
      <c r="Y67" s="1"/>
      <c r="Z67" s="1"/>
    </row>
    <row r="68" spans="1:26" ht="9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24"/>
      <c r="R68" s="1"/>
      <c r="S68" s="1"/>
      <c r="T68" s="1"/>
      <c r="U68" s="1"/>
      <c r="V68" s="1"/>
      <c r="W68" s="1"/>
      <c r="X68" s="1"/>
      <c r="Y68" s="1"/>
      <c r="Z68" s="1"/>
    </row>
    <row r="69" spans="1:26" ht="9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24"/>
      <c r="R69" s="1"/>
      <c r="S69" s="1"/>
      <c r="T69" s="1"/>
      <c r="U69" s="1"/>
      <c r="V69" s="1"/>
      <c r="W69" s="1"/>
      <c r="X69" s="1"/>
      <c r="Y69" s="1"/>
      <c r="Z69" s="1"/>
    </row>
    <row r="70" spans="1:26" ht="9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24"/>
      <c r="R70" s="1"/>
      <c r="S70" s="1"/>
      <c r="T70" s="1"/>
      <c r="U70" s="1"/>
      <c r="V70" s="1"/>
      <c r="W70" s="1"/>
      <c r="X70" s="1"/>
      <c r="Y70" s="1"/>
      <c r="Z70" s="1"/>
    </row>
    <row r="71" spans="1:26" ht="9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24"/>
      <c r="R71" s="1"/>
      <c r="S71" s="1"/>
      <c r="T71" s="1"/>
      <c r="U71" s="1"/>
      <c r="V71" s="1"/>
      <c r="W71" s="1"/>
      <c r="X71" s="1"/>
      <c r="Y71" s="1"/>
      <c r="Z71" s="1"/>
    </row>
    <row r="72" spans="1:26" ht="9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24"/>
      <c r="R72" s="1"/>
      <c r="S72" s="1"/>
      <c r="T72" s="1"/>
      <c r="U72" s="1"/>
      <c r="V72" s="1"/>
      <c r="W72" s="1"/>
      <c r="X72" s="1"/>
      <c r="Y72" s="1"/>
      <c r="Z72" s="1"/>
    </row>
    <row r="73" spans="1:26" ht="9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24"/>
      <c r="R73" s="1"/>
      <c r="S73" s="1"/>
      <c r="T73" s="1"/>
      <c r="U73" s="1"/>
      <c r="V73" s="1"/>
      <c r="W73" s="1"/>
      <c r="X73" s="1"/>
      <c r="Y73" s="1"/>
      <c r="Z73" s="1"/>
    </row>
    <row r="74" spans="1:26" ht="9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24"/>
      <c r="R74" s="1"/>
      <c r="S74" s="1"/>
      <c r="T74" s="1"/>
      <c r="U74" s="1"/>
      <c r="V74" s="1"/>
      <c r="W74" s="1"/>
      <c r="X74" s="1"/>
      <c r="Y74" s="1"/>
      <c r="Z74" s="1"/>
    </row>
    <row r="75" spans="1:26" ht="9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24"/>
      <c r="R75" s="1"/>
      <c r="S75" s="1"/>
      <c r="T75" s="1"/>
      <c r="U75" s="1"/>
      <c r="V75" s="1"/>
      <c r="W75" s="1"/>
      <c r="X75" s="1"/>
      <c r="Y75" s="1"/>
      <c r="Z75" s="1"/>
    </row>
    <row r="76" spans="1:26" ht="9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24"/>
      <c r="R76" s="1"/>
      <c r="S76" s="1"/>
      <c r="T76" s="1"/>
      <c r="U76" s="1"/>
      <c r="V76" s="1"/>
      <c r="W76" s="1"/>
      <c r="X76" s="1"/>
      <c r="Y76" s="1"/>
      <c r="Z76" s="1"/>
    </row>
    <row r="77" spans="1:26" ht="9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24"/>
      <c r="R77" s="1"/>
      <c r="S77" s="1"/>
      <c r="T77" s="1"/>
      <c r="U77" s="1"/>
      <c r="V77" s="1"/>
      <c r="W77" s="1"/>
      <c r="X77" s="1"/>
      <c r="Y77" s="1"/>
      <c r="Z77" s="1"/>
    </row>
    <row r="78" spans="1:26" ht="9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24"/>
      <c r="R78" s="1"/>
      <c r="S78" s="1"/>
      <c r="T78" s="1"/>
      <c r="U78" s="1"/>
      <c r="V78" s="1"/>
      <c r="W78" s="1"/>
      <c r="X78" s="1"/>
      <c r="Y78" s="1"/>
      <c r="Z78" s="1"/>
    </row>
    <row r="79" spans="1:26" ht="9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24"/>
      <c r="R79" s="1"/>
      <c r="S79" s="1"/>
      <c r="T79" s="1"/>
      <c r="U79" s="1"/>
      <c r="V79" s="1"/>
      <c r="W79" s="1"/>
      <c r="X79" s="1"/>
      <c r="Y79" s="1"/>
      <c r="Z79" s="1"/>
    </row>
    <row r="80" spans="1:26" ht="9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24"/>
      <c r="R80" s="1"/>
      <c r="S80" s="1"/>
      <c r="T80" s="1"/>
      <c r="U80" s="1"/>
      <c r="V80" s="1"/>
      <c r="W80" s="1"/>
      <c r="X80" s="1"/>
      <c r="Y80" s="1"/>
      <c r="Z80" s="1"/>
    </row>
    <row r="81" spans="1:26" ht="9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24"/>
      <c r="R81" s="1"/>
      <c r="S81" s="1"/>
      <c r="T81" s="1"/>
      <c r="U81" s="1"/>
      <c r="V81" s="1"/>
      <c r="W81" s="1"/>
      <c r="X81" s="1"/>
      <c r="Y81" s="1"/>
      <c r="Z81" s="1"/>
    </row>
    <row r="82" spans="1:26" ht="9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24"/>
      <c r="R82" s="1"/>
      <c r="S82" s="1"/>
      <c r="T82" s="1"/>
      <c r="U82" s="1"/>
      <c r="V82" s="1"/>
      <c r="W82" s="1"/>
      <c r="X82" s="1"/>
      <c r="Y82" s="1"/>
      <c r="Z82" s="1"/>
    </row>
    <row r="83" spans="1:26" ht="9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24"/>
      <c r="R83" s="1"/>
      <c r="S83" s="1"/>
      <c r="T83" s="1"/>
      <c r="U83" s="1"/>
      <c r="V83" s="1"/>
      <c r="W83" s="1"/>
      <c r="X83" s="1"/>
      <c r="Y83" s="1"/>
      <c r="Z83" s="1"/>
    </row>
    <row r="84" spans="1:26" ht="9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24"/>
      <c r="R84" s="1"/>
      <c r="S84" s="1"/>
      <c r="T84" s="1"/>
      <c r="U84" s="1"/>
      <c r="V84" s="1"/>
      <c r="W84" s="1"/>
      <c r="X84" s="1"/>
      <c r="Y84" s="1"/>
      <c r="Z84" s="1"/>
    </row>
    <row r="85" spans="1:26" ht="9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24"/>
      <c r="R85" s="1"/>
      <c r="S85" s="1"/>
      <c r="T85" s="1"/>
      <c r="U85" s="1"/>
      <c r="V85" s="1"/>
      <c r="W85" s="1"/>
      <c r="X85" s="1"/>
      <c r="Y85" s="1"/>
      <c r="Z85" s="1"/>
    </row>
    <row r="86" spans="1:26" ht="9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24"/>
      <c r="R86" s="1"/>
      <c r="S86" s="1"/>
      <c r="T86" s="1"/>
      <c r="U86" s="1"/>
      <c r="V86" s="1"/>
      <c r="W86" s="1"/>
      <c r="X86" s="1"/>
      <c r="Y86" s="1"/>
      <c r="Z86" s="1"/>
    </row>
    <row r="87" spans="1:26" ht="9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24"/>
      <c r="R87" s="1"/>
      <c r="S87" s="1"/>
      <c r="T87" s="1"/>
      <c r="U87" s="1"/>
      <c r="V87" s="1"/>
      <c r="W87" s="1"/>
      <c r="X87" s="1"/>
      <c r="Y87" s="1"/>
      <c r="Z87" s="1"/>
    </row>
    <row r="88" spans="1:26" ht="9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24"/>
      <c r="R88" s="1"/>
      <c r="S88" s="1"/>
      <c r="T88" s="1"/>
      <c r="U88" s="1"/>
      <c r="V88" s="1"/>
      <c r="W88" s="1"/>
      <c r="X88" s="1"/>
      <c r="Y88" s="1"/>
      <c r="Z88" s="1"/>
    </row>
    <row r="89" spans="1:26" ht="9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24"/>
      <c r="R89" s="1"/>
      <c r="S89" s="1"/>
      <c r="T89" s="1"/>
      <c r="U89" s="1"/>
      <c r="V89" s="1"/>
      <c r="W89" s="1"/>
      <c r="X89" s="1"/>
      <c r="Y89" s="1"/>
      <c r="Z89" s="1"/>
    </row>
    <row r="90" spans="1:26" ht="9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24"/>
      <c r="R90" s="1"/>
      <c r="S90" s="1"/>
      <c r="T90" s="1"/>
      <c r="U90" s="1"/>
      <c r="V90" s="1"/>
      <c r="W90" s="1"/>
      <c r="X90" s="1"/>
      <c r="Y90" s="1"/>
      <c r="Z90" s="1"/>
    </row>
    <row r="91" spans="1:26" ht="9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24"/>
      <c r="R91" s="1"/>
      <c r="S91" s="1"/>
      <c r="T91" s="1"/>
      <c r="U91" s="1"/>
      <c r="V91" s="1"/>
      <c r="W91" s="1"/>
      <c r="X91" s="1"/>
      <c r="Y91" s="1"/>
      <c r="Z91" s="1"/>
    </row>
    <row r="92" spans="1:26" ht="9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24"/>
      <c r="R92" s="1"/>
      <c r="S92" s="1"/>
      <c r="T92" s="1"/>
      <c r="U92" s="1"/>
      <c r="V92" s="1"/>
      <c r="W92" s="1"/>
      <c r="X92" s="1"/>
      <c r="Y92" s="1"/>
      <c r="Z92" s="1"/>
    </row>
    <row r="93" spans="1:26" ht="9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24"/>
      <c r="R93" s="1"/>
      <c r="S93" s="1"/>
      <c r="T93" s="1"/>
      <c r="U93" s="1"/>
      <c r="V93" s="1"/>
      <c r="W93" s="1"/>
      <c r="X93" s="1"/>
      <c r="Y93" s="1"/>
      <c r="Z93" s="1"/>
    </row>
    <row r="94" spans="1:26" ht="9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24"/>
      <c r="R94" s="1"/>
      <c r="S94" s="1"/>
      <c r="T94" s="1"/>
      <c r="U94" s="1"/>
      <c r="V94" s="1"/>
      <c r="W94" s="1"/>
      <c r="X94" s="1"/>
      <c r="Y94" s="1"/>
      <c r="Z94" s="1"/>
    </row>
    <row r="95" spans="1:26" ht="9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24"/>
      <c r="R95" s="1"/>
      <c r="S95" s="1"/>
      <c r="T95" s="1"/>
      <c r="U95" s="1"/>
      <c r="V95" s="1"/>
      <c r="W95" s="1"/>
      <c r="X95" s="1"/>
      <c r="Y95" s="1"/>
      <c r="Z95" s="1"/>
    </row>
    <row r="96" spans="1:26" ht="9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24"/>
      <c r="R96" s="1"/>
      <c r="S96" s="1"/>
      <c r="T96" s="1"/>
      <c r="U96" s="1"/>
      <c r="V96" s="1"/>
      <c r="W96" s="1"/>
      <c r="X96" s="1"/>
      <c r="Y96" s="1"/>
      <c r="Z96" s="1"/>
    </row>
    <row r="97" spans="1:26" ht="9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24"/>
      <c r="R97" s="1"/>
      <c r="S97" s="1"/>
      <c r="T97" s="1"/>
      <c r="U97" s="1"/>
      <c r="V97" s="1"/>
      <c r="W97" s="1"/>
      <c r="X97" s="1"/>
      <c r="Y97" s="1"/>
      <c r="Z97" s="1"/>
    </row>
    <row r="98" spans="1:26" ht="9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24"/>
      <c r="R98" s="1"/>
      <c r="S98" s="1"/>
      <c r="T98" s="1"/>
      <c r="U98" s="1"/>
      <c r="V98" s="1"/>
      <c r="W98" s="1"/>
      <c r="X98" s="1"/>
      <c r="Y98" s="1"/>
      <c r="Z98" s="1"/>
    </row>
    <row r="99" spans="1:26" ht="9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24"/>
      <c r="R99" s="1"/>
      <c r="S99" s="1"/>
      <c r="T99" s="1"/>
      <c r="U99" s="1"/>
      <c r="V99" s="1"/>
      <c r="W99" s="1"/>
      <c r="X99" s="1"/>
      <c r="Y99" s="1"/>
      <c r="Z99" s="1"/>
    </row>
    <row r="100" spans="1:26" ht="9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24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9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24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9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24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9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24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9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24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9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24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9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24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9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24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9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24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9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24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9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24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9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24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9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24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9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24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9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24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9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24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9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24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9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24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9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24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9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24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9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24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9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24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9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24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9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24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9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24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9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24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9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24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9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24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9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24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9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24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9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24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9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24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9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24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9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24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9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24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9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24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9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24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9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24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9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24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9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24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9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24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9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24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9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24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9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24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9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24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9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24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9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24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9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24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9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24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9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24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9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24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9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24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9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24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9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24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9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24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9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24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9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24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9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24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9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24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9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24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9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24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9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24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9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24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9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24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9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24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9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24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9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24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9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24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9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24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9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24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9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24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9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24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9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24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9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24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9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24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9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24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9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24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9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24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9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24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9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24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9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24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9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24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9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24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9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24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9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24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9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24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9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24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9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24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9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24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9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24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9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24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9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24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9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24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9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24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9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24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9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24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9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24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9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24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9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24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9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24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9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24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9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24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9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24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9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24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9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24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9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24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9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24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9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24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9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24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9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24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9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24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9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24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9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24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9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24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9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24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9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24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9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24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9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24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9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24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9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24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9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24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9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24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9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24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9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24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9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24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9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24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9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24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9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24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9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24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9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24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9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24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9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24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9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24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9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24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9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24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9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24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9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24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9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24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9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24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9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24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9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24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9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24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9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24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9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24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9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24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9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24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9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24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9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24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9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24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9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24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9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24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9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24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9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24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9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24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9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24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9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24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9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24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9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24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9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24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9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24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9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24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9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24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9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24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9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24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9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24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9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24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9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24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9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24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9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24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9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24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9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24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9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24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9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24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9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24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9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24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9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24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9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24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9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24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9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24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9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24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9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24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9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24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9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24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9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24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9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24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9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24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9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24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9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24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9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24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9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24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9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24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9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24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9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24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9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24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9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24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9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24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9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24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9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24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9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24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9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24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9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24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9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24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9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24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9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24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9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24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9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24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9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24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9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24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9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24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9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24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9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24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9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24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9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24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9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24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9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24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9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24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9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24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9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24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9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24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9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24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9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24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9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24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9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24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9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24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9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24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9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24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9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24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9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24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9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24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9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24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9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24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9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24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9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24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9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24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9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24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9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24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9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24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9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24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9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24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9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24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9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24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9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24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9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24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9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24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9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24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9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24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9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24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9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24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9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24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9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24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9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24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9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24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9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24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9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24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9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24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9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24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9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24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9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24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9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24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9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24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9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24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9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24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9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24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9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24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9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24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9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24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9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24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9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24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9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24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9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24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9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24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9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24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9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24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9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24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9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24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9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24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9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24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9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24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9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24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9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24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9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24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9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24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9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24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9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24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9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24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9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24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9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24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9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24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9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24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9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24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9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24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9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24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9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24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9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24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9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24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9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24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9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24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9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24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9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24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9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24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9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24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9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24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9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24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9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24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9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24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9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24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9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24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9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24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9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24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9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24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9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24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9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24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9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24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9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24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9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24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9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24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9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24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9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24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9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24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9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24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9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24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9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24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9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24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9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24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9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24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9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24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9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24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9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24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9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24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9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24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9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24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9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24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9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24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9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24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9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24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9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24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9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24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9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24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9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24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9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24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9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24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9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24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9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24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9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24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9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24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9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24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9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24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9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24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9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24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9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24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9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24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9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24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9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24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9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24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9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24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9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24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9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24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9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24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9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24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9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24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9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24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9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24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9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24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9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24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9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24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9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24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9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24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9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24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9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24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9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24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9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24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9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24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9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24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9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24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9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24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9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24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9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24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9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24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9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24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9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24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9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24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9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24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9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24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9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24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9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24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9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24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9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24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9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24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9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24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9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24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9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24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9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24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9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24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9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24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9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24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9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24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9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24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9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24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9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24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9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24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9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24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9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24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9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24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9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24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9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24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9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24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9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24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9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24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9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24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9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24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9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24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9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24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9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24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9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24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9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24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9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24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9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24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9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24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9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24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9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24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9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24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9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24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9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24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9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24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9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24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9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24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9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24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9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24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9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24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9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24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9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24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9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24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9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24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9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24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9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24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9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24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9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24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9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24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9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24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9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24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9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24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9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24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9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24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9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24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9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24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9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24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9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24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9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24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9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24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9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24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9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24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9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24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9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24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9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24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9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24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9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24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9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24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9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24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9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24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9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24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9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24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9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24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9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24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9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24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9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24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9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24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9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24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9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24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9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24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9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24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9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24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9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24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9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24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9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24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9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24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9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24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9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24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9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24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9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24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9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24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9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24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9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24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9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24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9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24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9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24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9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24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9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24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9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24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9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24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9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24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9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24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9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24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9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24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9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24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9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24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9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24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9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24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9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24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9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24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9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24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9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24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9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24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9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24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9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24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9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24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9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24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9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24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9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24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9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24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9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24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9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24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9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24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9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24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9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24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9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24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9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24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9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24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9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24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9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24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9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24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9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24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9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24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9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24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9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24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9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24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9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24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9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24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9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24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9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24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9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24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9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24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9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24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9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24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9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24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9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24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9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24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9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24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9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24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9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24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9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24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9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24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9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24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9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24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9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24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9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24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9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24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9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24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9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24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9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24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9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24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9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24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9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24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9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24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9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24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9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24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9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24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9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24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9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24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9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24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9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24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9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24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9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24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9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24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9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24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9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24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9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24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9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24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9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24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9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24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9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24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9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24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9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24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9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24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9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24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9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24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9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24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9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24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9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24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9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24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9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24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9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24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9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24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9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24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9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24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9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24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9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24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9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24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9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24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9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24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9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24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9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24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9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24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9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24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9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24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9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24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9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24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9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24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9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24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9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24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9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24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9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24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9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24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9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24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9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24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9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24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9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24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9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24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9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24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9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24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9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24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9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24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9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24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9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24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9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24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9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24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9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24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9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24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9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24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9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24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9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24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9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24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9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24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9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24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9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24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9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24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9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24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9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24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9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24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9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24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9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24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9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24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9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24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9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24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9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24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9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24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9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24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9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24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9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24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9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24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9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24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9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24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9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24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9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24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9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24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9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24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9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24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9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24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9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24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9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24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9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24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9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24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9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24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9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24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9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24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9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24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9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24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9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24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9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24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9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24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9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24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9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24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9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24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9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24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9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24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9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24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9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24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9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24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9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24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9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24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9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24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9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24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9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24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9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24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9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24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9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24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9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24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9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24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9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24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9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24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9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24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9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24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9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24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9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24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9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24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9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24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9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24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9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24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9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24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9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24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9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24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9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24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9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24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9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24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9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24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9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24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9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24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9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24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9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24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9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24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9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24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9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24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9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24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9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24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9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24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9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24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9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24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9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24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9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24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9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24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9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24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9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24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9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24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9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24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9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24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9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24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9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24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9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24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9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24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9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24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9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24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9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24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9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24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9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24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9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24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9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24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9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24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9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24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9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24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9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24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9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24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9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24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9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24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9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24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9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24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9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24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9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24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9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24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9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24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9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24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9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24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9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24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9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24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9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24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9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24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9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24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9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24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9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24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9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24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9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24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9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24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9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24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9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24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9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24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9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24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9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24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9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24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9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24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9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24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9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24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9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24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9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24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9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24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9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24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9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24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9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24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9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24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9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24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9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24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9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24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9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24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9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24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9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24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9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24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9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24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9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24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9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24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9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24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9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24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9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24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9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24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9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24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9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24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9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24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9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24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9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24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9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24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9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24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9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24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9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24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9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24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9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24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9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24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9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24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9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24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9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24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9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24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9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24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9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24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9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24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9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24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9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24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9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24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9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24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9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24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9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24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9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24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9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24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9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24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9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24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9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24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9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24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9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24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9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24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9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24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9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24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9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24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9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24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9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24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9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24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9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24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9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24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9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24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9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24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9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24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9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24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9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24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9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24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9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24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9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24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9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24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9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24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9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24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9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24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9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24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9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24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9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24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9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24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9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24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9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24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9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24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9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24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9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24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9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24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9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24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9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24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9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24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9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24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9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24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9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24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9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24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9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24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9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24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9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24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9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24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9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24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9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24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9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24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9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24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9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24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9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24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9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24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9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24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9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24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9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24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9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24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9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24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9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24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9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24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9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24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9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24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9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24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9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24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9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24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9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24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9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24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9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24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9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24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9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24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9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24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9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24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9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24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9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24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9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24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9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24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9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24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9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24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9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24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9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24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9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24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9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24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9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24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9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24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9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24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9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24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9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24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9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24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9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24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9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24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9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24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9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24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9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24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1">
    <mergeCell ref="H1:R1"/>
    <mergeCell ref="B4:R4"/>
    <mergeCell ref="J5:O5"/>
    <mergeCell ref="B5:B6"/>
    <mergeCell ref="C5:C6"/>
    <mergeCell ref="D5:D6"/>
    <mergeCell ref="E5:E6"/>
    <mergeCell ref="F5:F6"/>
    <mergeCell ref="G5:G6"/>
    <mergeCell ref="H5:H6"/>
    <mergeCell ref="I5:I6"/>
  </mergeCells>
  <pageMargins left="0.78740157480314965" right="0.78740157480314965" top="0.55118110236220474" bottom="0.98425196850393704" header="0" footer="0"/>
  <pageSetup paperSize="9" orientation="portrait" useFirstPageNumber="1" horizontalDpi="4294967295" verticalDpi="4294967295"/>
  <headerFooter>
    <oddFooter>&amp;C800000&amp;F&amp;R800000&amp;P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10000"/>
  <sheetViews>
    <sheetView showGridLines="0" tabSelected="1" zoomScale="70" zoomScaleNormal="70" workbookViewId="0">
      <pane ySplit="7" topLeftCell="A8" activePane="bottomLeft" state="frozen"/>
      <selection pane="bottomLeft" activeCell="A7" sqref="A7:XFD7"/>
    </sheetView>
  </sheetViews>
  <sheetFormatPr baseColWidth="10" defaultColWidth="12.69921875" defaultRowHeight="13.8" x14ac:dyDescent="0.25"/>
  <cols>
    <col min="1" max="1" width="11.3984375" style="41" customWidth="1"/>
    <col min="2" max="2" width="8.59765625" style="39" customWidth="1"/>
    <col min="3" max="3" width="8.296875" style="67" customWidth="1"/>
    <col min="4" max="4" width="14.3984375" style="39" customWidth="1"/>
    <col min="5" max="6" width="9.09765625" style="39" customWidth="1"/>
    <col min="7" max="7" width="12.59765625" style="39" customWidth="1"/>
    <col min="8" max="8" width="11.69921875" style="39" customWidth="1"/>
    <col min="9" max="12" width="8.8984375" style="39" hidden="1" customWidth="1"/>
    <col min="13" max="13" width="55.09765625" style="39" customWidth="1"/>
    <col min="14" max="14" width="42.09765625" style="39" customWidth="1"/>
    <col min="15" max="15" width="11.09765625" style="39" customWidth="1"/>
    <col min="16" max="16" width="15.69921875" style="39" customWidth="1"/>
    <col min="17" max="17" width="16.296875" style="39" customWidth="1"/>
    <col min="18" max="18" width="16.59765625" style="39" customWidth="1"/>
    <col min="19" max="19" width="9.8984375" style="39" customWidth="1"/>
    <col min="20" max="20" width="10" style="39" customWidth="1"/>
    <col min="21" max="21" width="8.3984375" style="39" customWidth="1"/>
    <col min="22" max="22" width="9.09765625" style="39" customWidth="1"/>
    <col min="23" max="23" width="9.296875" style="25" customWidth="1"/>
    <col min="24" max="24" width="8.8984375" style="25" customWidth="1"/>
    <col min="25" max="25" width="10.3984375" style="39" customWidth="1"/>
    <col min="26" max="26" width="55.09765625" style="39" customWidth="1"/>
    <col min="27" max="27" width="28" style="39" customWidth="1"/>
    <col min="28" max="16384" width="12.69921875" style="40"/>
  </cols>
  <sheetData>
    <row r="1" spans="1:27" s="48" customFormat="1" ht="19.5" customHeight="1" x14ac:dyDescent="0.2">
      <c r="A1" s="41"/>
      <c r="B1" s="47"/>
      <c r="C1" s="66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53"/>
      <c r="X1" s="53"/>
      <c r="Y1" s="47"/>
      <c r="Z1" s="47" t="s">
        <v>0</v>
      </c>
      <c r="AA1" s="47"/>
    </row>
    <row r="2" spans="1:27" ht="19.5" customHeight="1" x14ac:dyDescent="0.25">
      <c r="B2" s="47"/>
      <c r="C2" s="66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53"/>
      <c r="X2" s="53"/>
      <c r="Y2" s="47"/>
      <c r="Z2" s="47" t="s">
        <v>28</v>
      </c>
      <c r="AA2" s="47"/>
    </row>
    <row r="3" spans="1:27" ht="9.75" customHeight="1" x14ac:dyDescent="0.25">
      <c r="B3" s="47"/>
      <c r="C3" s="66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53"/>
      <c r="X3" s="53"/>
      <c r="Y3" s="47"/>
      <c r="Z3" s="47"/>
      <c r="AA3" s="47"/>
    </row>
    <row r="4" spans="1:27" ht="9.75" customHeight="1" x14ac:dyDescent="0.25">
      <c r="B4" s="48" t="s">
        <v>29</v>
      </c>
      <c r="C4" s="66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53"/>
      <c r="X4" s="53"/>
      <c r="Y4" s="47"/>
      <c r="Z4" s="47"/>
      <c r="AA4" s="47"/>
    </row>
    <row r="5" spans="1:27" ht="9.75" customHeight="1" x14ac:dyDescent="0.25">
      <c r="B5" s="47"/>
      <c r="C5" s="66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53"/>
      <c r="X5" s="53"/>
      <c r="Y5" s="47"/>
      <c r="Z5" s="47" t="s">
        <v>30</v>
      </c>
      <c r="AA5" s="47"/>
    </row>
    <row r="6" spans="1:27" ht="15" customHeight="1" x14ac:dyDescent="0.25">
      <c r="B6" s="47"/>
      <c r="C6" s="66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53"/>
      <c r="X6" s="53"/>
      <c r="Y6" s="47"/>
      <c r="Z6" s="47"/>
      <c r="AA6" s="47"/>
    </row>
    <row r="7" spans="1:27" s="75" customFormat="1" ht="25.2" customHeight="1" x14ac:dyDescent="0.25">
      <c r="A7" s="69"/>
      <c r="B7" s="70" t="s">
        <v>31</v>
      </c>
      <c r="C7" s="71" t="s">
        <v>32</v>
      </c>
      <c r="D7" s="72" t="s">
        <v>33</v>
      </c>
      <c r="E7" s="72" t="s">
        <v>34</v>
      </c>
      <c r="F7" s="72" t="s">
        <v>35</v>
      </c>
      <c r="G7" s="72" t="s">
        <v>36</v>
      </c>
      <c r="H7" s="72" t="s">
        <v>37</v>
      </c>
      <c r="I7" s="72" t="s">
        <v>38</v>
      </c>
      <c r="J7" s="72" t="s">
        <v>39</v>
      </c>
      <c r="K7" s="72" t="s">
        <v>40</v>
      </c>
      <c r="L7" s="72" t="s">
        <v>41</v>
      </c>
      <c r="M7" s="72" t="s">
        <v>2</v>
      </c>
      <c r="N7" s="72" t="s">
        <v>42</v>
      </c>
      <c r="O7" s="72" t="s">
        <v>4</v>
      </c>
      <c r="P7" s="72" t="s">
        <v>5</v>
      </c>
      <c r="Q7" s="72" t="s">
        <v>22</v>
      </c>
      <c r="R7" s="72" t="s">
        <v>23</v>
      </c>
      <c r="S7" s="72" t="s">
        <v>43</v>
      </c>
      <c r="T7" s="72" t="s">
        <v>8</v>
      </c>
      <c r="U7" s="72" t="s">
        <v>44</v>
      </c>
      <c r="V7" s="72" t="s">
        <v>18</v>
      </c>
      <c r="W7" s="73" t="s">
        <v>45</v>
      </c>
      <c r="X7" s="73" t="s">
        <v>46</v>
      </c>
      <c r="Y7" s="72" t="s">
        <v>47</v>
      </c>
      <c r="Z7" s="72" t="s">
        <v>228</v>
      </c>
      <c r="AA7" s="74" t="s">
        <v>229</v>
      </c>
    </row>
    <row r="8" spans="1:27" ht="12.75" customHeight="1" x14ac:dyDescent="0.25">
      <c r="B8" s="42"/>
      <c r="AA8" s="43"/>
    </row>
    <row r="9" spans="1:27" ht="12.75" customHeight="1" x14ac:dyDescent="0.25">
      <c r="B9" s="42"/>
      <c r="AA9" s="43"/>
    </row>
    <row r="10" spans="1:27" ht="12.75" customHeight="1" x14ac:dyDescent="0.25">
      <c r="B10" s="42"/>
      <c r="AA10" s="43"/>
    </row>
    <row r="11" spans="1:27" ht="12.75" customHeight="1" x14ac:dyDescent="0.25">
      <c r="B11" s="42"/>
      <c r="AA11" s="43"/>
    </row>
    <row r="12" spans="1:27" ht="12.75" customHeight="1" x14ac:dyDescent="0.25">
      <c r="B12" s="42"/>
      <c r="AA12" s="43"/>
    </row>
    <row r="13" spans="1:27" ht="12.75" customHeight="1" x14ac:dyDescent="0.25">
      <c r="B13" s="42"/>
      <c r="AA13" s="43"/>
    </row>
    <row r="14" spans="1:27" ht="12.75" customHeight="1" x14ac:dyDescent="0.25">
      <c r="B14" s="42"/>
      <c r="AA14" s="43"/>
    </row>
    <row r="15" spans="1:27" ht="12.75" customHeight="1" x14ac:dyDescent="0.25">
      <c r="B15" s="42"/>
      <c r="AA15" s="43"/>
    </row>
    <row r="16" spans="1:27" ht="12.75" customHeight="1" x14ac:dyDescent="0.25">
      <c r="B16" s="42"/>
      <c r="AA16" s="43"/>
    </row>
    <row r="17" spans="2:27" ht="12.75" customHeight="1" x14ac:dyDescent="0.25">
      <c r="B17" s="42"/>
      <c r="AA17" s="43"/>
    </row>
    <row r="18" spans="2:27" ht="12.75" customHeight="1" x14ac:dyDescent="0.25">
      <c r="B18" s="42"/>
      <c r="AA18" s="43"/>
    </row>
    <row r="19" spans="2:27" ht="12.75" customHeight="1" x14ac:dyDescent="0.25">
      <c r="B19" s="42"/>
      <c r="AA19" s="43"/>
    </row>
    <row r="20" spans="2:27" ht="12.75" customHeight="1" x14ac:dyDescent="0.25">
      <c r="B20" s="42"/>
      <c r="AA20" s="43"/>
    </row>
    <row r="21" spans="2:27" ht="12.75" customHeight="1" x14ac:dyDescent="0.25">
      <c r="B21" s="42"/>
      <c r="AA21" s="43"/>
    </row>
    <row r="22" spans="2:27" ht="12.75" customHeight="1" x14ac:dyDescent="0.25">
      <c r="B22" s="42"/>
      <c r="AA22" s="43"/>
    </row>
    <row r="23" spans="2:27" ht="12.75" customHeight="1" x14ac:dyDescent="0.25">
      <c r="B23" s="42"/>
      <c r="AA23" s="43"/>
    </row>
    <row r="24" spans="2:27" ht="12.75" customHeight="1" x14ac:dyDescent="0.25">
      <c r="B24" s="42"/>
      <c r="AA24" s="43"/>
    </row>
    <row r="25" spans="2:27" ht="12.75" customHeight="1" x14ac:dyDescent="0.25">
      <c r="B25" s="42"/>
      <c r="AA25" s="43"/>
    </row>
    <row r="26" spans="2:27" ht="12.75" customHeight="1" x14ac:dyDescent="0.25">
      <c r="B26" s="42"/>
      <c r="AA26" s="43"/>
    </row>
    <row r="27" spans="2:27" ht="12.75" customHeight="1" x14ac:dyDescent="0.25">
      <c r="B27" s="42"/>
      <c r="AA27" s="43"/>
    </row>
    <row r="28" spans="2:27" ht="12.75" customHeight="1" x14ac:dyDescent="0.25">
      <c r="B28" s="42"/>
      <c r="AA28" s="43"/>
    </row>
    <row r="29" spans="2:27" ht="12.75" customHeight="1" x14ac:dyDescent="0.25">
      <c r="B29" s="42"/>
      <c r="AA29" s="43"/>
    </row>
    <row r="30" spans="2:27" ht="12.75" customHeight="1" x14ac:dyDescent="0.25">
      <c r="B30" s="42"/>
      <c r="AA30" s="43"/>
    </row>
    <row r="31" spans="2:27" ht="12.75" customHeight="1" x14ac:dyDescent="0.25">
      <c r="B31" s="42"/>
      <c r="AA31" s="43"/>
    </row>
    <row r="32" spans="2:27" ht="12.75" customHeight="1" x14ac:dyDescent="0.25">
      <c r="B32" s="42"/>
      <c r="AA32" s="43"/>
    </row>
    <row r="33" spans="2:27" ht="12.75" customHeight="1" x14ac:dyDescent="0.25">
      <c r="B33" s="42"/>
      <c r="AA33" s="43"/>
    </row>
    <row r="34" spans="2:27" ht="12.75" customHeight="1" x14ac:dyDescent="0.25">
      <c r="B34" s="42"/>
      <c r="AA34" s="43"/>
    </row>
    <row r="35" spans="2:27" ht="12.75" customHeight="1" x14ac:dyDescent="0.25">
      <c r="B35" s="42"/>
      <c r="AA35" s="43"/>
    </row>
    <row r="36" spans="2:27" ht="12.75" customHeight="1" x14ac:dyDescent="0.25">
      <c r="B36" s="42"/>
      <c r="AA36" s="43"/>
    </row>
    <row r="37" spans="2:27" ht="12.75" customHeight="1" x14ac:dyDescent="0.25">
      <c r="B37" s="42"/>
      <c r="AA37" s="43"/>
    </row>
    <row r="38" spans="2:27" ht="12.75" customHeight="1" x14ac:dyDescent="0.25">
      <c r="B38" s="42"/>
      <c r="AA38" s="43"/>
    </row>
    <row r="39" spans="2:27" ht="12.75" customHeight="1" x14ac:dyDescent="0.25">
      <c r="B39" s="42"/>
      <c r="AA39" s="43"/>
    </row>
    <row r="40" spans="2:27" ht="9.75" customHeight="1" x14ac:dyDescent="0.25">
      <c r="B40" s="42"/>
      <c r="AA40" s="43"/>
    </row>
    <row r="41" spans="2:27" ht="9.75" customHeight="1" x14ac:dyDescent="0.25">
      <c r="B41" s="42"/>
      <c r="AA41" s="43"/>
    </row>
    <row r="42" spans="2:27" ht="9.75" customHeight="1" x14ac:dyDescent="0.25">
      <c r="B42" s="42"/>
      <c r="AA42" s="43"/>
    </row>
    <row r="43" spans="2:27" ht="12.75" customHeight="1" x14ac:dyDescent="0.25">
      <c r="B43" s="42"/>
      <c r="AA43" s="43"/>
    </row>
    <row r="44" spans="2:27" ht="12.75" customHeight="1" x14ac:dyDescent="0.25">
      <c r="B44" s="42"/>
      <c r="AA44" s="43"/>
    </row>
    <row r="45" spans="2:27" ht="12.75" customHeight="1" x14ac:dyDescent="0.25">
      <c r="B45" s="42"/>
      <c r="AA45" s="43"/>
    </row>
    <row r="46" spans="2:27" ht="12.75" customHeight="1" x14ac:dyDescent="0.25">
      <c r="B46" s="42"/>
      <c r="AA46" s="43"/>
    </row>
    <row r="47" spans="2:27" ht="12.75" customHeight="1" x14ac:dyDescent="0.25">
      <c r="B47" s="42"/>
      <c r="AA47" s="43"/>
    </row>
    <row r="48" spans="2:27" ht="12.75" customHeight="1" x14ac:dyDescent="0.25">
      <c r="B48" s="42"/>
      <c r="AA48" s="43"/>
    </row>
    <row r="49" spans="2:27" ht="12.75" customHeight="1" x14ac:dyDescent="0.25">
      <c r="B49" s="42"/>
      <c r="AA49" s="43"/>
    </row>
    <row r="50" spans="2:27" ht="12.75" customHeight="1" x14ac:dyDescent="0.25">
      <c r="B50" s="42"/>
      <c r="AA50" s="43"/>
    </row>
    <row r="51" spans="2:27" ht="12.75" customHeight="1" x14ac:dyDescent="0.25">
      <c r="B51" s="42"/>
      <c r="AA51" s="43"/>
    </row>
    <row r="52" spans="2:27" ht="12.75" customHeight="1" x14ac:dyDescent="0.25">
      <c r="B52" s="42"/>
      <c r="AA52" s="43"/>
    </row>
    <row r="53" spans="2:27" ht="12.75" customHeight="1" x14ac:dyDescent="0.25">
      <c r="B53" s="42"/>
      <c r="AA53" s="43"/>
    </row>
    <row r="54" spans="2:27" ht="12.75" customHeight="1" x14ac:dyDescent="0.25">
      <c r="B54" s="42"/>
      <c r="AA54" s="43"/>
    </row>
    <row r="55" spans="2:27" ht="12.75" customHeight="1" x14ac:dyDescent="0.25">
      <c r="B55" s="42"/>
      <c r="AA55" s="43"/>
    </row>
    <row r="56" spans="2:27" ht="12.75" customHeight="1" x14ac:dyDescent="0.25">
      <c r="B56" s="42"/>
      <c r="AA56" s="43"/>
    </row>
    <row r="57" spans="2:27" ht="12.75" customHeight="1" x14ac:dyDescent="0.25">
      <c r="B57" s="42"/>
      <c r="AA57" s="43"/>
    </row>
    <row r="58" spans="2:27" ht="12.75" customHeight="1" x14ac:dyDescent="0.25">
      <c r="B58" s="42"/>
      <c r="AA58" s="43"/>
    </row>
    <row r="59" spans="2:27" ht="9.75" customHeight="1" x14ac:dyDescent="0.25">
      <c r="B59" s="42"/>
      <c r="AA59" s="43"/>
    </row>
    <row r="60" spans="2:27" ht="9.75" customHeight="1" x14ac:dyDescent="0.25">
      <c r="B60" s="42"/>
      <c r="AA60" s="43"/>
    </row>
    <row r="61" spans="2:27" ht="9.75" customHeight="1" x14ac:dyDescent="0.25">
      <c r="B61" s="42"/>
      <c r="AA61" s="43"/>
    </row>
    <row r="62" spans="2:27" ht="12.75" customHeight="1" x14ac:dyDescent="0.25">
      <c r="B62" s="42"/>
      <c r="AA62" s="43"/>
    </row>
    <row r="63" spans="2:27" ht="12.75" customHeight="1" x14ac:dyDescent="0.25">
      <c r="B63" s="42"/>
      <c r="AA63" s="43"/>
    </row>
    <row r="64" spans="2:27" ht="12.75" customHeight="1" x14ac:dyDescent="0.25">
      <c r="B64" s="42"/>
      <c r="AA64" s="43"/>
    </row>
    <row r="65" spans="2:27" ht="12.75" customHeight="1" x14ac:dyDescent="0.25">
      <c r="B65" s="42"/>
      <c r="AA65" s="43"/>
    </row>
    <row r="66" spans="2:27" ht="12.75" customHeight="1" x14ac:dyDescent="0.25">
      <c r="B66" s="42"/>
      <c r="AA66" s="43"/>
    </row>
    <row r="67" spans="2:27" ht="12.75" customHeight="1" x14ac:dyDescent="0.25">
      <c r="B67" s="42"/>
      <c r="AA67" s="43"/>
    </row>
    <row r="68" spans="2:27" ht="12.75" customHeight="1" x14ac:dyDescent="0.25">
      <c r="B68" s="42"/>
      <c r="AA68" s="43"/>
    </row>
    <row r="69" spans="2:27" ht="12.75" customHeight="1" x14ac:dyDescent="0.25">
      <c r="B69" s="42"/>
      <c r="AA69" s="43"/>
    </row>
    <row r="70" spans="2:27" ht="12.75" customHeight="1" x14ac:dyDescent="0.25">
      <c r="B70" s="42"/>
      <c r="AA70" s="43"/>
    </row>
    <row r="71" spans="2:27" ht="12.75" customHeight="1" x14ac:dyDescent="0.25">
      <c r="B71" s="42"/>
      <c r="AA71" s="43"/>
    </row>
    <row r="72" spans="2:27" ht="12.75" customHeight="1" x14ac:dyDescent="0.25">
      <c r="B72" s="42"/>
      <c r="AA72" s="43"/>
    </row>
    <row r="73" spans="2:27" ht="12.75" customHeight="1" x14ac:dyDescent="0.25">
      <c r="B73" s="42"/>
      <c r="AA73" s="43"/>
    </row>
    <row r="74" spans="2:27" ht="12.75" customHeight="1" x14ac:dyDescent="0.25">
      <c r="B74" s="42"/>
      <c r="AA74" s="43"/>
    </row>
    <row r="75" spans="2:27" ht="12.75" customHeight="1" x14ac:dyDescent="0.25">
      <c r="B75" s="42"/>
      <c r="AA75" s="43"/>
    </row>
    <row r="76" spans="2:27" ht="12.75" customHeight="1" x14ac:dyDescent="0.25">
      <c r="B76" s="42"/>
      <c r="AA76" s="43"/>
    </row>
    <row r="77" spans="2:27" ht="12.75" customHeight="1" x14ac:dyDescent="0.25">
      <c r="B77" s="42"/>
      <c r="AA77" s="43"/>
    </row>
    <row r="78" spans="2:27" ht="12.75" customHeight="1" x14ac:dyDescent="0.25">
      <c r="B78" s="42"/>
      <c r="AA78" s="43"/>
    </row>
    <row r="79" spans="2:27" ht="12.75" customHeight="1" x14ac:dyDescent="0.25">
      <c r="B79" s="42"/>
      <c r="AA79" s="43"/>
    </row>
    <row r="80" spans="2:27" ht="12.75" customHeight="1" x14ac:dyDescent="0.25">
      <c r="B80" s="42"/>
      <c r="AA80" s="43"/>
    </row>
    <row r="81" spans="2:27" ht="12.75" customHeight="1" x14ac:dyDescent="0.25">
      <c r="B81" s="42"/>
      <c r="AA81" s="43"/>
    </row>
    <row r="82" spans="2:27" ht="12.75" customHeight="1" x14ac:dyDescent="0.25">
      <c r="B82" s="42"/>
      <c r="AA82" s="43"/>
    </row>
    <row r="83" spans="2:27" ht="12.75" customHeight="1" x14ac:dyDescent="0.25">
      <c r="B83" s="42"/>
      <c r="AA83" s="43"/>
    </row>
    <row r="84" spans="2:27" ht="12.75" customHeight="1" x14ac:dyDescent="0.25">
      <c r="B84" s="42"/>
      <c r="AA84" s="43"/>
    </row>
    <row r="85" spans="2:27" ht="12.75" customHeight="1" x14ac:dyDescent="0.25">
      <c r="B85" s="42"/>
      <c r="AA85" s="43"/>
    </row>
    <row r="86" spans="2:27" ht="12.75" customHeight="1" x14ac:dyDescent="0.25">
      <c r="B86" s="42"/>
      <c r="AA86" s="43"/>
    </row>
    <row r="87" spans="2:27" ht="12.75" customHeight="1" x14ac:dyDescent="0.25">
      <c r="B87" s="42"/>
      <c r="AA87" s="43"/>
    </row>
    <row r="88" spans="2:27" ht="12.75" customHeight="1" x14ac:dyDescent="0.25">
      <c r="B88" s="42"/>
      <c r="AA88" s="43"/>
    </row>
    <row r="89" spans="2:27" ht="9.75" customHeight="1" x14ac:dyDescent="0.25">
      <c r="B89" s="42"/>
      <c r="AA89" s="43"/>
    </row>
    <row r="90" spans="2:27" ht="12.75" customHeight="1" x14ac:dyDescent="0.25">
      <c r="B90" s="42"/>
      <c r="AA90" s="43"/>
    </row>
    <row r="91" spans="2:27" ht="12.75" customHeight="1" x14ac:dyDescent="0.25">
      <c r="B91" s="42"/>
      <c r="AA91" s="43"/>
    </row>
    <row r="92" spans="2:27" ht="12.75" customHeight="1" x14ac:dyDescent="0.25">
      <c r="B92" s="42"/>
      <c r="AA92" s="43"/>
    </row>
    <row r="93" spans="2:27" ht="12.75" customHeight="1" x14ac:dyDescent="0.25">
      <c r="B93" s="42"/>
      <c r="AA93" s="43"/>
    </row>
    <row r="94" spans="2:27" ht="12.75" customHeight="1" x14ac:dyDescent="0.25">
      <c r="B94" s="42"/>
      <c r="AA94" s="43"/>
    </row>
    <row r="95" spans="2:27" ht="12.75" customHeight="1" x14ac:dyDescent="0.25">
      <c r="B95" s="42"/>
      <c r="AA95" s="43"/>
    </row>
    <row r="96" spans="2:27" ht="12.75" customHeight="1" x14ac:dyDescent="0.25">
      <c r="B96" s="42"/>
      <c r="AA96" s="43"/>
    </row>
    <row r="97" spans="2:27" ht="12.75" customHeight="1" x14ac:dyDescent="0.25">
      <c r="B97" s="42"/>
      <c r="AA97" s="43"/>
    </row>
    <row r="98" spans="2:27" ht="12.75" customHeight="1" x14ac:dyDescent="0.25">
      <c r="B98" s="42"/>
      <c r="AA98" s="43"/>
    </row>
    <row r="99" spans="2:27" ht="12.75" customHeight="1" x14ac:dyDescent="0.25">
      <c r="B99" s="42"/>
      <c r="AA99" s="43"/>
    </row>
    <row r="100" spans="2:27" ht="12.75" customHeight="1" x14ac:dyDescent="0.25">
      <c r="B100" s="42"/>
      <c r="AA100" s="43"/>
    </row>
    <row r="101" spans="2:27" ht="12.75" customHeight="1" x14ac:dyDescent="0.25">
      <c r="B101" s="42"/>
      <c r="AA101" s="43"/>
    </row>
    <row r="102" spans="2:27" ht="12.75" customHeight="1" x14ac:dyDescent="0.25">
      <c r="B102" s="42"/>
      <c r="AA102" s="43"/>
    </row>
    <row r="103" spans="2:27" ht="12.75" customHeight="1" x14ac:dyDescent="0.25">
      <c r="B103" s="42"/>
      <c r="AA103" s="43"/>
    </row>
    <row r="104" spans="2:27" ht="12.75" customHeight="1" x14ac:dyDescent="0.25">
      <c r="B104" s="42"/>
      <c r="AA104" s="43"/>
    </row>
    <row r="105" spans="2:27" ht="12.75" customHeight="1" x14ac:dyDescent="0.25">
      <c r="B105" s="42"/>
      <c r="AA105" s="43"/>
    </row>
    <row r="106" spans="2:27" ht="12.75" customHeight="1" x14ac:dyDescent="0.25">
      <c r="B106" s="42"/>
      <c r="AA106" s="43"/>
    </row>
    <row r="107" spans="2:27" ht="12.75" customHeight="1" x14ac:dyDescent="0.25">
      <c r="B107" s="42"/>
      <c r="AA107" s="43"/>
    </row>
    <row r="108" spans="2:27" ht="12.75" customHeight="1" x14ac:dyDescent="0.25">
      <c r="B108" s="42"/>
      <c r="AA108" s="43"/>
    </row>
    <row r="109" spans="2:27" ht="12.75" customHeight="1" x14ac:dyDescent="0.25">
      <c r="B109" s="42"/>
      <c r="AA109" s="43"/>
    </row>
    <row r="110" spans="2:27" ht="12.75" customHeight="1" x14ac:dyDescent="0.25">
      <c r="B110" s="42"/>
      <c r="AA110" s="43"/>
    </row>
    <row r="111" spans="2:27" ht="12.75" customHeight="1" x14ac:dyDescent="0.25">
      <c r="B111" s="42"/>
      <c r="AA111" s="43"/>
    </row>
    <row r="112" spans="2:27" ht="12.75" customHeight="1" x14ac:dyDescent="0.25">
      <c r="B112" s="42"/>
      <c r="AA112" s="43"/>
    </row>
    <row r="113" spans="2:27" ht="12.75" customHeight="1" x14ac:dyDescent="0.25">
      <c r="B113" s="42"/>
      <c r="AA113" s="43"/>
    </row>
    <row r="114" spans="2:27" ht="12.75" customHeight="1" x14ac:dyDescent="0.25">
      <c r="B114" s="42"/>
      <c r="AA114" s="43"/>
    </row>
    <row r="115" spans="2:27" ht="12.75" customHeight="1" x14ac:dyDescent="0.25">
      <c r="B115" s="42"/>
      <c r="AA115" s="43"/>
    </row>
    <row r="116" spans="2:27" ht="12.75" customHeight="1" x14ac:dyDescent="0.25">
      <c r="B116" s="42"/>
      <c r="AA116" s="43"/>
    </row>
    <row r="117" spans="2:27" ht="12.75" customHeight="1" x14ac:dyDescent="0.25">
      <c r="B117" s="42"/>
      <c r="AA117" s="43"/>
    </row>
    <row r="118" spans="2:27" ht="12.75" customHeight="1" x14ac:dyDescent="0.25">
      <c r="B118" s="42"/>
      <c r="AA118" s="43"/>
    </row>
    <row r="119" spans="2:27" ht="12.75" customHeight="1" x14ac:dyDescent="0.25">
      <c r="B119" s="42"/>
      <c r="AA119" s="43"/>
    </row>
    <row r="120" spans="2:27" ht="12.75" customHeight="1" x14ac:dyDescent="0.25">
      <c r="B120" s="42"/>
      <c r="AA120" s="43"/>
    </row>
    <row r="121" spans="2:27" ht="12.75" customHeight="1" x14ac:dyDescent="0.25">
      <c r="B121" s="42"/>
      <c r="AA121" s="43"/>
    </row>
    <row r="122" spans="2:27" ht="12.75" customHeight="1" x14ac:dyDescent="0.25">
      <c r="B122" s="42"/>
      <c r="AA122" s="43"/>
    </row>
    <row r="123" spans="2:27" ht="12.75" customHeight="1" x14ac:dyDescent="0.25">
      <c r="B123" s="42"/>
      <c r="AA123" s="43"/>
    </row>
    <row r="124" spans="2:27" ht="12" customHeight="1" x14ac:dyDescent="0.25">
      <c r="B124" s="42"/>
      <c r="AA124" s="43"/>
    </row>
    <row r="125" spans="2:27" ht="12.75" customHeight="1" x14ac:dyDescent="0.25">
      <c r="B125" s="42"/>
      <c r="AA125" s="43"/>
    </row>
    <row r="126" spans="2:27" ht="12.75" customHeight="1" x14ac:dyDescent="0.25">
      <c r="B126" s="42"/>
      <c r="AA126" s="43"/>
    </row>
    <row r="127" spans="2:27" ht="12.75" customHeight="1" x14ac:dyDescent="0.25">
      <c r="B127" s="42"/>
      <c r="AA127" s="43"/>
    </row>
    <row r="128" spans="2:27" ht="12.75" customHeight="1" x14ac:dyDescent="0.25">
      <c r="B128" s="42"/>
      <c r="AA128" s="43"/>
    </row>
    <row r="129" spans="2:27" ht="12.75" customHeight="1" x14ac:dyDescent="0.25">
      <c r="B129" s="42"/>
      <c r="AA129" s="43"/>
    </row>
    <row r="130" spans="2:27" ht="12.75" customHeight="1" x14ac:dyDescent="0.25">
      <c r="B130" s="42"/>
      <c r="AA130" s="43"/>
    </row>
    <row r="131" spans="2:27" ht="12.75" customHeight="1" x14ac:dyDescent="0.25">
      <c r="B131" s="42"/>
      <c r="AA131" s="43"/>
    </row>
    <row r="132" spans="2:27" ht="12.75" customHeight="1" x14ac:dyDescent="0.25">
      <c r="B132" s="42"/>
      <c r="AA132" s="43"/>
    </row>
    <row r="133" spans="2:27" ht="12.75" customHeight="1" x14ac:dyDescent="0.25">
      <c r="B133" s="42"/>
      <c r="AA133" s="43"/>
    </row>
    <row r="134" spans="2:27" ht="12.75" customHeight="1" x14ac:dyDescent="0.25">
      <c r="B134" s="42"/>
      <c r="AA134" s="43"/>
    </row>
    <row r="135" spans="2:27" ht="12.75" customHeight="1" x14ac:dyDescent="0.25">
      <c r="B135" s="42"/>
      <c r="AA135" s="43"/>
    </row>
    <row r="136" spans="2:27" ht="12.75" customHeight="1" x14ac:dyDescent="0.25">
      <c r="B136" s="42"/>
      <c r="AA136" s="43"/>
    </row>
    <row r="137" spans="2:27" ht="12.75" customHeight="1" x14ac:dyDescent="0.25">
      <c r="B137" s="42"/>
      <c r="AA137" s="43"/>
    </row>
    <row r="138" spans="2:27" ht="12.75" customHeight="1" x14ac:dyDescent="0.25">
      <c r="B138" s="42"/>
      <c r="AA138" s="43"/>
    </row>
    <row r="139" spans="2:27" ht="12.75" customHeight="1" x14ac:dyDescent="0.25">
      <c r="B139" s="42"/>
      <c r="AA139" s="43"/>
    </row>
    <row r="140" spans="2:27" ht="12.75" customHeight="1" x14ac:dyDescent="0.25">
      <c r="B140" s="42"/>
      <c r="AA140" s="43"/>
    </row>
    <row r="141" spans="2:27" ht="12.75" customHeight="1" x14ac:dyDescent="0.25">
      <c r="B141" s="42"/>
      <c r="AA141" s="43"/>
    </row>
    <row r="142" spans="2:27" ht="12.75" customHeight="1" x14ac:dyDescent="0.25">
      <c r="B142" s="42"/>
      <c r="AA142" s="43"/>
    </row>
    <row r="143" spans="2:27" ht="12.75" customHeight="1" x14ac:dyDescent="0.25">
      <c r="B143" s="42"/>
      <c r="AA143" s="43"/>
    </row>
    <row r="144" spans="2:27" ht="9.75" customHeight="1" x14ac:dyDescent="0.25">
      <c r="B144" s="42"/>
      <c r="AA144" s="43"/>
    </row>
    <row r="145" spans="2:27" ht="9.75" customHeight="1" x14ac:dyDescent="0.25">
      <c r="B145" s="42"/>
      <c r="AA145" s="43"/>
    </row>
    <row r="146" spans="2:27" ht="9.75" customHeight="1" x14ac:dyDescent="0.25">
      <c r="B146" s="42"/>
      <c r="AA146" s="43"/>
    </row>
    <row r="147" spans="2:27" ht="12.75" customHeight="1" x14ac:dyDescent="0.25">
      <c r="B147" s="42"/>
      <c r="AA147" s="43"/>
    </row>
    <row r="148" spans="2:27" ht="12.75" customHeight="1" x14ac:dyDescent="0.25">
      <c r="B148" s="42"/>
      <c r="AA148" s="43"/>
    </row>
    <row r="149" spans="2:27" ht="12.75" customHeight="1" x14ac:dyDescent="0.25">
      <c r="B149" s="42"/>
      <c r="AA149" s="43"/>
    </row>
    <row r="150" spans="2:27" ht="12.75" customHeight="1" x14ac:dyDescent="0.25">
      <c r="B150" s="42"/>
      <c r="AA150" s="43"/>
    </row>
    <row r="151" spans="2:27" ht="12.75" customHeight="1" x14ac:dyDescent="0.25">
      <c r="B151" s="42"/>
      <c r="AA151" s="43"/>
    </row>
    <row r="152" spans="2:27" ht="12.75" customHeight="1" x14ac:dyDescent="0.25">
      <c r="B152" s="42"/>
      <c r="AA152" s="43"/>
    </row>
    <row r="153" spans="2:27" ht="12.75" customHeight="1" x14ac:dyDescent="0.25">
      <c r="B153" s="42"/>
      <c r="AA153" s="43"/>
    </row>
    <row r="154" spans="2:27" ht="12.75" customHeight="1" x14ac:dyDescent="0.25">
      <c r="B154" s="42"/>
      <c r="AA154" s="43"/>
    </row>
    <row r="155" spans="2:27" ht="12.75" customHeight="1" x14ac:dyDescent="0.25">
      <c r="B155" s="42"/>
      <c r="AA155" s="43"/>
    </row>
    <row r="156" spans="2:27" ht="12.75" customHeight="1" x14ac:dyDescent="0.25">
      <c r="B156" s="42"/>
      <c r="AA156" s="43"/>
    </row>
    <row r="157" spans="2:27" ht="12.75" customHeight="1" x14ac:dyDescent="0.25">
      <c r="B157" s="42"/>
      <c r="AA157" s="43"/>
    </row>
    <row r="158" spans="2:27" ht="12.75" customHeight="1" x14ac:dyDescent="0.25">
      <c r="B158" s="42"/>
      <c r="AA158" s="43"/>
    </row>
    <row r="159" spans="2:27" ht="12.75" customHeight="1" x14ac:dyDescent="0.25">
      <c r="B159" s="42"/>
      <c r="AA159" s="43"/>
    </row>
    <row r="160" spans="2:27" ht="12.75" customHeight="1" x14ac:dyDescent="0.25">
      <c r="B160" s="42"/>
      <c r="AA160" s="43"/>
    </row>
    <row r="161" spans="2:27" ht="12.75" customHeight="1" x14ac:dyDescent="0.25">
      <c r="B161" s="42"/>
      <c r="AA161" s="43"/>
    </row>
    <row r="162" spans="2:27" ht="12.75" customHeight="1" x14ac:dyDescent="0.25">
      <c r="B162" s="42"/>
      <c r="AA162" s="43"/>
    </row>
    <row r="163" spans="2:27" ht="12.75" customHeight="1" x14ac:dyDescent="0.25">
      <c r="B163" s="42"/>
      <c r="AA163" s="43"/>
    </row>
    <row r="164" spans="2:27" ht="12.75" customHeight="1" x14ac:dyDescent="0.25">
      <c r="B164" s="42"/>
      <c r="AA164" s="43"/>
    </row>
    <row r="165" spans="2:27" ht="12.75" customHeight="1" x14ac:dyDescent="0.25">
      <c r="B165" s="42"/>
      <c r="AA165" s="43"/>
    </row>
    <row r="166" spans="2:27" ht="9.75" customHeight="1" x14ac:dyDescent="0.25">
      <c r="B166" s="42"/>
      <c r="AA166" s="43"/>
    </row>
    <row r="167" spans="2:27" ht="12.75" customHeight="1" x14ac:dyDescent="0.25">
      <c r="B167" s="42"/>
      <c r="AA167" s="43"/>
    </row>
    <row r="168" spans="2:27" ht="12.75" customHeight="1" x14ac:dyDescent="0.25">
      <c r="B168" s="42"/>
      <c r="AA168" s="43"/>
    </row>
    <row r="169" spans="2:27" ht="12.75" customHeight="1" x14ac:dyDescent="0.25">
      <c r="B169" s="42"/>
      <c r="AA169" s="43"/>
    </row>
    <row r="170" spans="2:27" ht="12.75" customHeight="1" x14ac:dyDescent="0.25">
      <c r="B170" s="42"/>
      <c r="AA170" s="43"/>
    </row>
    <row r="171" spans="2:27" ht="12.75" customHeight="1" x14ac:dyDescent="0.25">
      <c r="B171" s="42"/>
      <c r="AA171" s="43"/>
    </row>
    <row r="172" spans="2:27" ht="12.75" customHeight="1" x14ac:dyDescent="0.25">
      <c r="B172" s="42"/>
      <c r="AA172" s="43"/>
    </row>
    <row r="173" spans="2:27" ht="12.75" customHeight="1" x14ac:dyDescent="0.25">
      <c r="B173" s="42"/>
      <c r="AA173" s="43"/>
    </row>
    <row r="174" spans="2:27" ht="12.75" customHeight="1" x14ac:dyDescent="0.25">
      <c r="B174" s="42"/>
      <c r="AA174" s="43"/>
    </row>
    <row r="175" spans="2:27" ht="12.75" customHeight="1" x14ac:dyDescent="0.25">
      <c r="B175" s="42"/>
      <c r="AA175" s="43"/>
    </row>
    <row r="176" spans="2:27" ht="12.75" customHeight="1" x14ac:dyDescent="0.25">
      <c r="B176" s="42"/>
      <c r="AA176" s="43"/>
    </row>
    <row r="177" spans="2:27" ht="12.75" customHeight="1" x14ac:dyDescent="0.25">
      <c r="B177" s="42"/>
      <c r="AA177" s="43"/>
    </row>
    <row r="178" spans="2:27" ht="12.75" customHeight="1" x14ac:dyDescent="0.25">
      <c r="B178" s="42"/>
      <c r="AA178" s="43"/>
    </row>
    <row r="179" spans="2:27" ht="12.75" customHeight="1" x14ac:dyDescent="0.25">
      <c r="B179" s="42"/>
      <c r="AA179" s="43"/>
    </row>
    <row r="180" spans="2:27" ht="12.75" customHeight="1" x14ac:dyDescent="0.25">
      <c r="B180" s="42"/>
      <c r="AA180" s="43"/>
    </row>
    <row r="181" spans="2:27" ht="12.75" customHeight="1" x14ac:dyDescent="0.25">
      <c r="B181" s="42"/>
      <c r="AA181" s="43"/>
    </row>
    <row r="182" spans="2:27" ht="12.75" customHeight="1" x14ac:dyDescent="0.25">
      <c r="B182" s="42"/>
      <c r="AA182" s="43"/>
    </row>
    <row r="183" spans="2:27" ht="12.75" customHeight="1" x14ac:dyDescent="0.25">
      <c r="B183" s="42"/>
      <c r="AA183" s="43"/>
    </row>
    <row r="184" spans="2:27" ht="12.75" customHeight="1" x14ac:dyDescent="0.25">
      <c r="B184" s="42"/>
      <c r="AA184" s="43"/>
    </row>
    <row r="185" spans="2:27" ht="12.75" customHeight="1" x14ac:dyDescent="0.25">
      <c r="B185" s="42"/>
      <c r="AA185" s="43"/>
    </row>
    <row r="186" spans="2:27" ht="12.75" customHeight="1" x14ac:dyDescent="0.25">
      <c r="B186" s="42"/>
      <c r="AA186" s="43"/>
    </row>
    <row r="187" spans="2:27" ht="12.75" customHeight="1" x14ac:dyDescent="0.25">
      <c r="B187" s="42"/>
      <c r="AA187" s="43"/>
    </row>
    <row r="188" spans="2:27" ht="12.75" customHeight="1" x14ac:dyDescent="0.25">
      <c r="B188" s="42"/>
      <c r="AA188" s="43"/>
    </row>
    <row r="189" spans="2:27" ht="12.75" customHeight="1" x14ac:dyDescent="0.25">
      <c r="B189" s="42"/>
      <c r="AA189" s="43"/>
    </row>
    <row r="190" spans="2:27" ht="12.75" customHeight="1" x14ac:dyDescent="0.25">
      <c r="B190" s="42"/>
      <c r="AA190" s="43"/>
    </row>
    <row r="191" spans="2:27" ht="12.75" customHeight="1" x14ac:dyDescent="0.25">
      <c r="B191" s="42"/>
      <c r="AA191" s="43"/>
    </row>
    <row r="192" spans="2:27" ht="12.75" customHeight="1" x14ac:dyDescent="0.25">
      <c r="B192" s="42"/>
      <c r="AA192" s="43"/>
    </row>
    <row r="193" spans="2:27" ht="12.75" customHeight="1" x14ac:dyDescent="0.25">
      <c r="B193" s="42"/>
      <c r="AA193" s="43"/>
    </row>
    <row r="194" spans="2:27" ht="12.75" customHeight="1" x14ac:dyDescent="0.25">
      <c r="B194" s="42"/>
      <c r="AA194" s="43"/>
    </row>
    <row r="195" spans="2:27" ht="12.75" customHeight="1" x14ac:dyDescent="0.25">
      <c r="B195" s="42"/>
      <c r="AA195" s="43"/>
    </row>
    <row r="196" spans="2:27" ht="12.75" customHeight="1" x14ac:dyDescent="0.25">
      <c r="B196" s="42"/>
      <c r="AA196" s="43"/>
    </row>
    <row r="197" spans="2:27" ht="12.75" customHeight="1" x14ac:dyDescent="0.25">
      <c r="B197" s="42"/>
      <c r="AA197" s="43"/>
    </row>
    <row r="198" spans="2:27" ht="12.75" customHeight="1" x14ac:dyDescent="0.25">
      <c r="B198" s="42"/>
      <c r="AA198" s="43"/>
    </row>
    <row r="199" spans="2:27" ht="12.75" customHeight="1" x14ac:dyDescent="0.25">
      <c r="B199" s="42"/>
      <c r="AA199" s="43"/>
    </row>
    <row r="200" spans="2:27" ht="12.75" customHeight="1" x14ac:dyDescent="0.25">
      <c r="B200" s="42"/>
      <c r="AA200" s="43"/>
    </row>
    <row r="201" spans="2:27" ht="12.75" customHeight="1" x14ac:dyDescent="0.25">
      <c r="B201" s="42"/>
      <c r="AA201" s="43"/>
    </row>
    <row r="202" spans="2:27" ht="12.75" customHeight="1" x14ac:dyDescent="0.25">
      <c r="B202" s="42"/>
      <c r="AA202" s="43"/>
    </row>
    <row r="203" spans="2:27" ht="12.75" customHeight="1" x14ac:dyDescent="0.25">
      <c r="B203" s="42"/>
      <c r="AA203" s="43"/>
    </row>
    <row r="204" spans="2:27" ht="12.75" customHeight="1" x14ac:dyDescent="0.25">
      <c r="B204" s="42"/>
      <c r="AA204" s="43"/>
    </row>
    <row r="205" spans="2:27" ht="12.75" customHeight="1" x14ac:dyDescent="0.25">
      <c r="B205" s="42"/>
      <c r="AA205" s="43"/>
    </row>
    <row r="206" spans="2:27" ht="12.75" customHeight="1" x14ac:dyDescent="0.25">
      <c r="B206" s="42"/>
      <c r="AA206" s="43"/>
    </row>
    <row r="207" spans="2:27" ht="12.75" customHeight="1" x14ac:dyDescent="0.25">
      <c r="B207" s="42"/>
      <c r="AA207" s="43"/>
    </row>
    <row r="208" spans="2:27" ht="12.75" customHeight="1" x14ac:dyDescent="0.25">
      <c r="B208" s="42"/>
      <c r="AA208" s="43"/>
    </row>
    <row r="209" spans="2:27" ht="12.75" customHeight="1" x14ac:dyDescent="0.25">
      <c r="B209" s="42"/>
      <c r="AA209" s="43"/>
    </row>
    <row r="210" spans="2:27" ht="12.75" customHeight="1" x14ac:dyDescent="0.25">
      <c r="B210" s="42"/>
      <c r="AA210" s="43"/>
    </row>
    <row r="211" spans="2:27" ht="12.75" customHeight="1" x14ac:dyDescent="0.25">
      <c r="B211" s="42"/>
      <c r="AA211" s="43"/>
    </row>
    <row r="212" spans="2:27" ht="12.75" customHeight="1" x14ac:dyDescent="0.25">
      <c r="B212" s="42"/>
      <c r="AA212" s="43"/>
    </row>
    <row r="213" spans="2:27" ht="12.75" customHeight="1" x14ac:dyDescent="0.25">
      <c r="B213" s="42"/>
      <c r="AA213" s="43"/>
    </row>
    <row r="214" spans="2:27" ht="12.75" customHeight="1" x14ac:dyDescent="0.25">
      <c r="B214" s="42"/>
      <c r="AA214" s="43"/>
    </row>
    <row r="215" spans="2:27" ht="12.75" customHeight="1" x14ac:dyDescent="0.25">
      <c r="B215" s="42"/>
      <c r="AA215" s="43"/>
    </row>
    <row r="216" spans="2:27" ht="12.75" customHeight="1" x14ac:dyDescent="0.25">
      <c r="B216" s="42"/>
      <c r="AA216" s="43"/>
    </row>
    <row r="217" spans="2:27" ht="12.75" customHeight="1" x14ac:dyDescent="0.25">
      <c r="B217" s="42"/>
      <c r="AA217" s="43"/>
    </row>
    <row r="218" spans="2:27" ht="12.75" customHeight="1" x14ac:dyDescent="0.25">
      <c r="B218" s="42"/>
      <c r="AA218" s="43"/>
    </row>
    <row r="219" spans="2:27" ht="12.75" customHeight="1" x14ac:dyDescent="0.25">
      <c r="B219" s="42"/>
      <c r="AA219" s="43"/>
    </row>
    <row r="220" spans="2:27" ht="9.75" customHeight="1" x14ac:dyDescent="0.25">
      <c r="B220" s="42"/>
      <c r="AA220" s="43"/>
    </row>
    <row r="221" spans="2:27" ht="9.75" customHeight="1" x14ac:dyDescent="0.25">
      <c r="B221" s="42"/>
      <c r="AA221" s="43"/>
    </row>
    <row r="222" spans="2:27" ht="9.75" customHeight="1" x14ac:dyDescent="0.25">
      <c r="B222" s="42"/>
      <c r="AA222" s="43"/>
    </row>
    <row r="223" spans="2:27" ht="12.75" customHeight="1" x14ac:dyDescent="0.25">
      <c r="B223" s="42"/>
      <c r="AA223" s="43"/>
    </row>
    <row r="224" spans="2:27" ht="12.75" customHeight="1" x14ac:dyDescent="0.25">
      <c r="B224" s="42"/>
      <c r="AA224" s="43"/>
    </row>
    <row r="225" spans="2:27" ht="12.75" customHeight="1" x14ac:dyDescent="0.25">
      <c r="B225" s="42"/>
      <c r="AA225" s="43"/>
    </row>
    <row r="226" spans="2:27" ht="12.75" customHeight="1" x14ac:dyDescent="0.25">
      <c r="B226" s="42"/>
      <c r="AA226" s="43"/>
    </row>
    <row r="227" spans="2:27" ht="12.75" customHeight="1" x14ac:dyDescent="0.25">
      <c r="B227" s="42"/>
      <c r="AA227" s="43"/>
    </row>
    <row r="228" spans="2:27" ht="12.75" customHeight="1" x14ac:dyDescent="0.25">
      <c r="B228" s="42"/>
      <c r="AA228" s="43"/>
    </row>
    <row r="229" spans="2:27" ht="12.75" customHeight="1" x14ac:dyDescent="0.25">
      <c r="B229" s="42"/>
      <c r="AA229" s="43"/>
    </row>
    <row r="230" spans="2:27" ht="12.75" customHeight="1" x14ac:dyDescent="0.25">
      <c r="B230" s="42"/>
      <c r="AA230" s="43"/>
    </row>
    <row r="231" spans="2:27" ht="12.75" customHeight="1" x14ac:dyDescent="0.25">
      <c r="B231" s="42"/>
      <c r="AA231" s="43"/>
    </row>
    <row r="232" spans="2:27" ht="12.75" customHeight="1" x14ac:dyDescent="0.25">
      <c r="B232" s="42"/>
      <c r="AA232" s="43"/>
    </row>
    <row r="233" spans="2:27" ht="12.75" customHeight="1" x14ac:dyDescent="0.25">
      <c r="B233" s="42"/>
      <c r="AA233" s="43"/>
    </row>
    <row r="234" spans="2:27" ht="12.75" customHeight="1" x14ac:dyDescent="0.25">
      <c r="B234" s="42"/>
      <c r="AA234" s="43"/>
    </row>
    <row r="235" spans="2:27" ht="12.75" customHeight="1" x14ac:dyDescent="0.25">
      <c r="B235" s="42"/>
      <c r="AA235" s="43"/>
    </row>
    <row r="236" spans="2:27" ht="12.75" customHeight="1" x14ac:dyDescent="0.25">
      <c r="B236" s="42"/>
      <c r="AA236" s="43"/>
    </row>
    <row r="237" spans="2:27" ht="12.75" customHeight="1" x14ac:dyDescent="0.25">
      <c r="B237" s="42"/>
      <c r="AA237" s="43"/>
    </row>
    <row r="238" spans="2:27" ht="12.75" customHeight="1" x14ac:dyDescent="0.25">
      <c r="B238" s="42"/>
      <c r="AA238" s="43"/>
    </row>
    <row r="239" spans="2:27" ht="12.75" customHeight="1" x14ac:dyDescent="0.25">
      <c r="B239" s="42"/>
      <c r="AA239" s="43"/>
    </row>
    <row r="240" spans="2:27" ht="12.75" customHeight="1" x14ac:dyDescent="0.25">
      <c r="B240" s="42"/>
      <c r="AA240" s="43"/>
    </row>
    <row r="241" spans="2:27" ht="12.75" customHeight="1" x14ac:dyDescent="0.25">
      <c r="B241" s="42"/>
      <c r="AA241" s="43"/>
    </row>
    <row r="242" spans="2:27" ht="12.75" customHeight="1" x14ac:dyDescent="0.25">
      <c r="B242" s="42"/>
      <c r="AA242" s="43"/>
    </row>
    <row r="243" spans="2:27" ht="12.75" customHeight="1" x14ac:dyDescent="0.25">
      <c r="B243" s="42"/>
      <c r="AA243" s="43"/>
    </row>
    <row r="244" spans="2:27" ht="12.75" customHeight="1" x14ac:dyDescent="0.25">
      <c r="B244" s="42"/>
      <c r="AA244" s="43"/>
    </row>
    <row r="245" spans="2:27" ht="12.75" customHeight="1" x14ac:dyDescent="0.25">
      <c r="B245" s="42"/>
      <c r="AA245" s="43"/>
    </row>
    <row r="246" spans="2:27" ht="12.75" customHeight="1" x14ac:dyDescent="0.25">
      <c r="B246" s="42"/>
      <c r="AA246" s="43"/>
    </row>
    <row r="247" spans="2:27" ht="12.75" customHeight="1" x14ac:dyDescent="0.25">
      <c r="B247" s="42"/>
      <c r="AA247" s="43"/>
    </row>
    <row r="248" spans="2:27" ht="12.75" customHeight="1" x14ac:dyDescent="0.25">
      <c r="B248" s="42"/>
      <c r="AA248" s="43"/>
    </row>
    <row r="249" spans="2:27" ht="12.75" customHeight="1" x14ac:dyDescent="0.25">
      <c r="B249" s="42"/>
      <c r="AA249" s="43"/>
    </row>
    <row r="250" spans="2:27" ht="12.75" customHeight="1" x14ac:dyDescent="0.25">
      <c r="B250" s="42"/>
      <c r="AA250" s="43"/>
    </row>
    <row r="251" spans="2:27" ht="12.75" customHeight="1" x14ac:dyDescent="0.25">
      <c r="B251" s="42"/>
      <c r="AA251" s="43"/>
    </row>
    <row r="252" spans="2:27" ht="12.75" customHeight="1" x14ac:dyDescent="0.25">
      <c r="B252" s="42"/>
      <c r="AA252" s="43"/>
    </row>
    <row r="253" spans="2:27" ht="12.75" customHeight="1" x14ac:dyDescent="0.25">
      <c r="B253" s="42"/>
      <c r="AA253" s="43"/>
    </row>
    <row r="254" spans="2:27" ht="12.75" customHeight="1" x14ac:dyDescent="0.25">
      <c r="B254" s="42"/>
      <c r="AA254" s="43"/>
    </row>
    <row r="255" spans="2:27" ht="12.75" customHeight="1" x14ac:dyDescent="0.25">
      <c r="B255" s="42"/>
      <c r="AA255" s="43"/>
    </row>
    <row r="256" spans="2:27" ht="12.75" customHeight="1" x14ac:dyDescent="0.25">
      <c r="B256" s="42"/>
      <c r="AA256" s="43"/>
    </row>
    <row r="257" spans="2:27" ht="12.75" customHeight="1" x14ac:dyDescent="0.25">
      <c r="B257" s="42"/>
      <c r="AA257" s="43"/>
    </row>
    <row r="258" spans="2:27" ht="12.75" customHeight="1" x14ac:dyDescent="0.25">
      <c r="B258" s="42"/>
      <c r="AA258" s="43"/>
    </row>
    <row r="259" spans="2:27" ht="12.75" customHeight="1" x14ac:dyDescent="0.25">
      <c r="B259" s="42"/>
      <c r="AA259" s="43"/>
    </row>
    <row r="260" spans="2:27" ht="12.75" customHeight="1" x14ac:dyDescent="0.25">
      <c r="B260" s="42"/>
      <c r="AA260" s="43"/>
    </row>
    <row r="261" spans="2:27" ht="12.75" customHeight="1" x14ac:dyDescent="0.25">
      <c r="B261" s="42"/>
      <c r="AA261" s="43"/>
    </row>
    <row r="262" spans="2:27" ht="12.75" customHeight="1" x14ac:dyDescent="0.25">
      <c r="B262" s="42"/>
      <c r="AA262" s="43"/>
    </row>
    <row r="263" spans="2:27" ht="12.75" customHeight="1" x14ac:dyDescent="0.25">
      <c r="B263" s="42"/>
      <c r="AA263" s="43"/>
    </row>
    <row r="264" spans="2:27" ht="12.75" customHeight="1" x14ac:dyDescent="0.25">
      <c r="B264" s="42"/>
      <c r="AA264" s="43"/>
    </row>
    <row r="265" spans="2:27" ht="12.75" customHeight="1" x14ac:dyDescent="0.25">
      <c r="B265" s="42"/>
      <c r="AA265" s="43"/>
    </row>
    <row r="266" spans="2:27" ht="12.75" customHeight="1" x14ac:dyDescent="0.25">
      <c r="B266" s="42"/>
      <c r="AA266" s="43"/>
    </row>
    <row r="267" spans="2:27" ht="12.75" customHeight="1" x14ac:dyDescent="0.25">
      <c r="B267" s="42"/>
      <c r="AA267" s="43"/>
    </row>
    <row r="268" spans="2:27" ht="12.75" customHeight="1" x14ac:dyDescent="0.25">
      <c r="B268" s="42"/>
      <c r="AA268" s="43"/>
    </row>
    <row r="269" spans="2:27" ht="12.75" customHeight="1" x14ac:dyDescent="0.25">
      <c r="B269" s="42"/>
      <c r="AA269" s="43"/>
    </row>
    <row r="270" spans="2:27" ht="12.75" customHeight="1" x14ac:dyDescent="0.25">
      <c r="B270" s="42"/>
      <c r="AA270" s="43"/>
    </row>
    <row r="271" spans="2:27" ht="12.75" customHeight="1" x14ac:dyDescent="0.25">
      <c r="B271" s="42"/>
      <c r="AA271" s="43"/>
    </row>
    <row r="272" spans="2:27" ht="12.75" customHeight="1" x14ac:dyDescent="0.25">
      <c r="B272" s="42"/>
      <c r="AA272" s="43"/>
    </row>
    <row r="273" spans="2:27" ht="9.75" customHeight="1" x14ac:dyDescent="0.25">
      <c r="B273" s="42"/>
      <c r="AA273" s="43"/>
    </row>
    <row r="274" spans="2:27" ht="9.75" customHeight="1" x14ac:dyDescent="0.25">
      <c r="B274" s="42"/>
      <c r="AA274" s="43"/>
    </row>
    <row r="275" spans="2:27" ht="12.75" customHeight="1" x14ac:dyDescent="0.25">
      <c r="B275" s="42"/>
      <c r="AA275" s="43"/>
    </row>
    <row r="276" spans="2:27" ht="9.75" customHeight="1" x14ac:dyDescent="0.25">
      <c r="B276" s="42"/>
      <c r="AA276" s="43"/>
    </row>
    <row r="277" spans="2:27" ht="12.75" customHeight="1" x14ac:dyDescent="0.25">
      <c r="B277" s="42"/>
      <c r="AA277" s="43"/>
    </row>
    <row r="278" spans="2:27" ht="12.75" customHeight="1" x14ac:dyDescent="0.25">
      <c r="B278" s="42"/>
      <c r="AA278" s="43"/>
    </row>
    <row r="279" spans="2:27" ht="12.75" customHeight="1" x14ac:dyDescent="0.25">
      <c r="B279" s="42"/>
      <c r="AA279" s="43"/>
    </row>
    <row r="280" spans="2:27" ht="12.75" customHeight="1" x14ac:dyDescent="0.25">
      <c r="B280" s="42"/>
      <c r="AA280" s="43"/>
    </row>
    <row r="281" spans="2:27" ht="12.75" customHeight="1" x14ac:dyDescent="0.25">
      <c r="B281" s="42"/>
      <c r="AA281" s="43"/>
    </row>
    <row r="282" spans="2:27" ht="12.75" customHeight="1" x14ac:dyDescent="0.25">
      <c r="B282" s="42"/>
      <c r="AA282" s="43"/>
    </row>
    <row r="283" spans="2:27" ht="12.75" customHeight="1" x14ac:dyDescent="0.25">
      <c r="B283" s="42"/>
      <c r="AA283" s="43"/>
    </row>
    <row r="284" spans="2:27" ht="12.75" customHeight="1" x14ac:dyDescent="0.25">
      <c r="B284" s="42"/>
      <c r="AA284" s="43"/>
    </row>
    <row r="285" spans="2:27" ht="12.75" customHeight="1" x14ac:dyDescent="0.25">
      <c r="B285" s="42"/>
      <c r="AA285" s="43"/>
    </row>
    <row r="286" spans="2:27" ht="12.75" customHeight="1" x14ac:dyDescent="0.25">
      <c r="B286" s="42"/>
      <c r="AA286" s="43"/>
    </row>
    <row r="287" spans="2:27" ht="12.75" customHeight="1" x14ac:dyDescent="0.25">
      <c r="B287" s="42"/>
      <c r="AA287" s="43"/>
    </row>
    <row r="288" spans="2:27" ht="12.75" customHeight="1" x14ac:dyDescent="0.25">
      <c r="B288" s="42"/>
      <c r="AA288" s="43"/>
    </row>
    <row r="289" spans="2:27" ht="12.75" customHeight="1" x14ac:dyDescent="0.25">
      <c r="B289" s="42"/>
      <c r="AA289" s="43"/>
    </row>
    <row r="290" spans="2:27" ht="12.75" customHeight="1" x14ac:dyDescent="0.25">
      <c r="B290" s="42"/>
      <c r="AA290" s="43"/>
    </row>
    <row r="291" spans="2:27" ht="12.75" customHeight="1" x14ac:dyDescent="0.25">
      <c r="B291" s="42"/>
      <c r="AA291" s="43"/>
    </row>
    <row r="292" spans="2:27" ht="12.75" customHeight="1" x14ac:dyDescent="0.25">
      <c r="B292" s="42"/>
      <c r="AA292" s="43"/>
    </row>
    <row r="293" spans="2:27" ht="12.75" customHeight="1" x14ac:dyDescent="0.25">
      <c r="B293" s="42"/>
      <c r="AA293" s="43"/>
    </row>
    <row r="294" spans="2:27" ht="12.75" customHeight="1" x14ac:dyDescent="0.25">
      <c r="B294" s="42"/>
      <c r="AA294" s="43"/>
    </row>
    <row r="295" spans="2:27" ht="12.75" customHeight="1" x14ac:dyDescent="0.25">
      <c r="B295" s="42"/>
      <c r="AA295" s="43"/>
    </row>
    <row r="296" spans="2:27" ht="12.75" customHeight="1" x14ac:dyDescent="0.25">
      <c r="B296" s="42"/>
      <c r="AA296" s="43"/>
    </row>
    <row r="297" spans="2:27" ht="12.75" customHeight="1" x14ac:dyDescent="0.25">
      <c r="B297" s="42"/>
      <c r="AA297" s="43"/>
    </row>
    <row r="298" spans="2:27" ht="12.75" customHeight="1" x14ac:dyDescent="0.25">
      <c r="B298" s="42"/>
      <c r="AA298" s="43"/>
    </row>
    <row r="299" spans="2:27" ht="12.75" customHeight="1" x14ac:dyDescent="0.25">
      <c r="B299" s="42"/>
      <c r="AA299" s="43"/>
    </row>
    <row r="300" spans="2:27" ht="12.75" customHeight="1" x14ac:dyDescent="0.25">
      <c r="B300" s="42"/>
      <c r="AA300" s="43"/>
    </row>
    <row r="301" spans="2:27" ht="12.75" customHeight="1" x14ac:dyDescent="0.25">
      <c r="B301" s="42"/>
      <c r="AA301" s="43"/>
    </row>
    <row r="302" spans="2:27" ht="12.75" customHeight="1" x14ac:dyDescent="0.25">
      <c r="B302" s="42"/>
      <c r="AA302" s="43"/>
    </row>
    <row r="303" spans="2:27" ht="12.75" customHeight="1" x14ac:dyDescent="0.25">
      <c r="B303" s="42"/>
      <c r="AA303" s="43"/>
    </row>
    <row r="304" spans="2:27" ht="12.75" customHeight="1" x14ac:dyDescent="0.25">
      <c r="B304" s="42"/>
      <c r="AA304" s="43"/>
    </row>
    <row r="305" spans="2:27" ht="12.75" customHeight="1" x14ac:dyDescent="0.25">
      <c r="B305" s="42"/>
      <c r="AA305" s="43"/>
    </row>
    <row r="306" spans="2:27" ht="12.75" customHeight="1" x14ac:dyDescent="0.25">
      <c r="B306" s="42"/>
      <c r="AA306" s="43"/>
    </row>
    <row r="307" spans="2:27" ht="12.75" customHeight="1" x14ac:dyDescent="0.25">
      <c r="B307" s="42"/>
      <c r="AA307" s="43"/>
    </row>
    <row r="308" spans="2:27" ht="12.75" customHeight="1" x14ac:dyDescent="0.25">
      <c r="B308" s="42"/>
      <c r="AA308" s="43"/>
    </row>
    <row r="309" spans="2:27" ht="12.75" customHeight="1" x14ac:dyDescent="0.25">
      <c r="B309" s="42"/>
      <c r="AA309" s="43"/>
    </row>
    <row r="310" spans="2:27" ht="12.75" customHeight="1" x14ac:dyDescent="0.25">
      <c r="B310" s="42"/>
      <c r="AA310" s="43"/>
    </row>
    <row r="311" spans="2:27" ht="12.75" customHeight="1" x14ac:dyDescent="0.25">
      <c r="B311" s="42"/>
      <c r="AA311" s="43"/>
    </row>
    <row r="312" spans="2:27" ht="12.75" customHeight="1" x14ac:dyDescent="0.25">
      <c r="B312" s="42"/>
      <c r="AA312" s="43"/>
    </row>
    <row r="313" spans="2:27" ht="12.75" customHeight="1" x14ac:dyDescent="0.25">
      <c r="B313" s="42"/>
      <c r="AA313" s="43"/>
    </row>
    <row r="314" spans="2:27" ht="12.75" customHeight="1" x14ac:dyDescent="0.25">
      <c r="B314" s="42"/>
      <c r="AA314" s="43"/>
    </row>
    <row r="315" spans="2:27" ht="12.75" customHeight="1" x14ac:dyDescent="0.25">
      <c r="B315" s="42"/>
      <c r="AA315" s="43"/>
    </row>
    <row r="316" spans="2:27" ht="12.75" customHeight="1" x14ac:dyDescent="0.25">
      <c r="B316" s="42"/>
      <c r="AA316" s="43"/>
    </row>
    <row r="317" spans="2:27" ht="12.75" customHeight="1" x14ac:dyDescent="0.25">
      <c r="B317" s="42"/>
      <c r="AA317" s="43"/>
    </row>
    <row r="318" spans="2:27" ht="12.75" customHeight="1" x14ac:dyDescent="0.25">
      <c r="B318" s="42"/>
      <c r="AA318" s="43"/>
    </row>
    <row r="319" spans="2:27" ht="12.75" customHeight="1" x14ac:dyDescent="0.25">
      <c r="B319" s="42"/>
      <c r="AA319" s="43"/>
    </row>
    <row r="320" spans="2:27" ht="12.75" customHeight="1" x14ac:dyDescent="0.25">
      <c r="B320" s="42"/>
      <c r="AA320" s="43"/>
    </row>
    <row r="321" spans="2:27" ht="12.75" customHeight="1" x14ac:dyDescent="0.25">
      <c r="B321" s="42"/>
      <c r="AA321" s="43"/>
    </row>
    <row r="322" spans="2:27" ht="12.75" customHeight="1" x14ac:dyDescent="0.25">
      <c r="B322" s="42"/>
      <c r="AA322" s="43"/>
    </row>
    <row r="323" spans="2:27" ht="12.75" customHeight="1" x14ac:dyDescent="0.25">
      <c r="B323" s="42"/>
      <c r="AA323" s="43"/>
    </row>
    <row r="324" spans="2:27" ht="9.75" customHeight="1" x14ac:dyDescent="0.25">
      <c r="B324" s="42"/>
      <c r="AA324" s="43"/>
    </row>
    <row r="325" spans="2:27" ht="9.75" customHeight="1" x14ac:dyDescent="0.25">
      <c r="B325" s="42"/>
      <c r="AA325" s="43"/>
    </row>
    <row r="326" spans="2:27" ht="9.75" customHeight="1" x14ac:dyDescent="0.25">
      <c r="B326" s="42"/>
      <c r="AA326" s="43"/>
    </row>
    <row r="327" spans="2:27" ht="12.75" customHeight="1" x14ac:dyDescent="0.25">
      <c r="B327" s="42"/>
      <c r="AA327" s="43"/>
    </row>
    <row r="328" spans="2:27" ht="12.75" customHeight="1" x14ac:dyDescent="0.25">
      <c r="B328" s="42"/>
      <c r="AA328" s="43"/>
    </row>
    <row r="329" spans="2:27" ht="12.75" customHeight="1" x14ac:dyDescent="0.25">
      <c r="B329" s="42"/>
      <c r="AA329" s="43"/>
    </row>
    <row r="330" spans="2:27" ht="12.75" customHeight="1" x14ac:dyDescent="0.25">
      <c r="B330" s="42"/>
      <c r="AA330" s="43"/>
    </row>
    <row r="331" spans="2:27" ht="12.75" customHeight="1" x14ac:dyDescent="0.25">
      <c r="B331" s="42"/>
      <c r="AA331" s="43"/>
    </row>
    <row r="332" spans="2:27" ht="12.75" customHeight="1" x14ac:dyDescent="0.25">
      <c r="B332" s="42"/>
      <c r="AA332" s="43"/>
    </row>
    <row r="333" spans="2:27" ht="12.75" customHeight="1" x14ac:dyDescent="0.25">
      <c r="B333" s="42"/>
      <c r="AA333" s="43"/>
    </row>
    <row r="334" spans="2:27" ht="12.75" customHeight="1" x14ac:dyDescent="0.25">
      <c r="B334" s="42"/>
      <c r="AA334" s="43"/>
    </row>
    <row r="335" spans="2:27" ht="12.75" customHeight="1" x14ac:dyDescent="0.25">
      <c r="B335" s="42"/>
      <c r="AA335" s="43"/>
    </row>
    <row r="336" spans="2:27" ht="12.75" customHeight="1" x14ac:dyDescent="0.25">
      <c r="B336" s="42"/>
      <c r="AA336" s="43"/>
    </row>
    <row r="337" spans="2:27" ht="12.75" customHeight="1" x14ac:dyDescent="0.25">
      <c r="B337" s="42"/>
      <c r="AA337" s="43"/>
    </row>
    <row r="338" spans="2:27" ht="12.75" customHeight="1" x14ac:dyDescent="0.25">
      <c r="B338" s="42"/>
      <c r="AA338" s="43"/>
    </row>
    <row r="339" spans="2:27" ht="12.75" customHeight="1" x14ac:dyDescent="0.25">
      <c r="B339" s="42"/>
      <c r="AA339" s="43"/>
    </row>
    <row r="340" spans="2:27" ht="12.75" customHeight="1" x14ac:dyDescent="0.25">
      <c r="B340" s="42"/>
      <c r="AA340" s="43"/>
    </row>
    <row r="341" spans="2:27" ht="12.75" customHeight="1" x14ac:dyDescent="0.25">
      <c r="B341" s="42"/>
      <c r="AA341" s="43"/>
    </row>
    <row r="342" spans="2:27" ht="12.75" customHeight="1" x14ac:dyDescent="0.25">
      <c r="B342" s="42"/>
      <c r="AA342" s="43"/>
    </row>
    <row r="343" spans="2:27" ht="12.75" customHeight="1" x14ac:dyDescent="0.25">
      <c r="B343" s="42"/>
      <c r="AA343" s="43"/>
    </row>
    <row r="344" spans="2:27" ht="12.75" customHeight="1" x14ac:dyDescent="0.25">
      <c r="B344" s="42"/>
      <c r="AA344" s="43"/>
    </row>
    <row r="345" spans="2:27" ht="12.75" customHeight="1" x14ac:dyDescent="0.25">
      <c r="B345" s="42"/>
      <c r="AA345" s="43"/>
    </row>
    <row r="346" spans="2:27" ht="12.75" customHeight="1" x14ac:dyDescent="0.25">
      <c r="B346" s="42"/>
      <c r="AA346" s="43"/>
    </row>
    <row r="347" spans="2:27" ht="12.75" customHeight="1" x14ac:dyDescent="0.25">
      <c r="B347" s="42"/>
      <c r="AA347" s="43"/>
    </row>
    <row r="348" spans="2:27" ht="12.75" customHeight="1" x14ac:dyDescent="0.25">
      <c r="B348" s="42"/>
      <c r="AA348" s="43"/>
    </row>
    <row r="349" spans="2:27" ht="12.75" customHeight="1" x14ac:dyDescent="0.25">
      <c r="B349" s="42"/>
      <c r="AA349" s="43"/>
    </row>
    <row r="350" spans="2:27" ht="12.75" customHeight="1" x14ac:dyDescent="0.25">
      <c r="B350" s="42"/>
      <c r="AA350" s="43"/>
    </row>
    <row r="351" spans="2:27" ht="12.75" customHeight="1" x14ac:dyDescent="0.25">
      <c r="B351" s="42"/>
      <c r="AA351" s="43"/>
    </row>
    <row r="352" spans="2:27" ht="12.75" customHeight="1" x14ac:dyDescent="0.25">
      <c r="B352" s="42"/>
      <c r="AA352" s="43"/>
    </row>
    <row r="353" spans="2:27" ht="12.75" customHeight="1" x14ac:dyDescent="0.25">
      <c r="B353" s="42"/>
      <c r="AA353" s="43"/>
    </row>
    <row r="354" spans="2:27" ht="12.75" customHeight="1" x14ac:dyDescent="0.25">
      <c r="B354" s="42"/>
      <c r="AA354" s="43"/>
    </row>
    <row r="355" spans="2:27" ht="12.75" customHeight="1" x14ac:dyDescent="0.25">
      <c r="B355" s="42"/>
      <c r="AA355" s="43"/>
    </row>
    <row r="356" spans="2:27" ht="12.75" customHeight="1" x14ac:dyDescent="0.25">
      <c r="B356" s="42"/>
      <c r="AA356" s="43"/>
    </row>
    <row r="357" spans="2:27" ht="12.75" customHeight="1" x14ac:dyDescent="0.25">
      <c r="B357" s="42"/>
      <c r="AA357" s="43"/>
    </row>
    <row r="358" spans="2:27" ht="12.75" customHeight="1" x14ac:dyDescent="0.25">
      <c r="B358" s="42"/>
      <c r="AA358" s="43"/>
    </row>
    <row r="359" spans="2:27" ht="12.75" customHeight="1" x14ac:dyDescent="0.25">
      <c r="B359" s="42"/>
      <c r="AA359" s="43"/>
    </row>
    <row r="360" spans="2:27" ht="12.75" customHeight="1" x14ac:dyDescent="0.25">
      <c r="B360" s="42"/>
      <c r="AA360" s="43"/>
    </row>
    <row r="361" spans="2:27" ht="12.75" customHeight="1" x14ac:dyDescent="0.25">
      <c r="B361" s="42"/>
      <c r="AA361" s="43"/>
    </row>
    <row r="362" spans="2:27" ht="12.75" customHeight="1" x14ac:dyDescent="0.25">
      <c r="B362" s="42"/>
      <c r="AA362" s="43"/>
    </row>
    <row r="363" spans="2:27" ht="12.75" customHeight="1" x14ac:dyDescent="0.25">
      <c r="B363" s="42"/>
      <c r="AA363" s="43"/>
    </row>
    <row r="364" spans="2:27" ht="12.75" customHeight="1" x14ac:dyDescent="0.25">
      <c r="B364" s="42"/>
      <c r="AA364" s="43"/>
    </row>
    <row r="365" spans="2:27" ht="12.75" customHeight="1" x14ac:dyDescent="0.25">
      <c r="B365" s="42"/>
      <c r="AA365" s="43"/>
    </row>
    <row r="366" spans="2:27" ht="12.75" customHeight="1" x14ac:dyDescent="0.25">
      <c r="B366" s="42"/>
      <c r="AA366" s="43"/>
    </row>
    <row r="367" spans="2:27" ht="12.75" customHeight="1" x14ac:dyDescent="0.25">
      <c r="B367" s="42"/>
      <c r="AA367" s="43"/>
    </row>
    <row r="368" spans="2:27" ht="12.75" customHeight="1" x14ac:dyDescent="0.25">
      <c r="B368" s="42"/>
      <c r="AA368" s="43"/>
    </row>
    <row r="369" spans="2:27" ht="12.75" customHeight="1" x14ac:dyDescent="0.25">
      <c r="B369" s="42"/>
      <c r="AA369" s="43"/>
    </row>
    <row r="370" spans="2:27" ht="12.75" customHeight="1" x14ac:dyDescent="0.25">
      <c r="B370" s="42"/>
      <c r="AA370" s="43"/>
    </row>
    <row r="371" spans="2:27" ht="12.75" customHeight="1" x14ac:dyDescent="0.25">
      <c r="B371" s="42"/>
      <c r="AA371" s="43"/>
    </row>
    <row r="372" spans="2:27" ht="12.75" customHeight="1" x14ac:dyDescent="0.25">
      <c r="B372" s="42"/>
      <c r="AA372" s="43"/>
    </row>
    <row r="373" spans="2:27" ht="12.75" customHeight="1" x14ac:dyDescent="0.25">
      <c r="B373" s="42"/>
      <c r="AA373" s="43"/>
    </row>
    <row r="374" spans="2:27" ht="12.75" customHeight="1" x14ac:dyDescent="0.25">
      <c r="B374" s="42"/>
      <c r="AA374" s="43"/>
    </row>
    <row r="375" spans="2:27" ht="12.75" customHeight="1" x14ac:dyDescent="0.25">
      <c r="B375" s="42"/>
      <c r="AA375" s="43"/>
    </row>
    <row r="376" spans="2:27" ht="12.75" customHeight="1" x14ac:dyDescent="0.25">
      <c r="B376" s="42"/>
      <c r="AA376" s="43"/>
    </row>
    <row r="377" spans="2:27" ht="12.75" customHeight="1" x14ac:dyDescent="0.25">
      <c r="B377" s="42"/>
      <c r="AA377" s="43"/>
    </row>
    <row r="378" spans="2:27" ht="12.75" customHeight="1" x14ac:dyDescent="0.25">
      <c r="B378" s="42"/>
      <c r="AA378" s="43"/>
    </row>
    <row r="379" spans="2:27" ht="12.75" customHeight="1" x14ac:dyDescent="0.25">
      <c r="B379" s="42"/>
      <c r="AA379" s="43"/>
    </row>
    <row r="380" spans="2:27" ht="12.75" customHeight="1" x14ac:dyDescent="0.25">
      <c r="B380" s="42"/>
      <c r="AA380" s="43"/>
    </row>
    <row r="381" spans="2:27" ht="12.75" customHeight="1" x14ac:dyDescent="0.25">
      <c r="B381" s="42"/>
      <c r="AA381" s="43"/>
    </row>
    <row r="382" spans="2:27" ht="12.75" customHeight="1" x14ac:dyDescent="0.25">
      <c r="B382" s="42"/>
      <c r="AA382" s="43"/>
    </row>
    <row r="383" spans="2:27" ht="12.75" customHeight="1" x14ac:dyDescent="0.25">
      <c r="B383" s="42"/>
      <c r="AA383" s="43"/>
    </row>
    <row r="384" spans="2:27" ht="12.75" customHeight="1" x14ac:dyDescent="0.25">
      <c r="B384" s="42"/>
      <c r="AA384" s="43"/>
    </row>
    <row r="385" spans="2:27" ht="12.75" customHeight="1" x14ac:dyDescent="0.25">
      <c r="B385" s="42"/>
      <c r="AA385" s="43"/>
    </row>
    <row r="386" spans="2:27" ht="12.75" customHeight="1" x14ac:dyDescent="0.25">
      <c r="B386" s="42"/>
      <c r="AA386" s="43"/>
    </row>
    <row r="387" spans="2:27" ht="12.75" customHeight="1" x14ac:dyDescent="0.25">
      <c r="B387" s="42"/>
      <c r="AA387" s="43"/>
    </row>
    <row r="388" spans="2:27" ht="12.75" customHeight="1" x14ac:dyDescent="0.25">
      <c r="B388" s="42"/>
      <c r="AA388" s="43"/>
    </row>
    <row r="389" spans="2:27" ht="12.75" customHeight="1" x14ac:dyDescent="0.25">
      <c r="B389" s="42"/>
      <c r="AA389" s="43"/>
    </row>
    <row r="390" spans="2:27" ht="12.75" customHeight="1" x14ac:dyDescent="0.25">
      <c r="B390" s="42"/>
      <c r="AA390" s="43"/>
    </row>
    <row r="391" spans="2:27" ht="12.75" customHeight="1" x14ac:dyDescent="0.25">
      <c r="B391" s="42"/>
      <c r="AA391" s="43"/>
    </row>
    <row r="392" spans="2:27" ht="12.75" customHeight="1" x14ac:dyDescent="0.25">
      <c r="B392" s="42"/>
      <c r="AA392" s="43"/>
    </row>
    <row r="393" spans="2:27" ht="12.75" customHeight="1" x14ac:dyDescent="0.25">
      <c r="B393" s="42"/>
      <c r="AA393" s="43"/>
    </row>
    <row r="394" spans="2:27" ht="12.75" customHeight="1" x14ac:dyDescent="0.25">
      <c r="B394" s="42"/>
      <c r="AA394" s="43"/>
    </row>
    <row r="395" spans="2:27" ht="12.75" customHeight="1" x14ac:dyDescent="0.25">
      <c r="B395" s="42"/>
      <c r="AA395" s="43"/>
    </row>
    <row r="396" spans="2:27" ht="12.75" customHeight="1" x14ac:dyDescent="0.25">
      <c r="B396" s="42"/>
      <c r="AA396" s="43"/>
    </row>
    <row r="397" spans="2:27" ht="12.75" customHeight="1" x14ac:dyDescent="0.25">
      <c r="B397" s="42"/>
      <c r="AA397" s="43"/>
    </row>
    <row r="398" spans="2:27" ht="12.75" customHeight="1" x14ac:dyDescent="0.25">
      <c r="B398" s="42"/>
      <c r="AA398" s="43"/>
    </row>
    <row r="399" spans="2:27" ht="12.75" customHeight="1" x14ac:dyDescent="0.25">
      <c r="B399" s="42"/>
      <c r="AA399" s="43"/>
    </row>
    <row r="400" spans="2:27" ht="12.75" customHeight="1" x14ac:dyDescent="0.25">
      <c r="B400" s="42"/>
      <c r="AA400" s="43"/>
    </row>
    <row r="401" spans="2:27" ht="12.75" customHeight="1" x14ac:dyDescent="0.25">
      <c r="B401" s="42"/>
      <c r="AA401" s="43"/>
    </row>
    <row r="402" spans="2:27" ht="12.75" customHeight="1" x14ac:dyDescent="0.25">
      <c r="B402" s="42"/>
      <c r="AA402" s="43"/>
    </row>
    <row r="403" spans="2:27" ht="12.75" customHeight="1" x14ac:dyDescent="0.25">
      <c r="B403" s="42"/>
      <c r="AA403" s="43"/>
    </row>
    <row r="404" spans="2:27" ht="12.75" customHeight="1" x14ac:dyDescent="0.25">
      <c r="B404" s="42"/>
      <c r="AA404" s="43"/>
    </row>
    <row r="405" spans="2:27" ht="12.75" customHeight="1" x14ac:dyDescent="0.25">
      <c r="B405" s="42"/>
      <c r="AA405" s="43"/>
    </row>
    <row r="406" spans="2:27" ht="12.75" customHeight="1" x14ac:dyDescent="0.25">
      <c r="B406" s="42"/>
      <c r="AA406" s="43"/>
    </row>
    <row r="407" spans="2:27" ht="12.75" customHeight="1" x14ac:dyDescent="0.25">
      <c r="B407" s="42"/>
      <c r="AA407" s="43"/>
    </row>
    <row r="408" spans="2:27" ht="12.75" customHeight="1" x14ac:dyDescent="0.25">
      <c r="B408" s="42"/>
      <c r="AA408" s="43"/>
    </row>
    <row r="409" spans="2:27" ht="12.75" customHeight="1" x14ac:dyDescent="0.25">
      <c r="B409" s="42"/>
      <c r="AA409" s="43"/>
    </row>
    <row r="410" spans="2:27" ht="12.75" customHeight="1" x14ac:dyDescent="0.25">
      <c r="B410" s="42"/>
      <c r="AA410" s="43"/>
    </row>
    <row r="411" spans="2:27" ht="12.75" customHeight="1" x14ac:dyDescent="0.25">
      <c r="B411" s="42"/>
      <c r="AA411" s="43"/>
    </row>
    <row r="412" spans="2:27" ht="9.75" customHeight="1" x14ac:dyDescent="0.25">
      <c r="B412" s="42"/>
      <c r="AA412" s="43"/>
    </row>
    <row r="413" spans="2:27" ht="12.75" customHeight="1" x14ac:dyDescent="0.25">
      <c r="B413" s="42"/>
      <c r="AA413" s="43"/>
    </row>
    <row r="414" spans="2:27" ht="12.75" customHeight="1" x14ac:dyDescent="0.25">
      <c r="B414" s="42"/>
      <c r="AA414" s="43"/>
    </row>
    <row r="415" spans="2:27" ht="12.75" customHeight="1" x14ac:dyDescent="0.25">
      <c r="B415" s="42"/>
      <c r="AA415" s="43"/>
    </row>
    <row r="416" spans="2:27" ht="12.75" customHeight="1" x14ac:dyDescent="0.25">
      <c r="B416" s="42"/>
      <c r="AA416" s="43"/>
    </row>
    <row r="417" spans="2:27" ht="12.75" customHeight="1" x14ac:dyDescent="0.25">
      <c r="B417" s="42"/>
      <c r="AA417" s="43"/>
    </row>
    <row r="418" spans="2:27" ht="12.75" customHeight="1" x14ac:dyDescent="0.25">
      <c r="B418" s="42"/>
      <c r="AA418" s="43"/>
    </row>
    <row r="419" spans="2:27" ht="12.75" customHeight="1" x14ac:dyDescent="0.25">
      <c r="B419" s="42"/>
      <c r="AA419" s="43"/>
    </row>
    <row r="420" spans="2:27" x14ac:dyDescent="0.25">
      <c r="B420" s="42"/>
      <c r="AA420" s="43"/>
    </row>
    <row r="421" spans="2:27" x14ac:dyDescent="0.25">
      <c r="B421" s="42"/>
      <c r="AA421" s="43"/>
    </row>
    <row r="422" spans="2:27" x14ac:dyDescent="0.25">
      <c r="B422" s="42"/>
      <c r="AA422" s="43"/>
    </row>
    <row r="423" spans="2:27" x14ac:dyDescent="0.25">
      <c r="B423" s="42"/>
      <c r="AA423" s="43"/>
    </row>
    <row r="424" spans="2:27" x14ac:dyDescent="0.25">
      <c r="B424" s="42"/>
      <c r="AA424" s="43"/>
    </row>
    <row r="425" spans="2:27" x14ac:dyDescent="0.25">
      <c r="B425" s="42"/>
      <c r="AA425" s="43"/>
    </row>
    <row r="426" spans="2:27" x14ac:dyDescent="0.25">
      <c r="B426" s="42"/>
      <c r="AA426" s="43"/>
    </row>
    <row r="427" spans="2:27" x14ac:dyDescent="0.25">
      <c r="B427" s="42"/>
      <c r="AA427" s="43"/>
    </row>
    <row r="428" spans="2:27" x14ac:dyDescent="0.25">
      <c r="B428" s="42"/>
      <c r="AA428" s="43"/>
    </row>
    <row r="429" spans="2:27" x14ac:dyDescent="0.25">
      <c r="B429" s="42"/>
      <c r="AA429" s="43"/>
    </row>
    <row r="430" spans="2:27" x14ac:dyDescent="0.25">
      <c r="B430" s="42"/>
      <c r="AA430" s="43"/>
    </row>
    <row r="431" spans="2:27" x14ac:dyDescent="0.25">
      <c r="B431" s="42"/>
      <c r="AA431" s="43"/>
    </row>
    <row r="432" spans="2:27" x14ac:dyDescent="0.25">
      <c r="B432" s="42"/>
      <c r="AA432" s="43"/>
    </row>
    <row r="433" spans="2:27" x14ac:dyDescent="0.25">
      <c r="B433" s="42"/>
      <c r="AA433" s="43"/>
    </row>
    <row r="434" spans="2:27" x14ac:dyDescent="0.25">
      <c r="B434" s="42"/>
      <c r="AA434" s="43"/>
    </row>
    <row r="435" spans="2:27" x14ac:dyDescent="0.25">
      <c r="B435" s="42"/>
      <c r="AA435" s="43"/>
    </row>
    <row r="436" spans="2:27" x14ac:dyDescent="0.25">
      <c r="B436" s="42"/>
      <c r="AA436" s="43"/>
    </row>
    <row r="437" spans="2:27" x14ac:dyDescent="0.25">
      <c r="B437" s="42"/>
      <c r="AA437" s="43"/>
    </row>
    <row r="438" spans="2:27" x14ac:dyDescent="0.25">
      <c r="B438" s="42"/>
      <c r="AA438" s="43"/>
    </row>
    <row r="439" spans="2:27" x14ac:dyDescent="0.25">
      <c r="B439" s="42"/>
      <c r="AA439" s="43"/>
    </row>
    <row r="440" spans="2:27" x14ac:dyDescent="0.25">
      <c r="B440" s="42"/>
      <c r="AA440" s="43"/>
    </row>
    <row r="441" spans="2:27" x14ac:dyDescent="0.25">
      <c r="B441" s="42"/>
      <c r="AA441" s="43"/>
    </row>
    <row r="442" spans="2:27" x14ac:dyDescent="0.25">
      <c r="B442" s="42"/>
      <c r="AA442" s="43"/>
    </row>
    <row r="443" spans="2:27" x14ac:dyDescent="0.25">
      <c r="B443" s="42"/>
      <c r="AA443" s="43"/>
    </row>
    <row r="444" spans="2:27" x14ac:dyDescent="0.25">
      <c r="B444" s="42"/>
      <c r="AA444" s="43"/>
    </row>
    <row r="445" spans="2:27" x14ac:dyDescent="0.25">
      <c r="B445" s="42"/>
      <c r="AA445" s="43"/>
    </row>
    <row r="446" spans="2:27" x14ac:dyDescent="0.25">
      <c r="B446" s="42"/>
      <c r="AA446" s="43"/>
    </row>
    <row r="447" spans="2:27" x14ac:dyDescent="0.25">
      <c r="B447" s="42"/>
      <c r="AA447" s="43"/>
    </row>
    <row r="448" spans="2:27" x14ac:dyDescent="0.25">
      <c r="B448" s="42"/>
      <c r="AA448" s="43"/>
    </row>
    <row r="449" spans="2:27" x14ac:dyDescent="0.25">
      <c r="B449" s="42"/>
      <c r="AA449" s="43"/>
    </row>
    <row r="450" spans="2:27" x14ac:dyDescent="0.25">
      <c r="B450" s="42"/>
      <c r="AA450" s="43"/>
    </row>
    <row r="451" spans="2:27" x14ac:dyDescent="0.25">
      <c r="B451" s="42"/>
      <c r="AA451" s="43"/>
    </row>
    <row r="452" spans="2:27" x14ac:dyDescent="0.25">
      <c r="B452" s="42"/>
      <c r="AA452" s="43"/>
    </row>
    <row r="453" spans="2:27" x14ac:dyDescent="0.25">
      <c r="B453" s="42"/>
      <c r="AA453" s="43"/>
    </row>
    <row r="454" spans="2:27" x14ac:dyDescent="0.25">
      <c r="B454" s="42"/>
      <c r="AA454" s="43"/>
    </row>
    <row r="455" spans="2:27" x14ac:dyDescent="0.25">
      <c r="B455" s="42"/>
      <c r="AA455" s="43"/>
    </row>
    <row r="456" spans="2:27" x14ac:dyDescent="0.25">
      <c r="B456" s="42"/>
      <c r="AA456" s="43"/>
    </row>
    <row r="457" spans="2:27" x14ac:dyDescent="0.25">
      <c r="B457" s="42"/>
      <c r="AA457" s="43"/>
    </row>
    <row r="458" spans="2:27" x14ac:dyDescent="0.25">
      <c r="B458" s="42"/>
      <c r="AA458" s="43"/>
    </row>
    <row r="459" spans="2:27" x14ac:dyDescent="0.25">
      <c r="B459" s="42"/>
      <c r="AA459" s="43"/>
    </row>
    <row r="460" spans="2:27" x14ac:dyDescent="0.25">
      <c r="B460" s="42"/>
      <c r="AA460" s="43"/>
    </row>
    <row r="461" spans="2:27" x14ac:dyDescent="0.25">
      <c r="B461" s="42"/>
      <c r="AA461" s="43"/>
    </row>
    <row r="462" spans="2:27" x14ac:dyDescent="0.25">
      <c r="B462" s="42"/>
      <c r="AA462" s="43"/>
    </row>
    <row r="463" spans="2:27" x14ac:dyDescent="0.25">
      <c r="B463" s="42"/>
      <c r="AA463" s="43"/>
    </row>
    <row r="464" spans="2:27" x14ac:dyDescent="0.25">
      <c r="B464" s="42"/>
      <c r="AA464" s="43"/>
    </row>
    <row r="465" spans="2:27" x14ac:dyDescent="0.25">
      <c r="B465" s="42"/>
      <c r="AA465" s="43"/>
    </row>
    <row r="466" spans="2:27" x14ac:dyDescent="0.25">
      <c r="B466" s="42"/>
      <c r="AA466" s="43"/>
    </row>
    <row r="467" spans="2:27" x14ac:dyDescent="0.25">
      <c r="B467" s="42"/>
      <c r="AA467" s="43"/>
    </row>
    <row r="468" spans="2:27" x14ac:dyDescent="0.25">
      <c r="B468" s="42"/>
      <c r="AA468" s="43"/>
    </row>
    <row r="469" spans="2:27" x14ac:dyDescent="0.25">
      <c r="B469" s="42"/>
      <c r="AA469" s="43"/>
    </row>
    <row r="470" spans="2:27" x14ac:dyDescent="0.25">
      <c r="B470" s="42"/>
      <c r="AA470" s="43"/>
    </row>
    <row r="471" spans="2:27" x14ac:dyDescent="0.25">
      <c r="B471" s="42"/>
      <c r="AA471" s="43"/>
    </row>
    <row r="472" spans="2:27" x14ac:dyDescent="0.25">
      <c r="B472" s="42"/>
      <c r="AA472" s="43"/>
    </row>
    <row r="473" spans="2:27" x14ac:dyDescent="0.25">
      <c r="B473" s="42"/>
      <c r="AA473" s="43"/>
    </row>
    <row r="474" spans="2:27" x14ac:dyDescent="0.25">
      <c r="B474" s="42"/>
      <c r="AA474" s="43"/>
    </row>
    <row r="475" spans="2:27" x14ac:dyDescent="0.25">
      <c r="B475" s="42"/>
      <c r="AA475" s="43"/>
    </row>
    <row r="476" spans="2:27" x14ac:dyDescent="0.25">
      <c r="B476" s="42"/>
      <c r="AA476" s="43"/>
    </row>
    <row r="477" spans="2:27" x14ac:dyDescent="0.25">
      <c r="B477" s="42"/>
      <c r="AA477" s="43"/>
    </row>
    <row r="478" spans="2:27" x14ac:dyDescent="0.25">
      <c r="B478" s="42"/>
      <c r="AA478" s="43"/>
    </row>
    <row r="479" spans="2:27" x14ac:dyDescent="0.25">
      <c r="B479" s="42"/>
      <c r="AA479" s="43"/>
    </row>
    <row r="480" spans="2:27" x14ac:dyDescent="0.25">
      <c r="B480" s="42"/>
      <c r="AA480" s="43"/>
    </row>
    <row r="481" spans="2:27" x14ac:dyDescent="0.25">
      <c r="B481" s="42"/>
      <c r="AA481" s="43"/>
    </row>
    <row r="482" spans="2:27" x14ac:dyDescent="0.25">
      <c r="B482" s="42"/>
      <c r="AA482" s="43"/>
    </row>
    <row r="483" spans="2:27" x14ac:dyDescent="0.25">
      <c r="B483" s="42"/>
      <c r="AA483" s="43"/>
    </row>
    <row r="484" spans="2:27" x14ac:dyDescent="0.25">
      <c r="B484" s="42"/>
      <c r="AA484" s="43"/>
    </row>
    <row r="485" spans="2:27" x14ac:dyDescent="0.25">
      <c r="B485" s="42"/>
      <c r="AA485" s="43"/>
    </row>
    <row r="486" spans="2:27" x14ac:dyDescent="0.25">
      <c r="B486" s="42"/>
      <c r="AA486" s="43"/>
    </row>
    <row r="487" spans="2:27" x14ac:dyDescent="0.25">
      <c r="B487" s="42"/>
      <c r="AA487" s="43"/>
    </row>
    <row r="488" spans="2:27" x14ac:dyDescent="0.25">
      <c r="B488" s="42"/>
      <c r="AA488" s="43"/>
    </row>
    <row r="489" spans="2:27" x14ac:dyDescent="0.25">
      <c r="B489" s="42"/>
      <c r="AA489" s="43"/>
    </row>
    <row r="490" spans="2:27" x14ac:dyDescent="0.25">
      <c r="B490" s="42"/>
      <c r="AA490" s="43"/>
    </row>
    <row r="491" spans="2:27" x14ac:dyDescent="0.25">
      <c r="B491" s="42"/>
      <c r="AA491" s="43"/>
    </row>
    <row r="492" spans="2:27" x14ac:dyDescent="0.25">
      <c r="B492" s="42"/>
      <c r="AA492" s="43"/>
    </row>
    <row r="493" spans="2:27" x14ac:dyDescent="0.25">
      <c r="B493" s="42"/>
      <c r="AA493" s="43"/>
    </row>
    <row r="494" spans="2:27" x14ac:dyDescent="0.25">
      <c r="B494" s="42"/>
      <c r="AA494" s="43"/>
    </row>
    <row r="495" spans="2:27" x14ac:dyDescent="0.25">
      <c r="B495" s="42"/>
      <c r="AA495" s="43"/>
    </row>
    <row r="496" spans="2:27" x14ac:dyDescent="0.25">
      <c r="B496" s="42"/>
      <c r="AA496" s="43"/>
    </row>
    <row r="497" spans="2:27" x14ac:dyDescent="0.25">
      <c r="B497" s="42"/>
      <c r="AA497" s="43"/>
    </row>
    <row r="498" spans="2:27" x14ac:dyDescent="0.25">
      <c r="B498" s="42"/>
      <c r="AA498" s="43"/>
    </row>
    <row r="499" spans="2:27" x14ac:dyDescent="0.25">
      <c r="B499" s="42"/>
      <c r="AA499" s="43"/>
    </row>
    <row r="500" spans="2:27" x14ac:dyDescent="0.25">
      <c r="B500" s="42"/>
      <c r="AA500" s="43"/>
    </row>
    <row r="501" spans="2:27" x14ac:dyDescent="0.25">
      <c r="B501" s="42"/>
      <c r="AA501" s="43"/>
    </row>
    <row r="502" spans="2:27" x14ac:dyDescent="0.25">
      <c r="B502" s="42"/>
      <c r="AA502" s="43"/>
    </row>
    <row r="503" spans="2:27" x14ac:dyDescent="0.25">
      <c r="B503" s="42"/>
      <c r="AA503" s="43"/>
    </row>
    <row r="504" spans="2:27" x14ac:dyDescent="0.25">
      <c r="B504" s="42"/>
      <c r="AA504" s="43"/>
    </row>
    <row r="505" spans="2:27" x14ac:dyDescent="0.25">
      <c r="B505" s="42"/>
      <c r="AA505" s="43"/>
    </row>
    <row r="506" spans="2:27" x14ac:dyDescent="0.25">
      <c r="B506" s="42"/>
      <c r="AA506" s="43"/>
    </row>
    <row r="507" spans="2:27" x14ac:dyDescent="0.25">
      <c r="B507" s="42"/>
      <c r="AA507" s="43"/>
    </row>
    <row r="508" spans="2:27" x14ac:dyDescent="0.25">
      <c r="B508" s="42"/>
      <c r="AA508" s="43"/>
    </row>
    <row r="509" spans="2:27" x14ac:dyDescent="0.25">
      <c r="B509" s="42"/>
      <c r="AA509" s="43"/>
    </row>
    <row r="510" spans="2:27" x14ac:dyDescent="0.25">
      <c r="B510" s="42"/>
      <c r="AA510" s="43"/>
    </row>
    <row r="511" spans="2:27" x14ac:dyDescent="0.25">
      <c r="B511" s="42"/>
      <c r="AA511" s="43"/>
    </row>
    <row r="512" spans="2:27" x14ac:dyDescent="0.25">
      <c r="B512" s="42"/>
      <c r="AA512" s="43"/>
    </row>
    <row r="513" spans="2:27" x14ac:dyDescent="0.25">
      <c r="B513" s="42"/>
      <c r="AA513" s="43"/>
    </row>
    <row r="514" spans="2:27" x14ac:dyDescent="0.25">
      <c r="B514" s="42"/>
      <c r="AA514" s="43"/>
    </row>
    <row r="515" spans="2:27" x14ac:dyDescent="0.25">
      <c r="B515" s="42"/>
      <c r="AA515" s="43"/>
    </row>
    <row r="516" spans="2:27" x14ac:dyDescent="0.25">
      <c r="B516" s="42"/>
      <c r="AA516" s="43"/>
    </row>
    <row r="517" spans="2:27" x14ac:dyDescent="0.25">
      <c r="B517" s="42"/>
      <c r="AA517" s="43"/>
    </row>
    <row r="518" spans="2:27" x14ac:dyDescent="0.25">
      <c r="B518" s="42"/>
      <c r="AA518" s="43"/>
    </row>
    <row r="519" spans="2:27" x14ac:dyDescent="0.25">
      <c r="B519" s="42"/>
      <c r="AA519" s="43"/>
    </row>
    <row r="520" spans="2:27" x14ac:dyDescent="0.25">
      <c r="B520" s="42"/>
      <c r="AA520" s="43"/>
    </row>
    <row r="521" spans="2:27" x14ac:dyDescent="0.25">
      <c r="B521" s="42"/>
      <c r="AA521" s="43"/>
    </row>
    <row r="522" spans="2:27" x14ac:dyDescent="0.25">
      <c r="B522" s="42"/>
      <c r="AA522" s="43"/>
    </row>
    <row r="523" spans="2:27" x14ac:dyDescent="0.25">
      <c r="B523" s="42"/>
      <c r="AA523" s="43"/>
    </row>
    <row r="524" spans="2:27" x14ac:dyDescent="0.25">
      <c r="B524" s="42"/>
      <c r="AA524" s="43"/>
    </row>
    <row r="525" spans="2:27" x14ac:dyDescent="0.25">
      <c r="B525" s="42"/>
      <c r="AA525" s="43"/>
    </row>
    <row r="526" spans="2:27" x14ac:dyDescent="0.25">
      <c r="B526" s="42"/>
      <c r="AA526" s="43"/>
    </row>
    <row r="527" spans="2:27" x14ac:dyDescent="0.25">
      <c r="B527" s="42"/>
      <c r="AA527" s="43"/>
    </row>
    <row r="528" spans="2:27" x14ac:dyDescent="0.25">
      <c r="B528" s="42"/>
      <c r="AA528" s="43"/>
    </row>
    <row r="529" spans="2:27" x14ac:dyDescent="0.25">
      <c r="B529" s="42"/>
      <c r="AA529" s="43"/>
    </row>
    <row r="530" spans="2:27" x14ac:dyDescent="0.25">
      <c r="B530" s="42"/>
      <c r="AA530" s="43"/>
    </row>
    <row r="531" spans="2:27" x14ac:dyDescent="0.25">
      <c r="B531" s="42"/>
      <c r="AA531" s="43"/>
    </row>
    <row r="532" spans="2:27" x14ac:dyDescent="0.25">
      <c r="B532" s="42"/>
      <c r="AA532" s="43"/>
    </row>
    <row r="533" spans="2:27" x14ac:dyDescent="0.25">
      <c r="B533" s="42"/>
      <c r="AA533" s="43"/>
    </row>
    <row r="534" spans="2:27" x14ac:dyDescent="0.25">
      <c r="B534" s="42"/>
      <c r="AA534" s="43"/>
    </row>
    <row r="535" spans="2:27" x14ac:dyDescent="0.25">
      <c r="B535" s="42"/>
      <c r="AA535" s="43"/>
    </row>
    <row r="536" spans="2:27" x14ac:dyDescent="0.25">
      <c r="B536" s="42"/>
      <c r="AA536" s="43"/>
    </row>
    <row r="537" spans="2:27" x14ac:dyDescent="0.25">
      <c r="B537" s="42"/>
      <c r="AA537" s="43"/>
    </row>
    <row r="538" spans="2:27" x14ac:dyDescent="0.25">
      <c r="B538" s="42"/>
      <c r="AA538" s="43"/>
    </row>
    <row r="539" spans="2:27" x14ac:dyDescent="0.25">
      <c r="B539" s="42"/>
      <c r="AA539" s="43"/>
    </row>
    <row r="540" spans="2:27" x14ac:dyDescent="0.25">
      <c r="B540" s="42"/>
      <c r="AA540" s="43"/>
    </row>
    <row r="541" spans="2:27" x14ac:dyDescent="0.25">
      <c r="B541" s="42"/>
      <c r="AA541" s="43"/>
    </row>
    <row r="542" spans="2:27" x14ac:dyDescent="0.25">
      <c r="B542" s="42"/>
      <c r="AA542" s="43"/>
    </row>
    <row r="543" spans="2:27" x14ac:dyDescent="0.25">
      <c r="B543" s="42"/>
      <c r="AA543" s="43"/>
    </row>
    <row r="544" spans="2:27" x14ac:dyDescent="0.25">
      <c r="B544" s="42"/>
      <c r="AA544" s="43"/>
    </row>
    <row r="545" spans="2:27" x14ac:dyDescent="0.25">
      <c r="B545" s="42"/>
      <c r="AA545" s="43"/>
    </row>
    <row r="546" spans="2:27" x14ac:dyDescent="0.25">
      <c r="B546" s="42"/>
      <c r="AA546" s="43"/>
    </row>
    <row r="547" spans="2:27" x14ac:dyDescent="0.25">
      <c r="B547" s="42"/>
      <c r="AA547" s="43"/>
    </row>
    <row r="548" spans="2:27" x14ac:dyDescent="0.25">
      <c r="B548" s="42"/>
      <c r="AA548" s="43"/>
    </row>
    <row r="549" spans="2:27" x14ac:dyDescent="0.25">
      <c r="B549" s="42"/>
      <c r="AA549" s="43"/>
    </row>
    <row r="550" spans="2:27" x14ac:dyDescent="0.25">
      <c r="B550" s="42"/>
      <c r="AA550" s="43"/>
    </row>
    <row r="551" spans="2:27" x14ac:dyDescent="0.25">
      <c r="B551" s="42"/>
      <c r="AA551" s="43"/>
    </row>
    <row r="552" spans="2:27" x14ac:dyDescent="0.25">
      <c r="B552" s="42"/>
      <c r="AA552" s="43"/>
    </row>
    <row r="553" spans="2:27" x14ac:dyDescent="0.25">
      <c r="B553" s="42"/>
      <c r="AA553" s="43"/>
    </row>
    <row r="554" spans="2:27" x14ac:dyDescent="0.25">
      <c r="B554" s="42"/>
      <c r="AA554" s="43"/>
    </row>
    <row r="555" spans="2:27" x14ac:dyDescent="0.25">
      <c r="B555" s="42"/>
      <c r="AA555" s="43"/>
    </row>
    <row r="556" spans="2:27" x14ac:dyDescent="0.25">
      <c r="B556" s="42"/>
      <c r="AA556" s="43"/>
    </row>
    <row r="557" spans="2:27" x14ac:dyDescent="0.25">
      <c r="B557" s="42"/>
      <c r="AA557" s="43"/>
    </row>
    <row r="558" spans="2:27" x14ac:dyDescent="0.25">
      <c r="B558" s="42"/>
      <c r="AA558" s="43"/>
    </row>
    <row r="559" spans="2:27" x14ac:dyDescent="0.25">
      <c r="B559" s="42"/>
      <c r="AA559" s="43"/>
    </row>
    <row r="560" spans="2:27" x14ac:dyDescent="0.25">
      <c r="B560" s="42"/>
      <c r="AA560" s="43"/>
    </row>
    <row r="561" spans="2:27" x14ac:dyDescent="0.25">
      <c r="B561" s="42"/>
      <c r="AA561" s="43"/>
    </row>
    <row r="562" spans="2:27" x14ac:dyDescent="0.25">
      <c r="B562" s="42"/>
      <c r="AA562" s="43"/>
    </row>
    <row r="563" spans="2:27" x14ac:dyDescent="0.25">
      <c r="B563" s="42"/>
      <c r="AA563" s="43"/>
    </row>
    <row r="564" spans="2:27" x14ac:dyDescent="0.25">
      <c r="B564" s="42"/>
      <c r="AA564" s="43"/>
    </row>
    <row r="565" spans="2:27" x14ac:dyDescent="0.25">
      <c r="B565" s="42"/>
      <c r="AA565" s="43"/>
    </row>
    <row r="566" spans="2:27" x14ac:dyDescent="0.25">
      <c r="B566" s="42"/>
      <c r="AA566" s="43"/>
    </row>
    <row r="567" spans="2:27" x14ac:dyDescent="0.25">
      <c r="B567" s="42"/>
      <c r="AA567" s="43"/>
    </row>
    <row r="568" spans="2:27" x14ac:dyDescent="0.25">
      <c r="B568" s="42"/>
      <c r="AA568" s="43"/>
    </row>
    <row r="569" spans="2:27" x14ac:dyDescent="0.25">
      <c r="B569" s="42"/>
      <c r="AA569" s="43"/>
    </row>
    <row r="570" spans="2:27" x14ac:dyDescent="0.25">
      <c r="B570" s="42"/>
      <c r="AA570" s="43"/>
    </row>
    <row r="571" spans="2:27" x14ac:dyDescent="0.25">
      <c r="B571" s="42"/>
      <c r="AA571" s="43"/>
    </row>
    <row r="572" spans="2:27" x14ac:dyDescent="0.25">
      <c r="B572" s="42"/>
      <c r="AA572" s="43"/>
    </row>
    <row r="573" spans="2:27" x14ac:dyDescent="0.25">
      <c r="B573" s="42"/>
      <c r="AA573" s="43"/>
    </row>
    <row r="574" spans="2:27" x14ac:dyDescent="0.25">
      <c r="B574" s="42"/>
      <c r="AA574" s="43"/>
    </row>
    <row r="575" spans="2:27" x14ac:dyDescent="0.25">
      <c r="B575" s="42"/>
      <c r="AA575" s="43"/>
    </row>
    <row r="576" spans="2:27" x14ac:dyDescent="0.25">
      <c r="B576" s="42"/>
      <c r="AA576" s="43"/>
    </row>
    <row r="577" spans="2:27" x14ac:dyDescent="0.25">
      <c r="B577" s="42"/>
      <c r="AA577" s="43"/>
    </row>
    <row r="578" spans="2:27" x14ac:dyDescent="0.25">
      <c r="B578" s="42"/>
      <c r="AA578" s="43"/>
    </row>
    <row r="579" spans="2:27" x14ac:dyDescent="0.25">
      <c r="B579" s="42"/>
      <c r="AA579" s="43"/>
    </row>
    <row r="580" spans="2:27" x14ac:dyDescent="0.25">
      <c r="B580" s="42"/>
      <c r="AA580" s="43"/>
    </row>
    <row r="581" spans="2:27" x14ac:dyDescent="0.25">
      <c r="B581" s="42"/>
      <c r="AA581" s="43"/>
    </row>
    <row r="582" spans="2:27" x14ac:dyDescent="0.25">
      <c r="B582" s="42"/>
      <c r="AA582" s="43"/>
    </row>
    <row r="583" spans="2:27" x14ac:dyDescent="0.25">
      <c r="B583" s="42"/>
      <c r="AA583" s="43"/>
    </row>
    <row r="584" spans="2:27" x14ac:dyDescent="0.25">
      <c r="B584" s="42"/>
      <c r="AA584" s="43"/>
    </row>
    <row r="585" spans="2:27" x14ac:dyDescent="0.25">
      <c r="B585" s="42"/>
      <c r="AA585" s="43"/>
    </row>
    <row r="586" spans="2:27" x14ac:dyDescent="0.25">
      <c r="B586" s="42"/>
      <c r="AA586" s="43"/>
    </row>
    <row r="587" spans="2:27" x14ac:dyDescent="0.25">
      <c r="B587" s="42"/>
      <c r="AA587" s="43"/>
    </row>
    <row r="588" spans="2:27" x14ac:dyDescent="0.25">
      <c r="B588" s="42"/>
      <c r="AA588" s="43"/>
    </row>
    <row r="589" spans="2:27" x14ac:dyDescent="0.25">
      <c r="B589" s="42"/>
      <c r="AA589" s="43"/>
    </row>
    <row r="590" spans="2:27" x14ac:dyDescent="0.25">
      <c r="B590" s="42"/>
      <c r="AA590" s="43"/>
    </row>
    <row r="591" spans="2:27" x14ac:dyDescent="0.25">
      <c r="B591" s="42"/>
      <c r="AA591" s="43"/>
    </row>
    <row r="592" spans="2:27" x14ac:dyDescent="0.25">
      <c r="B592" s="42"/>
      <c r="AA592" s="43"/>
    </row>
    <row r="593" spans="2:27" x14ac:dyDescent="0.25">
      <c r="B593" s="42"/>
      <c r="AA593" s="43"/>
    </row>
    <row r="594" spans="2:27" x14ac:dyDescent="0.25">
      <c r="B594" s="42"/>
      <c r="AA594" s="43"/>
    </row>
    <row r="595" spans="2:27" x14ac:dyDescent="0.25">
      <c r="B595" s="42"/>
      <c r="AA595" s="43"/>
    </row>
    <row r="596" spans="2:27" x14ac:dyDescent="0.25">
      <c r="B596" s="42"/>
      <c r="AA596" s="43"/>
    </row>
    <row r="597" spans="2:27" x14ac:dyDescent="0.25">
      <c r="B597" s="42"/>
      <c r="AA597" s="43"/>
    </row>
    <row r="598" spans="2:27" x14ac:dyDescent="0.25">
      <c r="B598" s="42"/>
      <c r="AA598" s="43"/>
    </row>
    <row r="599" spans="2:27" x14ac:dyDescent="0.25">
      <c r="B599" s="42"/>
      <c r="AA599" s="43"/>
    </row>
    <row r="600" spans="2:27" x14ac:dyDescent="0.25">
      <c r="B600" s="42"/>
      <c r="AA600" s="43"/>
    </row>
    <row r="601" spans="2:27" x14ac:dyDescent="0.25">
      <c r="B601" s="42"/>
      <c r="AA601" s="43"/>
    </row>
    <row r="602" spans="2:27" x14ac:dyDescent="0.25">
      <c r="B602" s="42"/>
      <c r="AA602" s="43"/>
    </row>
    <row r="603" spans="2:27" x14ac:dyDescent="0.25">
      <c r="B603" s="42"/>
      <c r="AA603" s="43"/>
    </row>
    <row r="604" spans="2:27" x14ac:dyDescent="0.25">
      <c r="B604" s="42"/>
      <c r="AA604" s="43"/>
    </row>
    <row r="605" spans="2:27" x14ac:dyDescent="0.25">
      <c r="B605" s="42"/>
      <c r="AA605" s="43"/>
    </row>
    <row r="606" spans="2:27" x14ac:dyDescent="0.25">
      <c r="B606" s="42"/>
      <c r="AA606" s="43"/>
    </row>
    <row r="607" spans="2:27" x14ac:dyDescent="0.25">
      <c r="B607" s="42"/>
      <c r="AA607" s="43"/>
    </row>
    <row r="608" spans="2:27" x14ac:dyDescent="0.25">
      <c r="B608" s="42"/>
      <c r="AA608" s="43"/>
    </row>
    <row r="609" spans="2:27" x14ac:dyDescent="0.25">
      <c r="B609" s="42"/>
      <c r="AA609" s="43"/>
    </row>
    <row r="610" spans="2:27" x14ac:dyDescent="0.25">
      <c r="B610" s="42"/>
      <c r="AA610" s="43"/>
    </row>
    <row r="611" spans="2:27" x14ac:dyDescent="0.25">
      <c r="B611" s="42"/>
      <c r="AA611" s="43"/>
    </row>
    <row r="612" spans="2:27" x14ac:dyDescent="0.25">
      <c r="B612" s="42"/>
      <c r="AA612" s="43"/>
    </row>
    <row r="613" spans="2:27" x14ac:dyDescent="0.25">
      <c r="B613" s="42"/>
      <c r="AA613" s="43"/>
    </row>
    <row r="614" spans="2:27" x14ac:dyDescent="0.25">
      <c r="B614" s="42"/>
      <c r="AA614" s="43"/>
    </row>
    <row r="615" spans="2:27" x14ac:dyDescent="0.25">
      <c r="B615" s="42"/>
      <c r="AA615" s="43"/>
    </row>
    <row r="616" spans="2:27" x14ac:dyDescent="0.25">
      <c r="B616" s="42"/>
      <c r="AA616" s="43"/>
    </row>
    <row r="617" spans="2:27" x14ac:dyDescent="0.25">
      <c r="B617" s="42"/>
      <c r="AA617" s="43"/>
    </row>
    <row r="618" spans="2:27" x14ac:dyDescent="0.25">
      <c r="B618" s="42"/>
      <c r="AA618" s="43"/>
    </row>
    <row r="619" spans="2:27" x14ac:dyDescent="0.25">
      <c r="B619" s="42"/>
      <c r="AA619" s="43"/>
    </row>
    <row r="620" spans="2:27" x14ac:dyDescent="0.25">
      <c r="B620" s="42"/>
      <c r="AA620" s="43"/>
    </row>
    <row r="621" spans="2:27" x14ac:dyDescent="0.25">
      <c r="B621" s="42"/>
      <c r="AA621" s="43"/>
    </row>
    <row r="622" spans="2:27" x14ac:dyDescent="0.25">
      <c r="B622" s="42"/>
      <c r="AA622" s="43"/>
    </row>
    <row r="623" spans="2:27" x14ac:dyDescent="0.25">
      <c r="B623" s="42"/>
      <c r="AA623" s="43"/>
    </row>
    <row r="624" spans="2:27" x14ac:dyDescent="0.25">
      <c r="B624" s="42"/>
      <c r="AA624" s="43"/>
    </row>
    <row r="625" spans="2:27" x14ac:dyDescent="0.25">
      <c r="B625" s="42"/>
      <c r="AA625" s="43"/>
    </row>
    <row r="626" spans="2:27" x14ac:dyDescent="0.25">
      <c r="B626" s="42"/>
      <c r="AA626" s="43"/>
    </row>
    <row r="627" spans="2:27" x14ac:dyDescent="0.25">
      <c r="B627" s="42"/>
      <c r="AA627" s="43"/>
    </row>
    <row r="628" spans="2:27" x14ac:dyDescent="0.25">
      <c r="B628" s="42"/>
      <c r="AA628" s="43"/>
    </row>
    <row r="629" spans="2:27" x14ac:dyDescent="0.25">
      <c r="B629" s="42"/>
      <c r="AA629" s="43"/>
    </row>
    <row r="630" spans="2:27" x14ac:dyDescent="0.25">
      <c r="B630" s="42"/>
      <c r="AA630" s="43"/>
    </row>
    <row r="631" spans="2:27" x14ac:dyDescent="0.25">
      <c r="B631" s="42"/>
      <c r="AA631" s="43"/>
    </row>
    <row r="632" spans="2:27" x14ac:dyDescent="0.25">
      <c r="B632" s="42"/>
      <c r="AA632" s="43"/>
    </row>
    <row r="633" spans="2:27" x14ac:dyDescent="0.25">
      <c r="B633" s="42"/>
      <c r="AA633" s="43"/>
    </row>
    <row r="634" spans="2:27" x14ac:dyDescent="0.25">
      <c r="B634" s="42"/>
      <c r="AA634" s="43"/>
    </row>
    <row r="635" spans="2:27" x14ac:dyDescent="0.25">
      <c r="B635" s="42"/>
      <c r="AA635" s="43"/>
    </row>
    <row r="636" spans="2:27" x14ac:dyDescent="0.25">
      <c r="B636" s="42"/>
      <c r="AA636" s="43"/>
    </row>
    <row r="637" spans="2:27" x14ac:dyDescent="0.25">
      <c r="B637" s="42"/>
      <c r="AA637" s="43"/>
    </row>
    <row r="638" spans="2:27" x14ac:dyDescent="0.25">
      <c r="B638" s="42"/>
      <c r="AA638" s="43"/>
    </row>
    <row r="639" spans="2:27" x14ac:dyDescent="0.25">
      <c r="B639" s="42"/>
      <c r="AA639" s="43"/>
    </row>
    <row r="640" spans="2:27" x14ac:dyDescent="0.25">
      <c r="B640" s="42"/>
      <c r="AA640" s="43"/>
    </row>
    <row r="641" spans="2:27" x14ac:dyDescent="0.25">
      <c r="B641" s="42"/>
      <c r="AA641" s="43"/>
    </row>
    <row r="642" spans="2:27" x14ac:dyDescent="0.25">
      <c r="B642" s="42"/>
      <c r="AA642" s="43"/>
    </row>
    <row r="643" spans="2:27" x14ac:dyDescent="0.25">
      <c r="B643" s="42"/>
      <c r="AA643" s="43"/>
    </row>
    <row r="644" spans="2:27" x14ac:dyDescent="0.25">
      <c r="B644" s="42"/>
      <c r="AA644" s="43"/>
    </row>
    <row r="645" spans="2:27" x14ac:dyDescent="0.25">
      <c r="B645" s="42"/>
      <c r="AA645" s="43"/>
    </row>
    <row r="646" spans="2:27" x14ac:dyDescent="0.25">
      <c r="B646" s="42"/>
      <c r="AA646" s="43"/>
    </row>
    <row r="647" spans="2:27" x14ac:dyDescent="0.25">
      <c r="B647" s="42"/>
      <c r="AA647" s="43"/>
    </row>
    <row r="648" spans="2:27" x14ac:dyDescent="0.25">
      <c r="B648" s="42"/>
      <c r="AA648" s="43"/>
    </row>
    <row r="649" spans="2:27" x14ac:dyDescent="0.25">
      <c r="B649" s="42"/>
      <c r="AA649" s="43"/>
    </row>
    <row r="650" spans="2:27" x14ac:dyDescent="0.25">
      <c r="B650" s="42"/>
      <c r="AA650" s="43"/>
    </row>
    <row r="651" spans="2:27" x14ac:dyDescent="0.25">
      <c r="B651" s="42"/>
      <c r="AA651" s="43"/>
    </row>
    <row r="652" spans="2:27" x14ac:dyDescent="0.25">
      <c r="B652" s="42"/>
      <c r="AA652" s="43"/>
    </row>
    <row r="653" spans="2:27" x14ac:dyDescent="0.25">
      <c r="B653" s="42"/>
      <c r="AA653" s="43"/>
    </row>
    <row r="654" spans="2:27" x14ac:dyDescent="0.25">
      <c r="B654" s="42"/>
      <c r="AA654" s="43"/>
    </row>
    <row r="655" spans="2:27" x14ac:dyDescent="0.25">
      <c r="B655" s="42"/>
      <c r="AA655" s="43"/>
    </row>
    <row r="656" spans="2:27" x14ac:dyDescent="0.25">
      <c r="B656" s="42"/>
      <c r="AA656" s="43"/>
    </row>
    <row r="657" spans="2:27" x14ac:dyDescent="0.25">
      <c r="B657" s="42"/>
      <c r="AA657" s="43"/>
    </row>
    <row r="658" spans="2:27" x14ac:dyDescent="0.25">
      <c r="B658" s="42"/>
      <c r="AA658" s="43"/>
    </row>
    <row r="659" spans="2:27" x14ac:dyDescent="0.25">
      <c r="B659" s="42"/>
      <c r="AA659" s="43"/>
    </row>
    <row r="660" spans="2:27" x14ac:dyDescent="0.25">
      <c r="B660" s="42"/>
      <c r="AA660" s="43"/>
    </row>
    <row r="661" spans="2:27" x14ac:dyDescent="0.25">
      <c r="B661" s="42"/>
      <c r="AA661" s="43"/>
    </row>
    <row r="662" spans="2:27" x14ac:dyDescent="0.25">
      <c r="B662" s="42"/>
      <c r="AA662" s="43"/>
    </row>
    <row r="663" spans="2:27" x14ac:dyDescent="0.25">
      <c r="B663" s="42"/>
      <c r="AA663" s="43"/>
    </row>
    <row r="664" spans="2:27" x14ac:dyDescent="0.25">
      <c r="B664" s="42"/>
      <c r="AA664" s="43"/>
    </row>
    <row r="665" spans="2:27" x14ac:dyDescent="0.25">
      <c r="B665" s="42"/>
      <c r="AA665" s="43"/>
    </row>
    <row r="666" spans="2:27" x14ac:dyDescent="0.25">
      <c r="B666" s="42"/>
      <c r="AA666" s="43"/>
    </row>
    <row r="667" spans="2:27" x14ac:dyDescent="0.25">
      <c r="B667" s="42"/>
      <c r="AA667" s="43"/>
    </row>
    <row r="668" spans="2:27" x14ac:dyDescent="0.25">
      <c r="B668" s="42"/>
      <c r="AA668" s="43"/>
    </row>
    <row r="669" spans="2:27" x14ac:dyDescent="0.25">
      <c r="B669" s="42"/>
      <c r="AA669" s="43"/>
    </row>
    <row r="670" spans="2:27" x14ac:dyDescent="0.25">
      <c r="B670" s="42"/>
      <c r="AA670" s="43"/>
    </row>
    <row r="671" spans="2:27" x14ac:dyDescent="0.25">
      <c r="B671" s="42"/>
      <c r="AA671" s="43"/>
    </row>
    <row r="672" spans="2:27" x14ac:dyDescent="0.25">
      <c r="B672" s="42"/>
      <c r="AA672" s="43"/>
    </row>
    <row r="673" spans="2:27" x14ac:dyDescent="0.25">
      <c r="B673" s="42"/>
      <c r="AA673" s="43"/>
    </row>
    <row r="674" spans="2:27" x14ac:dyDescent="0.25">
      <c r="B674" s="42"/>
      <c r="AA674" s="43"/>
    </row>
    <row r="675" spans="2:27" x14ac:dyDescent="0.25">
      <c r="B675" s="42"/>
      <c r="AA675" s="43"/>
    </row>
    <row r="676" spans="2:27" x14ac:dyDescent="0.25">
      <c r="B676" s="42"/>
      <c r="AA676" s="43"/>
    </row>
    <row r="677" spans="2:27" x14ac:dyDescent="0.25">
      <c r="B677" s="42"/>
      <c r="AA677" s="43"/>
    </row>
    <row r="678" spans="2:27" x14ac:dyDescent="0.25">
      <c r="B678" s="42"/>
      <c r="AA678" s="43"/>
    </row>
    <row r="679" spans="2:27" x14ac:dyDescent="0.25">
      <c r="B679" s="42"/>
      <c r="AA679" s="43"/>
    </row>
    <row r="680" spans="2:27" x14ac:dyDescent="0.25">
      <c r="B680" s="42"/>
      <c r="AA680" s="43"/>
    </row>
    <row r="681" spans="2:27" x14ac:dyDescent="0.25">
      <c r="B681" s="42"/>
      <c r="AA681" s="43"/>
    </row>
    <row r="682" spans="2:27" x14ac:dyDescent="0.25">
      <c r="B682" s="42"/>
      <c r="AA682" s="43"/>
    </row>
    <row r="683" spans="2:27" x14ac:dyDescent="0.25">
      <c r="B683" s="42"/>
      <c r="AA683" s="43"/>
    </row>
    <row r="684" spans="2:27" x14ac:dyDescent="0.25">
      <c r="B684" s="42"/>
      <c r="AA684" s="43"/>
    </row>
    <row r="685" spans="2:27" x14ac:dyDescent="0.25">
      <c r="B685" s="42"/>
      <c r="AA685" s="43"/>
    </row>
    <row r="686" spans="2:27" x14ac:dyDescent="0.25">
      <c r="B686" s="42"/>
      <c r="AA686" s="43"/>
    </row>
    <row r="687" spans="2:27" x14ac:dyDescent="0.25">
      <c r="B687" s="42"/>
      <c r="AA687" s="43"/>
    </row>
    <row r="688" spans="2:27" x14ac:dyDescent="0.25">
      <c r="B688" s="42"/>
      <c r="AA688" s="43"/>
    </row>
    <row r="689" spans="2:27" x14ac:dyDescent="0.25">
      <c r="B689" s="42"/>
      <c r="AA689" s="43"/>
    </row>
    <row r="690" spans="2:27" x14ac:dyDescent="0.25">
      <c r="B690" s="42"/>
      <c r="AA690" s="43"/>
    </row>
    <row r="691" spans="2:27" x14ac:dyDescent="0.25">
      <c r="B691" s="42"/>
      <c r="AA691" s="43"/>
    </row>
    <row r="692" spans="2:27" x14ac:dyDescent="0.25">
      <c r="B692" s="42"/>
      <c r="AA692" s="43"/>
    </row>
    <row r="693" spans="2:27" x14ac:dyDescent="0.25">
      <c r="B693" s="42"/>
      <c r="AA693" s="43"/>
    </row>
    <row r="694" spans="2:27" x14ac:dyDescent="0.25">
      <c r="B694" s="42"/>
      <c r="AA694" s="43"/>
    </row>
    <row r="695" spans="2:27" x14ac:dyDescent="0.25">
      <c r="B695" s="42"/>
      <c r="AA695" s="43"/>
    </row>
    <row r="696" spans="2:27" x14ac:dyDescent="0.25">
      <c r="B696" s="42"/>
      <c r="AA696" s="43"/>
    </row>
    <row r="697" spans="2:27" x14ac:dyDescent="0.25">
      <c r="B697" s="42"/>
      <c r="AA697" s="43"/>
    </row>
    <row r="698" spans="2:27" x14ac:dyDescent="0.25">
      <c r="B698" s="42"/>
      <c r="AA698" s="43"/>
    </row>
    <row r="699" spans="2:27" x14ac:dyDescent="0.25">
      <c r="B699" s="42"/>
      <c r="AA699" s="43"/>
    </row>
    <row r="700" spans="2:27" x14ac:dyDescent="0.25">
      <c r="B700" s="42"/>
      <c r="AA700" s="43"/>
    </row>
    <row r="701" spans="2:27" x14ac:dyDescent="0.25">
      <c r="B701" s="42"/>
      <c r="AA701" s="43"/>
    </row>
    <row r="702" spans="2:27" x14ac:dyDescent="0.25">
      <c r="B702" s="42"/>
      <c r="AA702" s="43"/>
    </row>
    <row r="703" spans="2:27" x14ac:dyDescent="0.25">
      <c r="B703" s="42"/>
      <c r="AA703" s="43"/>
    </row>
    <row r="704" spans="2:27" x14ac:dyDescent="0.25">
      <c r="B704" s="42"/>
      <c r="AA704" s="43"/>
    </row>
    <row r="705" spans="2:27" x14ac:dyDescent="0.25">
      <c r="B705" s="42"/>
      <c r="AA705" s="43"/>
    </row>
    <row r="706" spans="2:27" x14ac:dyDescent="0.25">
      <c r="B706" s="42"/>
      <c r="AA706" s="43"/>
    </row>
    <row r="707" spans="2:27" x14ac:dyDescent="0.25">
      <c r="B707" s="42"/>
      <c r="AA707" s="43"/>
    </row>
    <row r="708" spans="2:27" x14ac:dyDescent="0.25">
      <c r="B708" s="42"/>
      <c r="AA708" s="43"/>
    </row>
    <row r="709" spans="2:27" x14ac:dyDescent="0.25">
      <c r="B709" s="42"/>
      <c r="AA709" s="43"/>
    </row>
    <row r="710" spans="2:27" x14ac:dyDescent="0.25">
      <c r="B710" s="42"/>
      <c r="AA710" s="43"/>
    </row>
    <row r="711" spans="2:27" x14ac:dyDescent="0.25">
      <c r="B711" s="42"/>
      <c r="AA711" s="43"/>
    </row>
    <row r="712" spans="2:27" x14ac:dyDescent="0.25">
      <c r="B712" s="42"/>
      <c r="AA712" s="43"/>
    </row>
    <row r="713" spans="2:27" x14ac:dyDescent="0.25">
      <c r="B713" s="42"/>
      <c r="AA713" s="43"/>
    </row>
    <row r="714" spans="2:27" x14ac:dyDescent="0.25">
      <c r="B714" s="42"/>
      <c r="AA714" s="43"/>
    </row>
    <row r="715" spans="2:27" x14ac:dyDescent="0.25">
      <c r="B715" s="42"/>
      <c r="AA715" s="43"/>
    </row>
    <row r="716" spans="2:27" x14ac:dyDescent="0.25">
      <c r="B716" s="42"/>
      <c r="AA716" s="43"/>
    </row>
    <row r="717" spans="2:27" x14ac:dyDescent="0.25">
      <c r="B717" s="42"/>
      <c r="AA717" s="43"/>
    </row>
    <row r="718" spans="2:27" x14ac:dyDescent="0.25">
      <c r="B718" s="42"/>
      <c r="AA718" s="43"/>
    </row>
    <row r="719" spans="2:27" x14ac:dyDescent="0.25">
      <c r="B719" s="42"/>
      <c r="AA719" s="43"/>
    </row>
    <row r="720" spans="2:27" x14ac:dyDescent="0.25">
      <c r="B720" s="42"/>
      <c r="AA720" s="43"/>
    </row>
    <row r="721" spans="2:27" x14ac:dyDescent="0.25">
      <c r="B721" s="42"/>
      <c r="AA721" s="43"/>
    </row>
    <row r="722" spans="2:27" x14ac:dyDescent="0.25">
      <c r="B722" s="42"/>
      <c r="AA722" s="43"/>
    </row>
    <row r="723" spans="2:27" x14ac:dyDescent="0.25">
      <c r="B723" s="42"/>
      <c r="AA723" s="43"/>
    </row>
    <row r="724" spans="2:27" x14ac:dyDescent="0.25">
      <c r="B724" s="42"/>
      <c r="AA724" s="43"/>
    </row>
    <row r="725" spans="2:27" x14ac:dyDescent="0.25">
      <c r="B725" s="42"/>
      <c r="AA725" s="43"/>
    </row>
    <row r="726" spans="2:27" x14ac:dyDescent="0.25">
      <c r="B726" s="42"/>
      <c r="AA726" s="43"/>
    </row>
    <row r="727" spans="2:27" x14ac:dyDescent="0.25">
      <c r="B727" s="42"/>
      <c r="AA727" s="43"/>
    </row>
    <row r="728" spans="2:27" x14ac:dyDescent="0.25">
      <c r="B728" s="42"/>
      <c r="AA728" s="43"/>
    </row>
    <row r="729" spans="2:27" x14ac:dyDescent="0.25">
      <c r="B729" s="42"/>
      <c r="AA729" s="43"/>
    </row>
    <row r="730" spans="2:27" x14ac:dyDescent="0.25">
      <c r="B730" s="42"/>
      <c r="AA730" s="43"/>
    </row>
    <row r="731" spans="2:27" x14ac:dyDescent="0.25">
      <c r="B731" s="42"/>
      <c r="AA731" s="43"/>
    </row>
    <row r="732" spans="2:27" x14ac:dyDescent="0.25">
      <c r="B732" s="42"/>
      <c r="AA732" s="43"/>
    </row>
    <row r="733" spans="2:27" x14ac:dyDescent="0.25">
      <c r="B733" s="42"/>
      <c r="AA733" s="43"/>
    </row>
    <row r="734" spans="2:27" x14ac:dyDescent="0.25">
      <c r="B734" s="42"/>
      <c r="AA734" s="43"/>
    </row>
    <row r="735" spans="2:27" x14ac:dyDescent="0.25">
      <c r="B735" s="42"/>
      <c r="AA735" s="43"/>
    </row>
    <row r="736" spans="2:27" x14ac:dyDescent="0.25">
      <c r="B736" s="42"/>
      <c r="AA736" s="43"/>
    </row>
    <row r="737" spans="2:27" x14ac:dyDescent="0.25">
      <c r="B737" s="42"/>
      <c r="AA737" s="43"/>
    </row>
    <row r="738" spans="2:27" x14ac:dyDescent="0.25">
      <c r="B738" s="42"/>
      <c r="AA738" s="43"/>
    </row>
    <row r="739" spans="2:27" x14ac:dyDescent="0.25">
      <c r="B739" s="42"/>
      <c r="AA739" s="43"/>
    </row>
    <row r="740" spans="2:27" x14ac:dyDescent="0.25">
      <c r="B740" s="42"/>
      <c r="AA740" s="43"/>
    </row>
    <row r="741" spans="2:27" x14ac:dyDescent="0.25">
      <c r="B741" s="42"/>
      <c r="AA741" s="43"/>
    </row>
    <row r="742" spans="2:27" x14ac:dyDescent="0.25">
      <c r="B742" s="42"/>
      <c r="AA742" s="43"/>
    </row>
    <row r="743" spans="2:27" x14ac:dyDescent="0.25">
      <c r="B743" s="42"/>
      <c r="AA743" s="43"/>
    </row>
    <row r="744" spans="2:27" x14ac:dyDescent="0.25">
      <c r="B744" s="42"/>
      <c r="AA744" s="43"/>
    </row>
    <row r="745" spans="2:27" x14ac:dyDescent="0.25">
      <c r="B745" s="42"/>
      <c r="AA745" s="43"/>
    </row>
    <row r="746" spans="2:27" x14ac:dyDescent="0.25">
      <c r="B746" s="42"/>
      <c r="AA746" s="43"/>
    </row>
    <row r="747" spans="2:27" x14ac:dyDescent="0.25">
      <c r="B747" s="42"/>
      <c r="AA747" s="43"/>
    </row>
    <row r="748" spans="2:27" x14ac:dyDescent="0.25">
      <c r="B748" s="42"/>
      <c r="AA748" s="43"/>
    </row>
    <row r="749" spans="2:27" x14ac:dyDescent="0.25">
      <c r="B749" s="42"/>
      <c r="AA749" s="43"/>
    </row>
    <row r="750" spans="2:27" x14ac:dyDescent="0.25">
      <c r="B750" s="42"/>
      <c r="AA750" s="43"/>
    </row>
    <row r="751" spans="2:27" x14ac:dyDescent="0.25">
      <c r="B751" s="42"/>
      <c r="AA751" s="43"/>
    </row>
    <row r="752" spans="2:27" x14ac:dyDescent="0.25">
      <c r="B752" s="42"/>
      <c r="AA752" s="43"/>
    </row>
    <row r="753" spans="2:27" x14ac:dyDescent="0.25">
      <c r="B753" s="42"/>
      <c r="AA753" s="43"/>
    </row>
    <row r="754" spans="2:27" x14ac:dyDescent="0.25">
      <c r="B754" s="42"/>
      <c r="AA754" s="43"/>
    </row>
    <row r="755" spans="2:27" x14ac:dyDescent="0.25">
      <c r="B755" s="42"/>
      <c r="AA755" s="43"/>
    </row>
    <row r="756" spans="2:27" x14ac:dyDescent="0.25">
      <c r="B756" s="42"/>
      <c r="AA756" s="43"/>
    </row>
    <row r="757" spans="2:27" x14ac:dyDescent="0.25">
      <c r="B757" s="42"/>
      <c r="AA757" s="43"/>
    </row>
    <row r="758" spans="2:27" x14ac:dyDescent="0.25">
      <c r="B758" s="42"/>
      <c r="AA758" s="43"/>
    </row>
    <row r="759" spans="2:27" x14ac:dyDescent="0.25">
      <c r="B759" s="42"/>
      <c r="AA759" s="43"/>
    </row>
    <row r="760" spans="2:27" x14ac:dyDescent="0.25">
      <c r="B760" s="42"/>
      <c r="AA760" s="43"/>
    </row>
    <row r="761" spans="2:27" x14ac:dyDescent="0.25">
      <c r="B761" s="42"/>
      <c r="AA761" s="43"/>
    </row>
    <row r="762" spans="2:27" x14ac:dyDescent="0.25">
      <c r="B762" s="42"/>
      <c r="AA762" s="43"/>
    </row>
    <row r="763" spans="2:27" x14ac:dyDescent="0.25">
      <c r="B763" s="42"/>
      <c r="AA763" s="43"/>
    </row>
    <row r="764" spans="2:27" x14ac:dyDescent="0.25">
      <c r="B764" s="42"/>
      <c r="AA764" s="43"/>
    </row>
    <row r="765" spans="2:27" x14ac:dyDescent="0.25">
      <c r="B765" s="42"/>
      <c r="AA765" s="43"/>
    </row>
    <row r="766" spans="2:27" x14ac:dyDescent="0.25">
      <c r="B766" s="42"/>
      <c r="AA766" s="43"/>
    </row>
    <row r="767" spans="2:27" x14ac:dyDescent="0.25">
      <c r="B767" s="42"/>
      <c r="AA767" s="43"/>
    </row>
    <row r="768" spans="2:27" x14ac:dyDescent="0.25">
      <c r="B768" s="42"/>
      <c r="AA768" s="43"/>
    </row>
    <row r="769" spans="2:27" x14ac:dyDescent="0.25">
      <c r="B769" s="42"/>
      <c r="AA769" s="43"/>
    </row>
    <row r="770" spans="2:27" x14ac:dyDescent="0.25">
      <c r="B770" s="42"/>
      <c r="AA770" s="43"/>
    </row>
    <row r="771" spans="2:27" x14ac:dyDescent="0.25">
      <c r="B771" s="42"/>
      <c r="AA771" s="43"/>
    </row>
    <row r="772" spans="2:27" x14ac:dyDescent="0.25">
      <c r="B772" s="42"/>
      <c r="AA772" s="43"/>
    </row>
    <row r="773" spans="2:27" x14ac:dyDescent="0.25">
      <c r="B773" s="42"/>
      <c r="AA773" s="43"/>
    </row>
    <row r="774" spans="2:27" x14ac:dyDescent="0.25">
      <c r="B774" s="42"/>
      <c r="AA774" s="43"/>
    </row>
    <row r="775" spans="2:27" x14ac:dyDescent="0.25">
      <c r="B775" s="42"/>
      <c r="AA775" s="43"/>
    </row>
    <row r="776" spans="2:27" x14ac:dyDescent="0.25">
      <c r="B776" s="42"/>
      <c r="AA776" s="43"/>
    </row>
    <row r="777" spans="2:27" x14ac:dyDescent="0.25">
      <c r="B777" s="42"/>
      <c r="AA777" s="43"/>
    </row>
    <row r="778" spans="2:27" x14ac:dyDescent="0.25">
      <c r="B778" s="42"/>
      <c r="AA778" s="43"/>
    </row>
    <row r="779" spans="2:27" x14ac:dyDescent="0.25">
      <c r="B779" s="42"/>
      <c r="AA779" s="43"/>
    </row>
    <row r="780" spans="2:27" x14ac:dyDescent="0.25">
      <c r="B780" s="42"/>
      <c r="AA780" s="43"/>
    </row>
    <row r="781" spans="2:27" x14ac:dyDescent="0.25">
      <c r="B781" s="42"/>
      <c r="AA781" s="43"/>
    </row>
    <row r="782" spans="2:27" x14ac:dyDescent="0.25">
      <c r="B782" s="42"/>
      <c r="AA782" s="43"/>
    </row>
    <row r="783" spans="2:27" x14ac:dyDescent="0.25">
      <c r="B783" s="42"/>
      <c r="AA783" s="43"/>
    </row>
    <row r="784" spans="2:27" x14ac:dyDescent="0.25">
      <c r="B784" s="42"/>
      <c r="AA784" s="43"/>
    </row>
    <row r="785" spans="2:27" x14ac:dyDescent="0.25">
      <c r="B785" s="42"/>
      <c r="AA785" s="43"/>
    </row>
    <row r="786" spans="2:27" x14ac:dyDescent="0.25">
      <c r="B786" s="42"/>
      <c r="AA786" s="43"/>
    </row>
    <row r="787" spans="2:27" x14ac:dyDescent="0.25">
      <c r="B787" s="42"/>
      <c r="AA787" s="43"/>
    </row>
    <row r="788" spans="2:27" x14ac:dyDescent="0.25">
      <c r="B788" s="42"/>
      <c r="AA788" s="43"/>
    </row>
    <row r="789" spans="2:27" x14ac:dyDescent="0.25">
      <c r="B789" s="42"/>
      <c r="AA789" s="43"/>
    </row>
    <row r="790" spans="2:27" x14ac:dyDescent="0.25">
      <c r="B790" s="42"/>
      <c r="AA790" s="43"/>
    </row>
    <row r="791" spans="2:27" x14ac:dyDescent="0.25">
      <c r="B791" s="42"/>
      <c r="AA791" s="43"/>
    </row>
    <row r="792" spans="2:27" x14ac:dyDescent="0.25">
      <c r="B792" s="42"/>
      <c r="AA792" s="43"/>
    </row>
    <row r="793" spans="2:27" x14ac:dyDescent="0.25">
      <c r="B793" s="42"/>
      <c r="AA793" s="43"/>
    </row>
    <row r="794" spans="2:27" x14ac:dyDescent="0.25">
      <c r="B794" s="42"/>
      <c r="AA794" s="43"/>
    </row>
    <row r="795" spans="2:27" x14ac:dyDescent="0.25">
      <c r="B795" s="42"/>
      <c r="AA795" s="43"/>
    </row>
    <row r="796" spans="2:27" x14ac:dyDescent="0.25">
      <c r="B796" s="42"/>
      <c r="AA796" s="43"/>
    </row>
    <row r="797" spans="2:27" x14ac:dyDescent="0.25">
      <c r="B797" s="42"/>
      <c r="AA797" s="43"/>
    </row>
    <row r="798" spans="2:27" x14ac:dyDescent="0.25">
      <c r="B798" s="42"/>
      <c r="AA798" s="43"/>
    </row>
    <row r="799" spans="2:27" x14ac:dyDescent="0.25">
      <c r="B799" s="42"/>
      <c r="AA799" s="43"/>
    </row>
    <row r="800" spans="2:27" x14ac:dyDescent="0.25">
      <c r="B800" s="42"/>
      <c r="AA800" s="43"/>
    </row>
    <row r="801" spans="2:27" x14ac:dyDescent="0.25">
      <c r="B801" s="42"/>
      <c r="AA801" s="43"/>
    </row>
    <row r="802" spans="2:27" x14ac:dyDescent="0.25">
      <c r="B802" s="42"/>
      <c r="AA802" s="43"/>
    </row>
    <row r="803" spans="2:27" x14ac:dyDescent="0.25">
      <c r="B803" s="42"/>
      <c r="AA803" s="43"/>
    </row>
    <row r="804" spans="2:27" x14ac:dyDescent="0.25">
      <c r="B804" s="42"/>
      <c r="AA804" s="43"/>
    </row>
    <row r="805" spans="2:27" x14ac:dyDescent="0.25">
      <c r="B805" s="42"/>
      <c r="AA805" s="43"/>
    </row>
    <row r="806" spans="2:27" x14ac:dyDescent="0.25">
      <c r="B806" s="42"/>
      <c r="AA806" s="43"/>
    </row>
    <row r="807" spans="2:27" x14ac:dyDescent="0.25">
      <c r="B807" s="42"/>
      <c r="AA807" s="43"/>
    </row>
    <row r="808" spans="2:27" x14ac:dyDescent="0.25">
      <c r="B808" s="42"/>
      <c r="AA808" s="43"/>
    </row>
    <row r="809" spans="2:27" x14ac:dyDescent="0.25">
      <c r="B809" s="42"/>
      <c r="AA809" s="43"/>
    </row>
    <row r="810" spans="2:27" x14ac:dyDescent="0.25">
      <c r="B810" s="42"/>
      <c r="AA810" s="43"/>
    </row>
    <row r="811" spans="2:27" x14ac:dyDescent="0.25">
      <c r="B811" s="42"/>
      <c r="AA811" s="43"/>
    </row>
    <row r="812" spans="2:27" x14ac:dyDescent="0.25">
      <c r="B812" s="42"/>
      <c r="AA812" s="43"/>
    </row>
    <row r="813" spans="2:27" x14ac:dyDescent="0.25">
      <c r="B813" s="42"/>
      <c r="AA813" s="43"/>
    </row>
    <row r="814" spans="2:27" x14ac:dyDescent="0.25">
      <c r="B814" s="42"/>
      <c r="AA814" s="43"/>
    </row>
    <row r="815" spans="2:27" x14ac:dyDescent="0.25">
      <c r="B815" s="42"/>
      <c r="AA815" s="43"/>
    </row>
    <row r="816" spans="2:27" x14ac:dyDescent="0.25">
      <c r="B816" s="42"/>
      <c r="AA816" s="43"/>
    </row>
    <row r="817" spans="2:27" x14ac:dyDescent="0.25">
      <c r="B817" s="42"/>
      <c r="AA817" s="43"/>
    </row>
    <row r="818" spans="2:27" x14ac:dyDescent="0.25">
      <c r="B818" s="42"/>
      <c r="AA818" s="43"/>
    </row>
    <row r="819" spans="2:27" x14ac:dyDescent="0.25">
      <c r="B819" s="42"/>
      <c r="AA819" s="43"/>
    </row>
    <row r="820" spans="2:27" x14ac:dyDescent="0.25">
      <c r="B820" s="42"/>
      <c r="AA820" s="43"/>
    </row>
    <row r="821" spans="2:27" x14ac:dyDescent="0.25">
      <c r="B821" s="42"/>
      <c r="AA821" s="43"/>
    </row>
    <row r="822" spans="2:27" x14ac:dyDescent="0.25">
      <c r="B822" s="42"/>
      <c r="AA822" s="43"/>
    </row>
    <row r="823" spans="2:27" x14ac:dyDescent="0.25">
      <c r="B823" s="42"/>
      <c r="AA823" s="43"/>
    </row>
    <row r="824" spans="2:27" x14ac:dyDescent="0.25">
      <c r="B824" s="42"/>
      <c r="AA824" s="43"/>
    </row>
    <row r="825" spans="2:27" x14ac:dyDescent="0.25">
      <c r="B825" s="42"/>
      <c r="AA825" s="43"/>
    </row>
    <row r="826" spans="2:27" x14ac:dyDescent="0.25">
      <c r="B826" s="42"/>
      <c r="AA826" s="43"/>
    </row>
    <row r="827" spans="2:27" x14ac:dyDescent="0.25">
      <c r="B827" s="42"/>
      <c r="AA827" s="43"/>
    </row>
    <row r="828" spans="2:27" x14ac:dyDescent="0.25">
      <c r="B828" s="42"/>
      <c r="AA828" s="43"/>
    </row>
    <row r="829" spans="2:27" x14ac:dyDescent="0.25">
      <c r="B829" s="42"/>
      <c r="AA829" s="43"/>
    </row>
    <row r="830" spans="2:27" x14ac:dyDescent="0.25">
      <c r="B830" s="42"/>
      <c r="AA830" s="43"/>
    </row>
    <row r="831" spans="2:27" x14ac:dyDescent="0.25">
      <c r="B831" s="42"/>
      <c r="AA831" s="43"/>
    </row>
    <row r="832" spans="2:27" x14ac:dyDescent="0.25">
      <c r="B832" s="42"/>
      <c r="AA832" s="43"/>
    </row>
    <row r="833" spans="2:27" x14ac:dyDescent="0.25">
      <c r="B833" s="42"/>
      <c r="AA833" s="43"/>
    </row>
    <row r="834" spans="2:27" x14ac:dyDescent="0.25">
      <c r="B834" s="42"/>
      <c r="AA834" s="43"/>
    </row>
    <row r="835" spans="2:27" x14ac:dyDescent="0.25">
      <c r="B835" s="42"/>
      <c r="AA835" s="43"/>
    </row>
    <row r="836" spans="2:27" x14ac:dyDescent="0.25">
      <c r="B836" s="42"/>
      <c r="AA836" s="43"/>
    </row>
    <row r="837" spans="2:27" x14ac:dyDescent="0.25">
      <c r="B837" s="42"/>
      <c r="AA837" s="43"/>
    </row>
    <row r="838" spans="2:27" x14ac:dyDescent="0.25">
      <c r="B838" s="42"/>
      <c r="AA838" s="43"/>
    </row>
    <row r="839" spans="2:27" x14ac:dyDescent="0.25">
      <c r="B839" s="42"/>
      <c r="AA839" s="43"/>
    </row>
    <row r="840" spans="2:27" x14ac:dyDescent="0.25">
      <c r="B840" s="42"/>
      <c r="AA840" s="43"/>
    </row>
    <row r="841" spans="2:27" x14ac:dyDescent="0.25">
      <c r="B841" s="42"/>
      <c r="AA841" s="43"/>
    </row>
    <row r="842" spans="2:27" x14ac:dyDescent="0.25">
      <c r="B842" s="42"/>
      <c r="AA842" s="43"/>
    </row>
    <row r="843" spans="2:27" x14ac:dyDescent="0.25">
      <c r="B843" s="42"/>
      <c r="AA843" s="43"/>
    </row>
    <row r="844" spans="2:27" x14ac:dyDescent="0.25">
      <c r="B844" s="42"/>
      <c r="AA844" s="43"/>
    </row>
    <row r="845" spans="2:27" x14ac:dyDescent="0.25">
      <c r="B845" s="42"/>
      <c r="AA845" s="43"/>
    </row>
    <row r="846" spans="2:27" x14ac:dyDescent="0.25">
      <c r="B846" s="42"/>
      <c r="AA846" s="43"/>
    </row>
    <row r="847" spans="2:27" x14ac:dyDescent="0.25">
      <c r="B847" s="42"/>
      <c r="AA847" s="43"/>
    </row>
    <row r="848" spans="2:27" x14ac:dyDescent="0.25">
      <c r="B848" s="42"/>
      <c r="AA848" s="43"/>
    </row>
    <row r="849" spans="2:27" x14ac:dyDescent="0.25">
      <c r="B849" s="42"/>
      <c r="AA849" s="43"/>
    </row>
    <row r="850" spans="2:27" x14ac:dyDescent="0.25">
      <c r="B850" s="42"/>
      <c r="AA850" s="43"/>
    </row>
    <row r="851" spans="2:27" x14ac:dyDescent="0.25">
      <c r="B851" s="42"/>
      <c r="AA851" s="43"/>
    </row>
    <row r="852" spans="2:27" x14ac:dyDescent="0.25">
      <c r="B852" s="42"/>
      <c r="AA852" s="43"/>
    </row>
    <row r="853" spans="2:27" x14ac:dyDescent="0.25">
      <c r="B853" s="42"/>
      <c r="AA853" s="43"/>
    </row>
    <row r="854" spans="2:27" x14ac:dyDescent="0.25">
      <c r="B854" s="42"/>
      <c r="AA854" s="43"/>
    </row>
    <row r="855" spans="2:27" x14ac:dyDescent="0.25">
      <c r="B855" s="42"/>
      <c r="AA855" s="43"/>
    </row>
    <row r="856" spans="2:27" x14ac:dyDescent="0.25">
      <c r="B856" s="42"/>
      <c r="AA856" s="43"/>
    </row>
    <row r="857" spans="2:27" x14ac:dyDescent="0.25">
      <c r="B857" s="42"/>
      <c r="AA857" s="43"/>
    </row>
    <row r="858" spans="2:27" x14ac:dyDescent="0.25">
      <c r="B858" s="42"/>
      <c r="AA858" s="43"/>
    </row>
    <row r="859" spans="2:27" x14ac:dyDescent="0.25">
      <c r="B859" s="42"/>
      <c r="AA859" s="43"/>
    </row>
    <row r="860" spans="2:27" x14ac:dyDescent="0.25">
      <c r="B860" s="42"/>
      <c r="AA860" s="43"/>
    </row>
    <row r="861" spans="2:27" x14ac:dyDescent="0.25">
      <c r="B861" s="42"/>
      <c r="AA861" s="43"/>
    </row>
    <row r="862" spans="2:27" x14ac:dyDescent="0.25">
      <c r="B862" s="42"/>
      <c r="AA862" s="43"/>
    </row>
    <row r="863" spans="2:27" x14ac:dyDescent="0.25">
      <c r="B863" s="42"/>
      <c r="AA863" s="43"/>
    </row>
    <row r="864" spans="2:27" x14ac:dyDescent="0.25">
      <c r="B864" s="42"/>
      <c r="AA864" s="43"/>
    </row>
    <row r="865" spans="2:27" x14ac:dyDescent="0.25">
      <c r="B865" s="42"/>
      <c r="AA865" s="43"/>
    </row>
    <row r="866" spans="2:27" x14ac:dyDescent="0.25">
      <c r="B866" s="42"/>
      <c r="AA866" s="43"/>
    </row>
    <row r="867" spans="2:27" x14ac:dyDescent="0.25">
      <c r="B867" s="42"/>
      <c r="AA867" s="43"/>
    </row>
    <row r="868" spans="2:27" x14ac:dyDescent="0.25">
      <c r="B868" s="42"/>
      <c r="AA868" s="43"/>
    </row>
    <row r="869" spans="2:27" x14ac:dyDescent="0.25">
      <c r="B869" s="42"/>
      <c r="AA869" s="43"/>
    </row>
    <row r="870" spans="2:27" x14ac:dyDescent="0.25">
      <c r="B870" s="42"/>
      <c r="AA870" s="43"/>
    </row>
    <row r="871" spans="2:27" x14ac:dyDescent="0.25">
      <c r="B871" s="42"/>
      <c r="AA871" s="43"/>
    </row>
    <row r="872" spans="2:27" x14ac:dyDescent="0.25">
      <c r="B872" s="42"/>
      <c r="AA872" s="43"/>
    </row>
    <row r="873" spans="2:27" x14ac:dyDescent="0.25">
      <c r="B873" s="42"/>
      <c r="AA873" s="43"/>
    </row>
    <row r="874" spans="2:27" x14ac:dyDescent="0.25">
      <c r="B874" s="42"/>
      <c r="AA874" s="43"/>
    </row>
    <row r="875" spans="2:27" x14ac:dyDescent="0.25">
      <c r="B875" s="42"/>
      <c r="AA875" s="43"/>
    </row>
    <row r="876" spans="2:27" x14ac:dyDescent="0.25">
      <c r="B876" s="42"/>
      <c r="AA876" s="43"/>
    </row>
    <row r="877" spans="2:27" x14ac:dyDescent="0.25">
      <c r="B877" s="42"/>
      <c r="AA877" s="43"/>
    </row>
    <row r="878" spans="2:27" x14ac:dyDescent="0.25">
      <c r="B878" s="42"/>
      <c r="AA878" s="43"/>
    </row>
    <row r="879" spans="2:27" x14ac:dyDescent="0.25">
      <c r="B879" s="42"/>
      <c r="AA879" s="43"/>
    </row>
    <row r="880" spans="2:27" x14ac:dyDescent="0.25">
      <c r="B880" s="42"/>
      <c r="AA880" s="43"/>
    </row>
    <row r="881" spans="2:27" x14ac:dyDescent="0.25">
      <c r="B881" s="42"/>
      <c r="AA881" s="43"/>
    </row>
    <row r="882" spans="2:27" x14ac:dyDescent="0.25">
      <c r="B882" s="42"/>
      <c r="AA882" s="43"/>
    </row>
    <row r="883" spans="2:27" x14ac:dyDescent="0.25">
      <c r="B883" s="42"/>
      <c r="AA883" s="43"/>
    </row>
    <row r="884" spans="2:27" x14ac:dyDescent="0.25">
      <c r="B884" s="42"/>
      <c r="AA884" s="43"/>
    </row>
    <row r="885" spans="2:27" x14ac:dyDescent="0.25">
      <c r="B885" s="42"/>
      <c r="AA885" s="43"/>
    </row>
    <row r="886" spans="2:27" x14ac:dyDescent="0.25">
      <c r="B886" s="42"/>
      <c r="AA886" s="43"/>
    </row>
    <row r="887" spans="2:27" x14ac:dyDescent="0.25">
      <c r="B887" s="42"/>
      <c r="AA887" s="43"/>
    </row>
    <row r="888" spans="2:27" x14ac:dyDescent="0.25">
      <c r="B888" s="42"/>
      <c r="AA888" s="43"/>
    </row>
    <row r="889" spans="2:27" x14ac:dyDescent="0.25">
      <c r="B889" s="42"/>
      <c r="AA889" s="43"/>
    </row>
    <row r="890" spans="2:27" x14ac:dyDescent="0.25">
      <c r="B890" s="42"/>
      <c r="AA890" s="43"/>
    </row>
    <row r="891" spans="2:27" x14ac:dyDescent="0.25">
      <c r="B891" s="42"/>
      <c r="AA891" s="43"/>
    </row>
    <row r="892" spans="2:27" x14ac:dyDescent="0.25">
      <c r="B892" s="42"/>
      <c r="AA892" s="43"/>
    </row>
    <row r="893" spans="2:27" x14ac:dyDescent="0.25">
      <c r="B893" s="42"/>
      <c r="AA893" s="43"/>
    </row>
    <row r="894" spans="2:27" x14ac:dyDescent="0.25">
      <c r="B894" s="42"/>
      <c r="AA894" s="43"/>
    </row>
    <row r="895" spans="2:27" x14ac:dyDescent="0.25">
      <c r="B895" s="42"/>
      <c r="AA895" s="43"/>
    </row>
    <row r="896" spans="2:27" x14ac:dyDescent="0.25">
      <c r="B896" s="42"/>
      <c r="AA896" s="43"/>
    </row>
    <row r="897" spans="2:27" x14ac:dyDescent="0.25">
      <c r="B897" s="42"/>
      <c r="AA897" s="43"/>
    </row>
    <row r="898" spans="2:27" x14ac:dyDescent="0.25">
      <c r="B898" s="42"/>
      <c r="AA898" s="43"/>
    </row>
    <row r="899" spans="2:27" x14ac:dyDescent="0.25">
      <c r="B899" s="42"/>
      <c r="AA899" s="43"/>
    </row>
    <row r="900" spans="2:27" x14ac:dyDescent="0.25">
      <c r="B900" s="42"/>
      <c r="AA900" s="43"/>
    </row>
    <row r="901" spans="2:27" x14ac:dyDescent="0.25">
      <c r="B901" s="42"/>
      <c r="AA901" s="43"/>
    </row>
    <row r="902" spans="2:27" x14ac:dyDescent="0.25">
      <c r="B902" s="42"/>
      <c r="AA902" s="43"/>
    </row>
    <row r="903" spans="2:27" x14ac:dyDescent="0.25">
      <c r="B903" s="42"/>
      <c r="AA903" s="43"/>
    </row>
    <row r="904" spans="2:27" x14ac:dyDescent="0.25">
      <c r="B904" s="42"/>
      <c r="AA904" s="43"/>
    </row>
    <row r="905" spans="2:27" x14ac:dyDescent="0.25">
      <c r="B905" s="42"/>
      <c r="AA905" s="43"/>
    </row>
    <row r="906" spans="2:27" x14ac:dyDescent="0.25">
      <c r="B906" s="42"/>
      <c r="AA906" s="43"/>
    </row>
    <row r="907" spans="2:27" x14ac:dyDescent="0.25">
      <c r="B907" s="42"/>
      <c r="AA907" s="43"/>
    </row>
    <row r="908" spans="2:27" x14ac:dyDescent="0.25">
      <c r="B908" s="42"/>
      <c r="AA908" s="43"/>
    </row>
    <row r="909" spans="2:27" x14ac:dyDescent="0.25">
      <c r="B909" s="42"/>
      <c r="AA909" s="43"/>
    </row>
    <row r="910" spans="2:27" x14ac:dyDescent="0.25">
      <c r="B910" s="42"/>
      <c r="AA910" s="43"/>
    </row>
    <row r="911" spans="2:27" x14ac:dyDescent="0.25">
      <c r="B911" s="42"/>
      <c r="AA911" s="43"/>
    </row>
    <row r="912" spans="2:27" x14ac:dyDescent="0.25">
      <c r="B912" s="42"/>
      <c r="AA912" s="43"/>
    </row>
    <row r="913" spans="2:27" x14ac:dyDescent="0.25">
      <c r="B913" s="42"/>
      <c r="AA913" s="43"/>
    </row>
    <row r="914" spans="2:27" x14ac:dyDescent="0.25">
      <c r="B914" s="42"/>
      <c r="AA914" s="43"/>
    </row>
    <row r="915" spans="2:27" x14ac:dyDescent="0.25">
      <c r="B915" s="42"/>
      <c r="AA915" s="43"/>
    </row>
    <row r="916" spans="2:27" x14ac:dyDescent="0.25">
      <c r="B916" s="42"/>
      <c r="AA916" s="43"/>
    </row>
    <row r="917" spans="2:27" x14ac:dyDescent="0.25">
      <c r="B917" s="42"/>
      <c r="AA917" s="43"/>
    </row>
    <row r="918" spans="2:27" x14ac:dyDescent="0.25">
      <c r="B918" s="42"/>
      <c r="AA918" s="43"/>
    </row>
    <row r="919" spans="2:27" x14ac:dyDescent="0.25">
      <c r="B919" s="42"/>
      <c r="AA919" s="43"/>
    </row>
    <row r="920" spans="2:27" x14ac:dyDescent="0.25">
      <c r="B920" s="42"/>
      <c r="AA920" s="43"/>
    </row>
    <row r="921" spans="2:27" x14ac:dyDescent="0.25">
      <c r="B921" s="42"/>
      <c r="AA921" s="43"/>
    </row>
    <row r="922" spans="2:27" x14ac:dyDescent="0.25">
      <c r="B922" s="42"/>
      <c r="AA922" s="43"/>
    </row>
    <row r="923" spans="2:27" x14ac:dyDescent="0.25">
      <c r="B923" s="42"/>
      <c r="AA923" s="43"/>
    </row>
    <row r="924" spans="2:27" x14ac:dyDescent="0.25">
      <c r="B924" s="42"/>
      <c r="AA924" s="43"/>
    </row>
    <row r="925" spans="2:27" x14ac:dyDescent="0.25">
      <c r="B925" s="42"/>
      <c r="AA925" s="43"/>
    </row>
    <row r="926" spans="2:27" x14ac:dyDescent="0.25">
      <c r="B926" s="42"/>
      <c r="AA926" s="43"/>
    </row>
    <row r="927" spans="2:27" x14ac:dyDescent="0.25">
      <c r="B927" s="42"/>
      <c r="AA927" s="43"/>
    </row>
    <row r="928" spans="2:27" x14ac:dyDescent="0.25">
      <c r="B928" s="42"/>
      <c r="AA928" s="43"/>
    </row>
    <row r="929" spans="2:27" x14ac:dyDescent="0.25">
      <c r="B929" s="42"/>
      <c r="AA929" s="43"/>
    </row>
    <row r="930" spans="2:27" x14ac:dyDescent="0.25">
      <c r="B930" s="42"/>
      <c r="AA930" s="43"/>
    </row>
    <row r="931" spans="2:27" x14ac:dyDescent="0.25">
      <c r="B931" s="42"/>
      <c r="AA931" s="43"/>
    </row>
    <row r="932" spans="2:27" x14ac:dyDescent="0.25">
      <c r="B932" s="42"/>
      <c r="AA932" s="43"/>
    </row>
    <row r="933" spans="2:27" x14ac:dyDescent="0.25">
      <c r="B933" s="42"/>
      <c r="AA933" s="43"/>
    </row>
    <row r="934" spans="2:27" x14ac:dyDescent="0.25">
      <c r="B934" s="42"/>
      <c r="AA934" s="43"/>
    </row>
    <row r="935" spans="2:27" x14ac:dyDescent="0.25">
      <c r="B935" s="42"/>
      <c r="AA935" s="43"/>
    </row>
    <row r="936" spans="2:27" x14ac:dyDescent="0.25">
      <c r="B936" s="42"/>
      <c r="AA936" s="43"/>
    </row>
    <row r="937" spans="2:27" x14ac:dyDescent="0.25">
      <c r="B937" s="42"/>
      <c r="AA937" s="43"/>
    </row>
    <row r="938" spans="2:27" x14ac:dyDescent="0.25">
      <c r="B938" s="42"/>
      <c r="AA938" s="43"/>
    </row>
    <row r="939" spans="2:27" x14ac:dyDescent="0.25">
      <c r="B939" s="42"/>
      <c r="AA939" s="43"/>
    </row>
    <row r="940" spans="2:27" x14ac:dyDescent="0.25">
      <c r="B940" s="42"/>
      <c r="AA940" s="43"/>
    </row>
    <row r="941" spans="2:27" x14ac:dyDescent="0.25">
      <c r="B941" s="42"/>
      <c r="AA941" s="43"/>
    </row>
    <row r="942" spans="2:27" x14ac:dyDescent="0.25">
      <c r="B942" s="42"/>
      <c r="AA942" s="43"/>
    </row>
    <row r="943" spans="2:27" x14ac:dyDescent="0.25">
      <c r="B943" s="42"/>
      <c r="AA943" s="43"/>
    </row>
    <row r="944" spans="2:27" x14ac:dyDescent="0.25">
      <c r="B944" s="42"/>
      <c r="AA944" s="43"/>
    </row>
    <row r="945" spans="2:27" x14ac:dyDescent="0.25">
      <c r="B945" s="42"/>
      <c r="AA945" s="43"/>
    </row>
    <row r="946" spans="2:27" x14ac:dyDescent="0.25">
      <c r="B946" s="42"/>
      <c r="AA946" s="43"/>
    </row>
    <row r="947" spans="2:27" x14ac:dyDescent="0.25">
      <c r="B947" s="42"/>
      <c r="AA947" s="43"/>
    </row>
    <row r="948" spans="2:27" x14ac:dyDescent="0.25">
      <c r="B948" s="42"/>
      <c r="AA948" s="43"/>
    </row>
    <row r="949" spans="2:27" x14ac:dyDescent="0.25">
      <c r="B949" s="42"/>
      <c r="AA949" s="43"/>
    </row>
    <row r="950" spans="2:27" x14ac:dyDescent="0.25">
      <c r="B950" s="42"/>
      <c r="AA950" s="43"/>
    </row>
    <row r="951" spans="2:27" x14ac:dyDescent="0.25">
      <c r="B951" s="42"/>
      <c r="AA951" s="43"/>
    </row>
    <row r="952" spans="2:27" x14ac:dyDescent="0.25">
      <c r="B952" s="42"/>
      <c r="AA952" s="43"/>
    </row>
    <row r="953" spans="2:27" x14ac:dyDescent="0.25">
      <c r="B953" s="42"/>
      <c r="AA953" s="43"/>
    </row>
    <row r="954" spans="2:27" x14ac:dyDescent="0.25">
      <c r="B954" s="42"/>
      <c r="AA954" s="43"/>
    </row>
    <row r="955" spans="2:27" x14ac:dyDescent="0.25">
      <c r="B955" s="42"/>
      <c r="AA955" s="43"/>
    </row>
    <row r="956" spans="2:27" x14ac:dyDescent="0.25">
      <c r="B956" s="42"/>
      <c r="AA956" s="43"/>
    </row>
    <row r="957" spans="2:27" x14ac:dyDescent="0.25">
      <c r="B957" s="42"/>
      <c r="AA957" s="43"/>
    </row>
    <row r="958" spans="2:27" x14ac:dyDescent="0.25">
      <c r="B958" s="42"/>
      <c r="AA958" s="43"/>
    </row>
    <row r="959" spans="2:27" x14ac:dyDescent="0.25">
      <c r="B959" s="42"/>
      <c r="AA959" s="43"/>
    </row>
    <row r="960" spans="2:27" x14ac:dyDescent="0.25">
      <c r="B960" s="42"/>
      <c r="AA960" s="43"/>
    </row>
    <row r="961" spans="2:27" x14ac:dyDescent="0.25">
      <c r="B961" s="42"/>
      <c r="AA961" s="43"/>
    </row>
    <row r="962" spans="2:27" x14ac:dyDescent="0.25">
      <c r="B962" s="42"/>
      <c r="AA962" s="43"/>
    </row>
    <row r="963" spans="2:27" x14ac:dyDescent="0.25">
      <c r="B963" s="42"/>
      <c r="AA963" s="43"/>
    </row>
    <row r="964" spans="2:27" x14ac:dyDescent="0.25">
      <c r="B964" s="42"/>
      <c r="AA964" s="43"/>
    </row>
    <row r="965" spans="2:27" x14ac:dyDescent="0.25">
      <c r="B965" s="42"/>
      <c r="AA965" s="43"/>
    </row>
    <row r="966" spans="2:27" x14ac:dyDescent="0.25">
      <c r="B966" s="42"/>
      <c r="AA966" s="43"/>
    </row>
    <row r="967" spans="2:27" x14ac:dyDescent="0.25">
      <c r="B967" s="42"/>
      <c r="AA967" s="43"/>
    </row>
    <row r="968" spans="2:27" x14ac:dyDescent="0.25">
      <c r="B968" s="42"/>
      <c r="AA968" s="43"/>
    </row>
    <row r="969" spans="2:27" x14ac:dyDescent="0.25">
      <c r="B969" s="42"/>
      <c r="AA969" s="43"/>
    </row>
    <row r="970" spans="2:27" x14ac:dyDescent="0.25">
      <c r="B970" s="42"/>
      <c r="AA970" s="43"/>
    </row>
    <row r="971" spans="2:27" x14ac:dyDescent="0.25">
      <c r="B971" s="42"/>
      <c r="AA971" s="43"/>
    </row>
    <row r="972" spans="2:27" x14ac:dyDescent="0.25">
      <c r="B972" s="42"/>
      <c r="AA972" s="43"/>
    </row>
    <row r="973" spans="2:27" x14ac:dyDescent="0.25">
      <c r="B973" s="42"/>
      <c r="AA973" s="43"/>
    </row>
    <row r="974" spans="2:27" x14ac:dyDescent="0.25">
      <c r="B974" s="42"/>
      <c r="AA974" s="43"/>
    </row>
    <row r="975" spans="2:27" x14ac:dyDescent="0.25">
      <c r="B975" s="42"/>
      <c r="AA975" s="43"/>
    </row>
    <row r="976" spans="2:27" x14ac:dyDescent="0.25">
      <c r="B976" s="42"/>
      <c r="AA976" s="43"/>
    </row>
    <row r="977" spans="2:27" x14ac:dyDescent="0.25">
      <c r="B977" s="42"/>
      <c r="AA977" s="43"/>
    </row>
    <row r="978" spans="2:27" x14ac:dyDescent="0.25">
      <c r="B978" s="42"/>
      <c r="AA978" s="43"/>
    </row>
    <row r="979" spans="2:27" x14ac:dyDescent="0.25">
      <c r="B979" s="42"/>
      <c r="AA979" s="43"/>
    </row>
    <row r="980" spans="2:27" x14ac:dyDescent="0.25">
      <c r="B980" s="42"/>
      <c r="AA980" s="43"/>
    </row>
    <row r="981" spans="2:27" x14ac:dyDescent="0.25">
      <c r="B981" s="42"/>
      <c r="AA981" s="43"/>
    </row>
    <row r="982" spans="2:27" x14ac:dyDescent="0.25">
      <c r="B982" s="42"/>
      <c r="AA982" s="43"/>
    </row>
    <row r="983" spans="2:27" x14ac:dyDescent="0.25">
      <c r="B983" s="42"/>
      <c r="AA983" s="43"/>
    </row>
    <row r="984" spans="2:27" x14ac:dyDescent="0.25">
      <c r="B984" s="42"/>
      <c r="AA984" s="43"/>
    </row>
    <row r="985" spans="2:27" x14ac:dyDescent="0.25">
      <c r="B985" s="42"/>
      <c r="AA985" s="43"/>
    </row>
    <row r="986" spans="2:27" x14ac:dyDescent="0.25">
      <c r="B986" s="42"/>
      <c r="AA986" s="43"/>
    </row>
    <row r="987" spans="2:27" x14ac:dyDescent="0.25">
      <c r="B987" s="42"/>
      <c r="AA987" s="43"/>
    </row>
    <row r="988" spans="2:27" x14ac:dyDescent="0.25">
      <c r="B988" s="42"/>
      <c r="AA988" s="43"/>
    </row>
    <row r="989" spans="2:27" x14ac:dyDescent="0.25">
      <c r="B989" s="42"/>
      <c r="AA989" s="43"/>
    </row>
    <row r="990" spans="2:27" x14ac:dyDescent="0.25">
      <c r="B990" s="42"/>
      <c r="AA990" s="43"/>
    </row>
    <row r="991" spans="2:27" x14ac:dyDescent="0.25">
      <c r="B991" s="42"/>
      <c r="AA991" s="43"/>
    </row>
    <row r="992" spans="2:27" x14ac:dyDescent="0.25">
      <c r="B992" s="42"/>
      <c r="AA992" s="43"/>
    </row>
    <row r="993" spans="2:27" x14ac:dyDescent="0.25">
      <c r="B993" s="42"/>
      <c r="AA993" s="43"/>
    </row>
    <row r="994" spans="2:27" x14ac:dyDescent="0.25">
      <c r="B994" s="42"/>
      <c r="AA994" s="43"/>
    </row>
    <row r="995" spans="2:27" x14ac:dyDescent="0.25">
      <c r="B995" s="42"/>
      <c r="AA995" s="43"/>
    </row>
    <row r="996" spans="2:27" x14ac:dyDescent="0.25">
      <c r="B996" s="42"/>
      <c r="AA996" s="43"/>
    </row>
    <row r="997" spans="2:27" x14ac:dyDescent="0.25">
      <c r="B997" s="42"/>
      <c r="AA997" s="43"/>
    </row>
    <row r="998" spans="2:27" x14ac:dyDescent="0.25">
      <c r="B998" s="42"/>
      <c r="AA998" s="43"/>
    </row>
    <row r="999" spans="2:27" x14ac:dyDescent="0.25">
      <c r="B999" s="42"/>
      <c r="AA999" s="43"/>
    </row>
    <row r="1000" spans="2:27" x14ac:dyDescent="0.25">
      <c r="B1000" s="42"/>
      <c r="AA1000" s="43"/>
    </row>
    <row r="1001" spans="2:27" x14ac:dyDescent="0.25">
      <c r="B1001" s="42"/>
      <c r="AA1001" s="43"/>
    </row>
    <row r="1002" spans="2:27" x14ac:dyDescent="0.25">
      <c r="B1002" s="42"/>
      <c r="AA1002" s="43"/>
    </row>
    <row r="1003" spans="2:27" x14ac:dyDescent="0.25">
      <c r="B1003" s="42"/>
      <c r="AA1003" s="43"/>
    </row>
    <row r="1004" spans="2:27" x14ac:dyDescent="0.25">
      <c r="B1004" s="42"/>
      <c r="AA1004" s="43"/>
    </row>
    <row r="1005" spans="2:27" x14ac:dyDescent="0.25">
      <c r="B1005" s="42"/>
      <c r="AA1005" s="43"/>
    </row>
    <row r="1006" spans="2:27" x14ac:dyDescent="0.25">
      <c r="B1006" s="42"/>
      <c r="AA1006" s="43"/>
    </row>
    <row r="1007" spans="2:27" x14ac:dyDescent="0.25">
      <c r="B1007" s="42"/>
      <c r="AA1007" s="43"/>
    </row>
    <row r="1008" spans="2:27" x14ac:dyDescent="0.25">
      <c r="B1008" s="42"/>
      <c r="AA1008" s="43"/>
    </row>
    <row r="1009" spans="2:27" x14ac:dyDescent="0.25">
      <c r="B1009" s="42"/>
      <c r="AA1009" s="43"/>
    </row>
    <row r="1010" spans="2:27" x14ac:dyDescent="0.25">
      <c r="B1010" s="42"/>
      <c r="AA1010" s="43"/>
    </row>
    <row r="1011" spans="2:27" x14ac:dyDescent="0.25">
      <c r="B1011" s="42"/>
      <c r="AA1011" s="43"/>
    </row>
    <row r="1012" spans="2:27" x14ac:dyDescent="0.25">
      <c r="B1012" s="42"/>
      <c r="AA1012" s="43"/>
    </row>
    <row r="1013" spans="2:27" x14ac:dyDescent="0.25">
      <c r="B1013" s="42"/>
      <c r="AA1013" s="43"/>
    </row>
    <row r="1014" spans="2:27" x14ac:dyDescent="0.25">
      <c r="B1014" s="42"/>
      <c r="AA1014" s="43"/>
    </row>
    <row r="1015" spans="2:27" x14ac:dyDescent="0.25">
      <c r="B1015" s="42"/>
      <c r="AA1015" s="43"/>
    </row>
    <row r="1016" spans="2:27" x14ac:dyDescent="0.25">
      <c r="B1016" s="42"/>
      <c r="AA1016" s="43"/>
    </row>
    <row r="1017" spans="2:27" x14ac:dyDescent="0.25">
      <c r="B1017" s="42"/>
      <c r="AA1017" s="43"/>
    </row>
    <row r="1018" spans="2:27" x14ac:dyDescent="0.25">
      <c r="B1018" s="42"/>
      <c r="AA1018" s="43"/>
    </row>
    <row r="1019" spans="2:27" x14ac:dyDescent="0.25">
      <c r="B1019" s="42"/>
      <c r="AA1019" s="43"/>
    </row>
    <row r="1020" spans="2:27" x14ac:dyDescent="0.25">
      <c r="B1020" s="42"/>
      <c r="AA1020" s="43"/>
    </row>
    <row r="1021" spans="2:27" x14ac:dyDescent="0.25">
      <c r="B1021" s="42"/>
      <c r="AA1021" s="43"/>
    </row>
    <row r="1022" spans="2:27" x14ac:dyDescent="0.25">
      <c r="B1022" s="42"/>
      <c r="AA1022" s="43"/>
    </row>
    <row r="1023" spans="2:27" x14ac:dyDescent="0.25">
      <c r="B1023" s="42"/>
      <c r="AA1023" s="43"/>
    </row>
    <row r="1024" spans="2:27" x14ac:dyDescent="0.25">
      <c r="B1024" s="42"/>
      <c r="AA1024" s="43"/>
    </row>
    <row r="1025" spans="2:27" x14ac:dyDescent="0.25">
      <c r="B1025" s="42"/>
      <c r="AA1025" s="43"/>
    </row>
    <row r="1026" spans="2:27" x14ac:dyDescent="0.25">
      <c r="B1026" s="42"/>
      <c r="AA1026" s="43"/>
    </row>
    <row r="1027" spans="2:27" x14ac:dyDescent="0.25">
      <c r="B1027" s="42"/>
      <c r="AA1027" s="43"/>
    </row>
    <row r="1028" spans="2:27" x14ac:dyDescent="0.25">
      <c r="B1028" s="42"/>
      <c r="AA1028" s="43"/>
    </row>
    <row r="1029" spans="2:27" x14ac:dyDescent="0.25">
      <c r="B1029" s="42"/>
      <c r="AA1029" s="43"/>
    </row>
    <row r="1030" spans="2:27" x14ac:dyDescent="0.25">
      <c r="B1030" s="42"/>
      <c r="AA1030" s="43"/>
    </row>
    <row r="1031" spans="2:27" x14ac:dyDescent="0.25">
      <c r="B1031" s="42"/>
      <c r="AA1031" s="43"/>
    </row>
    <row r="1032" spans="2:27" x14ac:dyDescent="0.25">
      <c r="B1032" s="42"/>
      <c r="AA1032" s="43"/>
    </row>
    <row r="1033" spans="2:27" x14ac:dyDescent="0.25">
      <c r="B1033" s="42"/>
      <c r="AA1033" s="43"/>
    </row>
    <row r="1034" spans="2:27" x14ac:dyDescent="0.25">
      <c r="B1034" s="42"/>
      <c r="AA1034" s="43"/>
    </row>
    <row r="1035" spans="2:27" x14ac:dyDescent="0.25">
      <c r="B1035" s="42"/>
      <c r="AA1035" s="43"/>
    </row>
    <row r="1036" spans="2:27" x14ac:dyDescent="0.25">
      <c r="B1036" s="42"/>
      <c r="AA1036" s="43"/>
    </row>
    <row r="1037" spans="2:27" x14ac:dyDescent="0.25">
      <c r="B1037" s="42"/>
      <c r="AA1037" s="43"/>
    </row>
    <row r="1038" spans="2:27" x14ac:dyDescent="0.25">
      <c r="B1038" s="42"/>
      <c r="AA1038" s="43"/>
    </row>
    <row r="1039" spans="2:27" x14ac:dyDescent="0.25">
      <c r="B1039" s="42"/>
      <c r="AA1039" s="43"/>
    </row>
    <row r="1040" spans="2:27" x14ac:dyDescent="0.25">
      <c r="B1040" s="42"/>
      <c r="AA1040" s="43"/>
    </row>
    <row r="1041" spans="2:27" x14ac:dyDescent="0.25">
      <c r="B1041" s="42"/>
      <c r="AA1041" s="43"/>
    </row>
    <row r="1042" spans="2:27" x14ac:dyDescent="0.25">
      <c r="B1042" s="42"/>
      <c r="AA1042" s="43"/>
    </row>
    <row r="1043" spans="2:27" x14ac:dyDescent="0.25">
      <c r="B1043" s="42"/>
      <c r="AA1043" s="43"/>
    </row>
    <row r="1044" spans="2:27" x14ac:dyDescent="0.25">
      <c r="B1044" s="42"/>
      <c r="AA1044" s="43"/>
    </row>
    <row r="1045" spans="2:27" x14ac:dyDescent="0.25">
      <c r="B1045" s="42"/>
      <c r="AA1045" s="43"/>
    </row>
    <row r="1046" spans="2:27" x14ac:dyDescent="0.25">
      <c r="B1046" s="42"/>
      <c r="AA1046" s="43"/>
    </row>
    <row r="1047" spans="2:27" x14ac:dyDescent="0.25">
      <c r="B1047" s="42"/>
      <c r="AA1047" s="43"/>
    </row>
    <row r="1048" spans="2:27" x14ac:dyDescent="0.25">
      <c r="B1048" s="42"/>
      <c r="AA1048" s="43"/>
    </row>
    <row r="1049" spans="2:27" x14ac:dyDescent="0.25">
      <c r="B1049" s="42"/>
      <c r="AA1049" s="43"/>
    </row>
    <row r="1050" spans="2:27" x14ac:dyDescent="0.25">
      <c r="B1050" s="42"/>
      <c r="AA1050" s="43"/>
    </row>
    <row r="1051" spans="2:27" x14ac:dyDescent="0.25">
      <c r="B1051" s="42"/>
      <c r="AA1051" s="43"/>
    </row>
    <row r="1052" spans="2:27" x14ac:dyDescent="0.25">
      <c r="B1052" s="42"/>
      <c r="AA1052" s="43"/>
    </row>
    <row r="1053" spans="2:27" x14ac:dyDescent="0.25">
      <c r="B1053" s="42"/>
      <c r="AA1053" s="43"/>
    </row>
    <row r="1054" spans="2:27" x14ac:dyDescent="0.25">
      <c r="B1054" s="42"/>
      <c r="AA1054" s="43"/>
    </row>
    <row r="1055" spans="2:27" x14ac:dyDescent="0.25">
      <c r="B1055" s="42"/>
      <c r="AA1055" s="43"/>
    </row>
    <row r="1056" spans="2:27" x14ac:dyDescent="0.25">
      <c r="B1056" s="42"/>
      <c r="AA1056" s="43"/>
    </row>
    <row r="1057" spans="2:27" x14ac:dyDescent="0.25">
      <c r="B1057" s="42"/>
      <c r="AA1057" s="43"/>
    </row>
    <row r="1058" spans="2:27" x14ac:dyDescent="0.25">
      <c r="B1058" s="42"/>
      <c r="AA1058" s="43"/>
    </row>
    <row r="1059" spans="2:27" x14ac:dyDescent="0.25">
      <c r="B1059" s="42"/>
      <c r="AA1059" s="43"/>
    </row>
    <row r="1060" spans="2:27" x14ac:dyDescent="0.25">
      <c r="B1060" s="42"/>
      <c r="AA1060" s="43"/>
    </row>
    <row r="1061" spans="2:27" x14ac:dyDescent="0.25">
      <c r="B1061" s="42"/>
      <c r="AA1061" s="43"/>
    </row>
    <row r="1062" spans="2:27" x14ac:dyDescent="0.25">
      <c r="B1062" s="42"/>
      <c r="AA1062" s="43"/>
    </row>
    <row r="1063" spans="2:27" x14ac:dyDescent="0.25">
      <c r="B1063" s="42"/>
      <c r="AA1063" s="43"/>
    </row>
    <row r="1064" spans="2:27" x14ac:dyDescent="0.25">
      <c r="B1064" s="42"/>
      <c r="AA1064" s="43"/>
    </row>
    <row r="1065" spans="2:27" x14ac:dyDescent="0.25">
      <c r="B1065" s="42"/>
      <c r="AA1065" s="43"/>
    </row>
    <row r="1066" spans="2:27" x14ac:dyDescent="0.25">
      <c r="B1066" s="42"/>
      <c r="AA1066" s="43"/>
    </row>
    <row r="1067" spans="2:27" x14ac:dyDescent="0.25">
      <c r="B1067" s="42"/>
      <c r="AA1067" s="43"/>
    </row>
    <row r="1068" spans="2:27" x14ac:dyDescent="0.25">
      <c r="B1068" s="42"/>
      <c r="AA1068" s="43"/>
    </row>
    <row r="1069" spans="2:27" x14ac:dyDescent="0.25">
      <c r="B1069" s="42"/>
      <c r="AA1069" s="43"/>
    </row>
    <row r="1070" spans="2:27" x14ac:dyDescent="0.25">
      <c r="B1070" s="42"/>
      <c r="AA1070" s="43"/>
    </row>
    <row r="1071" spans="2:27" x14ac:dyDescent="0.25">
      <c r="B1071" s="42"/>
      <c r="AA1071" s="43"/>
    </row>
    <row r="1072" spans="2:27" x14ac:dyDescent="0.25">
      <c r="B1072" s="42"/>
      <c r="AA1072" s="43"/>
    </row>
    <row r="1073" spans="2:27" x14ac:dyDescent="0.25">
      <c r="B1073" s="42"/>
      <c r="AA1073" s="43"/>
    </row>
    <row r="1074" spans="2:27" x14ac:dyDescent="0.25">
      <c r="B1074" s="42"/>
      <c r="AA1074" s="43"/>
    </row>
    <row r="1075" spans="2:27" x14ac:dyDescent="0.25">
      <c r="B1075" s="42"/>
      <c r="AA1075" s="43"/>
    </row>
    <row r="1076" spans="2:27" x14ac:dyDescent="0.25">
      <c r="B1076" s="42"/>
      <c r="AA1076" s="43"/>
    </row>
    <row r="1077" spans="2:27" x14ac:dyDescent="0.25">
      <c r="B1077" s="42"/>
      <c r="AA1077" s="43"/>
    </row>
    <row r="1078" spans="2:27" x14ac:dyDescent="0.25">
      <c r="B1078" s="42"/>
      <c r="AA1078" s="43"/>
    </row>
    <row r="1079" spans="2:27" x14ac:dyDescent="0.25">
      <c r="B1079" s="42"/>
      <c r="AA1079" s="43"/>
    </row>
    <row r="1080" spans="2:27" x14ac:dyDescent="0.25">
      <c r="B1080" s="42"/>
      <c r="AA1080" s="43"/>
    </row>
    <row r="1081" spans="2:27" x14ac:dyDescent="0.25">
      <c r="B1081" s="42"/>
      <c r="AA1081" s="43"/>
    </row>
    <row r="1082" spans="2:27" x14ac:dyDescent="0.25">
      <c r="B1082" s="42"/>
      <c r="AA1082" s="43"/>
    </row>
    <row r="1083" spans="2:27" x14ac:dyDescent="0.25">
      <c r="B1083" s="42"/>
      <c r="AA1083" s="43"/>
    </row>
    <row r="1084" spans="2:27" x14ac:dyDescent="0.25">
      <c r="B1084" s="42"/>
      <c r="AA1084" s="43"/>
    </row>
    <row r="1085" spans="2:27" x14ac:dyDescent="0.25">
      <c r="B1085" s="42"/>
      <c r="AA1085" s="43"/>
    </row>
    <row r="1086" spans="2:27" x14ac:dyDescent="0.25">
      <c r="B1086" s="42"/>
      <c r="AA1086" s="43"/>
    </row>
    <row r="1087" spans="2:27" x14ac:dyDescent="0.25">
      <c r="B1087" s="42"/>
      <c r="AA1087" s="43"/>
    </row>
    <row r="1088" spans="2:27" x14ac:dyDescent="0.25">
      <c r="B1088" s="42"/>
      <c r="AA1088" s="43"/>
    </row>
    <row r="1089" spans="2:27" x14ac:dyDescent="0.25">
      <c r="B1089" s="42"/>
      <c r="AA1089" s="43"/>
    </row>
    <row r="1090" spans="2:27" x14ac:dyDescent="0.25">
      <c r="B1090" s="42"/>
      <c r="AA1090" s="43"/>
    </row>
    <row r="1091" spans="2:27" x14ac:dyDescent="0.25">
      <c r="B1091" s="42"/>
      <c r="AA1091" s="43"/>
    </row>
    <row r="1092" spans="2:27" x14ac:dyDescent="0.25">
      <c r="B1092" s="42"/>
      <c r="AA1092" s="43"/>
    </row>
    <row r="1093" spans="2:27" x14ac:dyDescent="0.25">
      <c r="B1093" s="42"/>
      <c r="AA1093" s="43"/>
    </row>
    <row r="1094" spans="2:27" x14ac:dyDescent="0.25">
      <c r="B1094" s="42"/>
      <c r="AA1094" s="43"/>
    </row>
    <row r="1095" spans="2:27" x14ac:dyDescent="0.25">
      <c r="B1095" s="42"/>
      <c r="AA1095" s="43"/>
    </row>
    <row r="1096" spans="2:27" x14ac:dyDescent="0.25">
      <c r="B1096" s="42"/>
      <c r="AA1096" s="43"/>
    </row>
    <row r="1097" spans="2:27" x14ac:dyDescent="0.25">
      <c r="B1097" s="42"/>
      <c r="AA1097" s="43"/>
    </row>
    <row r="1098" spans="2:27" x14ac:dyDescent="0.25">
      <c r="B1098" s="42"/>
      <c r="AA1098" s="43"/>
    </row>
    <row r="1099" spans="2:27" x14ac:dyDescent="0.25">
      <c r="B1099" s="42"/>
      <c r="AA1099" s="43"/>
    </row>
    <row r="1100" spans="2:27" x14ac:dyDescent="0.25">
      <c r="B1100" s="42"/>
      <c r="AA1100" s="43"/>
    </row>
    <row r="1101" spans="2:27" x14ac:dyDescent="0.25">
      <c r="B1101" s="42"/>
      <c r="AA1101" s="43"/>
    </row>
    <row r="1102" spans="2:27" x14ac:dyDescent="0.25">
      <c r="B1102" s="42"/>
      <c r="AA1102" s="43"/>
    </row>
    <row r="1103" spans="2:27" x14ac:dyDescent="0.25">
      <c r="B1103" s="42"/>
      <c r="AA1103" s="43"/>
    </row>
    <row r="1104" spans="2:27" x14ac:dyDescent="0.25">
      <c r="B1104" s="42"/>
      <c r="AA1104" s="43"/>
    </row>
    <row r="1105" spans="2:27" x14ac:dyDescent="0.25">
      <c r="B1105" s="42"/>
      <c r="AA1105" s="43"/>
    </row>
    <row r="1106" spans="2:27" x14ac:dyDescent="0.25">
      <c r="B1106" s="42"/>
      <c r="AA1106" s="43"/>
    </row>
    <row r="1107" spans="2:27" x14ac:dyDescent="0.25">
      <c r="B1107" s="42"/>
      <c r="AA1107" s="43"/>
    </row>
    <row r="1108" spans="2:27" x14ac:dyDescent="0.25">
      <c r="B1108" s="42"/>
      <c r="AA1108" s="43"/>
    </row>
    <row r="1109" spans="2:27" x14ac:dyDescent="0.25">
      <c r="B1109" s="42"/>
      <c r="AA1109" s="43"/>
    </row>
    <row r="1110" spans="2:27" x14ac:dyDescent="0.25">
      <c r="B1110" s="42"/>
      <c r="AA1110" s="43"/>
    </row>
    <row r="1111" spans="2:27" x14ac:dyDescent="0.25">
      <c r="B1111" s="42"/>
      <c r="AA1111" s="43"/>
    </row>
    <row r="1112" spans="2:27" x14ac:dyDescent="0.25">
      <c r="B1112" s="42"/>
      <c r="AA1112" s="43"/>
    </row>
    <row r="1113" spans="2:27" x14ac:dyDescent="0.25">
      <c r="B1113" s="42"/>
      <c r="AA1113" s="43"/>
    </row>
    <row r="1114" spans="2:27" x14ac:dyDescent="0.25">
      <c r="B1114" s="42"/>
      <c r="AA1114" s="43"/>
    </row>
    <row r="1115" spans="2:27" x14ac:dyDescent="0.25">
      <c r="B1115" s="42"/>
      <c r="AA1115" s="43"/>
    </row>
    <row r="1116" spans="2:27" x14ac:dyDescent="0.25">
      <c r="B1116" s="42"/>
      <c r="AA1116" s="43"/>
    </row>
    <row r="1117" spans="2:27" x14ac:dyDescent="0.25">
      <c r="B1117" s="42"/>
      <c r="AA1117" s="43"/>
    </row>
    <row r="1118" spans="2:27" x14ac:dyDescent="0.25">
      <c r="B1118" s="42"/>
      <c r="AA1118" s="43"/>
    </row>
    <row r="1119" spans="2:27" x14ac:dyDescent="0.25">
      <c r="B1119" s="42"/>
      <c r="AA1119" s="43"/>
    </row>
    <row r="1120" spans="2:27" x14ac:dyDescent="0.25">
      <c r="B1120" s="42"/>
      <c r="AA1120" s="43"/>
    </row>
    <row r="1121" spans="2:27" x14ac:dyDescent="0.25">
      <c r="B1121" s="42"/>
      <c r="AA1121" s="43"/>
    </row>
    <row r="1122" spans="2:27" x14ac:dyDescent="0.25">
      <c r="B1122" s="42"/>
      <c r="AA1122" s="43"/>
    </row>
    <row r="1123" spans="2:27" x14ac:dyDescent="0.25">
      <c r="B1123" s="42"/>
      <c r="AA1123" s="43"/>
    </row>
    <row r="1124" spans="2:27" x14ac:dyDescent="0.25">
      <c r="B1124" s="42"/>
      <c r="AA1124" s="43"/>
    </row>
    <row r="1125" spans="2:27" x14ac:dyDescent="0.25">
      <c r="B1125" s="42"/>
      <c r="AA1125" s="43"/>
    </row>
    <row r="1126" spans="2:27" x14ac:dyDescent="0.25">
      <c r="B1126" s="42"/>
      <c r="AA1126" s="43"/>
    </row>
    <row r="1127" spans="2:27" x14ac:dyDescent="0.25">
      <c r="B1127" s="42"/>
      <c r="AA1127" s="43"/>
    </row>
    <row r="1128" spans="2:27" x14ac:dyDescent="0.25">
      <c r="B1128" s="42"/>
      <c r="AA1128" s="43"/>
    </row>
    <row r="1129" spans="2:27" x14ac:dyDescent="0.25">
      <c r="B1129" s="42"/>
      <c r="AA1129" s="43"/>
    </row>
    <row r="1130" spans="2:27" x14ac:dyDescent="0.25">
      <c r="B1130" s="42"/>
      <c r="AA1130" s="43"/>
    </row>
    <row r="1131" spans="2:27" x14ac:dyDescent="0.25">
      <c r="B1131" s="42"/>
      <c r="AA1131" s="43"/>
    </row>
    <row r="1132" spans="2:27" x14ac:dyDescent="0.25">
      <c r="B1132" s="42"/>
      <c r="AA1132" s="43"/>
    </row>
    <row r="1133" spans="2:27" x14ac:dyDescent="0.25">
      <c r="B1133" s="42"/>
      <c r="AA1133" s="43"/>
    </row>
    <row r="1134" spans="2:27" x14ac:dyDescent="0.25">
      <c r="B1134" s="42"/>
      <c r="AA1134" s="43"/>
    </row>
    <row r="1135" spans="2:27" x14ac:dyDescent="0.25">
      <c r="B1135" s="42"/>
      <c r="AA1135" s="43"/>
    </row>
    <row r="1136" spans="2:27" x14ac:dyDescent="0.25">
      <c r="B1136" s="42"/>
      <c r="AA1136" s="43"/>
    </row>
    <row r="1137" spans="2:27" x14ac:dyDescent="0.25">
      <c r="B1137" s="42"/>
      <c r="AA1137" s="43"/>
    </row>
    <row r="1138" spans="2:27" x14ac:dyDescent="0.25">
      <c r="B1138" s="42"/>
      <c r="AA1138" s="43"/>
    </row>
    <row r="1139" spans="2:27" x14ac:dyDescent="0.25">
      <c r="B1139" s="42"/>
      <c r="AA1139" s="43"/>
    </row>
    <row r="1140" spans="2:27" x14ac:dyDescent="0.25">
      <c r="B1140" s="42"/>
      <c r="AA1140" s="43"/>
    </row>
    <row r="1141" spans="2:27" x14ac:dyDescent="0.25">
      <c r="B1141" s="42"/>
      <c r="AA1141" s="43"/>
    </row>
    <row r="1142" spans="2:27" x14ac:dyDescent="0.25">
      <c r="B1142" s="42"/>
      <c r="AA1142" s="43"/>
    </row>
    <row r="1143" spans="2:27" x14ac:dyDescent="0.25">
      <c r="B1143" s="42"/>
      <c r="AA1143" s="43"/>
    </row>
    <row r="1144" spans="2:27" x14ac:dyDescent="0.25">
      <c r="B1144" s="42"/>
      <c r="AA1144" s="43"/>
    </row>
    <row r="1145" spans="2:27" x14ac:dyDescent="0.25">
      <c r="B1145" s="42"/>
      <c r="AA1145" s="43"/>
    </row>
    <row r="1146" spans="2:27" x14ac:dyDescent="0.25">
      <c r="B1146" s="42"/>
      <c r="AA1146" s="43"/>
    </row>
    <row r="1147" spans="2:27" x14ac:dyDescent="0.25">
      <c r="B1147" s="42"/>
      <c r="AA1147" s="43"/>
    </row>
    <row r="1148" spans="2:27" x14ac:dyDescent="0.25">
      <c r="B1148" s="42"/>
      <c r="AA1148" s="43"/>
    </row>
    <row r="1149" spans="2:27" x14ac:dyDescent="0.25">
      <c r="B1149" s="42"/>
      <c r="AA1149" s="43"/>
    </row>
    <row r="1150" spans="2:27" x14ac:dyDescent="0.25">
      <c r="B1150" s="42"/>
      <c r="AA1150" s="43"/>
    </row>
    <row r="1151" spans="2:27" x14ac:dyDescent="0.25">
      <c r="B1151" s="42"/>
      <c r="AA1151" s="43"/>
    </row>
    <row r="1152" spans="2:27" x14ac:dyDescent="0.25">
      <c r="B1152" s="42"/>
      <c r="AA1152" s="43"/>
    </row>
    <row r="1153" spans="2:27" x14ac:dyDescent="0.25">
      <c r="B1153" s="42"/>
      <c r="AA1153" s="43"/>
    </row>
    <row r="1154" spans="2:27" x14ac:dyDescent="0.25">
      <c r="B1154" s="42"/>
      <c r="AA1154" s="43"/>
    </row>
    <row r="1155" spans="2:27" x14ac:dyDescent="0.25">
      <c r="B1155" s="42"/>
      <c r="AA1155" s="43"/>
    </row>
    <row r="1156" spans="2:27" x14ac:dyDescent="0.25">
      <c r="B1156" s="42"/>
      <c r="AA1156" s="43"/>
    </row>
    <row r="1157" spans="2:27" x14ac:dyDescent="0.25">
      <c r="B1157" s="42"/>
      <c r="AA1157" s="43"/>
    </row>
    <row r="1158" spans="2:27" x14ac:dyDescent="0.25">
      <c r="B1158" s="42"/>
      <c r="AA1158" s="43"/>
    </row>
    <row r="1159" spans="2:27" x14ac:dyDescent="0.25">
      <c r="B1159" s="42"/>
      <c r="AA1159" s="43"/>
    </row>
    <row r="1160" spans="2:27" x14ac:dyDescent="0.25">
      <c r="B1160" s="42"/>
      <c r="AA1160" s="43"/>
    </row>
    <row r="1161" spans="2:27" x14ac:dyDescent="0.25">
      <c r="B1161" s="42"/>
      <c r="AA1161" s="43"/>
    </row>
    <row r="1162" spans="2:27" x14ac:dyDescent="0.25">
      <c r="B1162" s="42"/>
      <c r="AA1162" s="43"/>
    </row>
    <row r="1163" spans="2:27" x14ac:dyDescent="0.25">
      <c r="B1163" s="42"/>
      <c r="AA1163" s="43"/>
    </row>
    <row r="1164" spans="2:27" x14ac:dyDescent="0.25">
      <c r="B1164" s="42"/>
      <c r="AA1164" s="43"/>
    </row>
    <row r="1165" spans="2:27" x14ac:dyDescent="0.25">
      <c r="B1165" s="42"/>
      <c r="AA1165" s="43"/>
    </row>
    <row r="1166" spans="2:27" x14ac:dyDescent="0.25">
      <c r="B1166" s="42"/>
      <c r="AA1166" s="43"/>
    </row>
    <row r="1167" spans="2:27" x14ac:dyDescent="0.25">
      <c r="B1167" s="42"/>
      <c r="AA1167" s="43"/>
    </row>
    <row r="1168" spans="2:27" x14ac:dyDescent="0.25">
      <c r="B1168" s="42"/>
      <c r="AA1168" s="43"/>
    </row>
    <row r="1169" spans="2:27" x14ac:dyDescent="0.25">
      <c r="B1169" s="42"/>
      <c r="AA1169" s="43"/>
    </row>
    <row r="1170" spans="2:27" x14ac:dyDescent="0.25">
      <c r="B1170" s="42"/>
      <c r="AA1170" s="43"/>
    </row>
    <row r="1171" spans="2:27" x14ac:dyDescent="0.25">
      <c r="B1171" s="42"/>
      <c r="AA1171" s="43"/>
    </row>
    <row r="1172" spans="2:27" x14ac:dyDescent="0.25">
      <c r="B1172" s="42"/>
      <c r="AA1172" s="43"/>
    </row>
    <row r="1173" spans="2:27" x14ac:dyDescent="0.25">
      <c r="B1173" s="42"/>
      <c r="AA1173" s="43"/>
    </row>
    <row r="1174" spans="2:27" x14ac:dyDescent="0.25">
      <c r="B1174" s="42"/>
      <c r="AA1174" s="43"/>
    </row>
    <row r="1175" spans="2:27" x14ac:dyDescent="0.25">
      <c r="B1175" s="42"/>
      <c r="AA1175" s="43"/>
    </row>
    <row r="1176" spans="2:27" x14ac:dyDescent="0.25">
      <c r="B1176" s="42"/>
      <c r="AA1176" s="43"/>
    </row>
    <row r="1177" spans="2:27" x14ac:dyDescent="0.25">
      <c r="B1177" s="42"/>
      <c r="AA1177" s="43"/>
    </row>
    <row r="1178" spans="2:27" x14ac:dyDescent="0.25">
      <c r="B1178" s="42"/>
      <c r="AA1178" s="43"/>
    </row>
    <row r="1179" spans="2:27" x14ac:dyDescent="0.25">
      <c r="B1179" s="42"/>
      <c r="AA1179" s="43"/>
    </row>
    <row r="1180" spans="2:27" x14ac:dyDescent="0.25">
      <c r="B1180" s="42"/>
      <c r="AA1180" s="43"/>
    </row>
    <row r="1181" spans="2:27" x14ac:dyDescent="0.25">
      <c r="B1181" s="42"/>
      <c r="AA1181" s="43"/>
    </row>
    <row r="1182" spans="2:27" x14ac:dyDescent="0.25">
      <c r="B1182" s="42"/>
      <c r="AA1182" s="43"/>
    </row>
    <row r="1183" spans="2:27" x14ac:dyDescent="0.25">
      <c r="B1183" s="42"/>
      <c r="AA1183" s="43"/>
    </row>
    <row r="1184" spans="2:27" x14ac:dyDescent="0.25">
      <c r="B1184" s="42"/>
      <c r="AA1184" s="43"/>
    </row>
    <row r="1185" spans="2:27" x14ac:dyDescent="0.25">
      <c r="B1185" s="42"/>
      <c r="AA1185" s="43"/>
    </row>
    <row r="1186" spans="2:27" x14ac:dyDescent="0.25">
      <c r="B1186" s="42"/>
      <c r="AA1186" s="43"/>
    </row>
    <row r="1187" spans="2:27" x14ac:dyDescent="0.25">
      <c r="B1187" s="42"/>
      <c r="AA1187" s="43"/>
    </row>
    <row r="1188" spans="2:27" x14ac:dyDescent="0.25">
      <c r="B1188" s="42"/>
      <c r="AA1188" s="43"/>
    </row>
    <row r="1189" spans="2:27" x14ac:dyDescent="0.25">
      <c r="B1189" s="42"/>
      <c r="AA1189" s="43"/>
    </row>
    <row r="1190" spans="2:27" x14ac:dyDescent="0.25">
      <c r="B1190" s="42"/>
      <c r="AA1190" s="43"/>
    </row>
    <row r="1191" spans="2:27" x14ac:dyDescent="0.25">
      <c r="B1191" s="42"/>
      <c r="AA1191" s="43"/>
    </row>
    <row r="1192" spans="2:27" x14ac:dyDescent="0.25">
      <c r="B1192" s="42"/>
      <c r="AA1192" s="43"/>
    </row>
    <row r="1193" spans="2:27" x14ac:dyDescent="0.25">
      <c r="B1193" s="42"/>
      <c r="AA1193" s="43"/>
    </row>
    <row r="1194" spans="2:27" x14ac:dyDescent="0.25">
      <c r="B1194" s="42"/>
      <c r="AA1194" s="43"/>
    </row>
    <row r="1195" spans="2:27" x14ac:dyDescent="0.25">
      <c r="B1195" s="42"/>
      <c r="AA1195" s="43"/>
    </row>
    <row r="1196" spans="2:27" x14ac:dyDescent="0.25">
      <c r="B1196" s="42"/>
      <c r="AA1196" s="43"/>
    </row>
    <row r="1197" spans="2:27" x14ac:dyDescent="0.25">
      <c r="B1197" s="42"/>
      <c r="AA1197" s="43"/>
    </row>
    <row r="1198" spans="2:27" x14ac:dyDescent="0.25">
      <c r="B1198" s="42"/>
      <c r="AA1198" s="43"/>
    </row>
    <row r="1199" spans="2:27" x14ac:dyDescent="0.25">
      <c r="B1199" s="42"/>
      <c r="AA1199" s="43"/>
    </row>
    <row r="1200" spans="2:27" x14ac:dyDescent="0.25">
      <c r="B1200" s="42"/>
      <c r="AA1200" s="43"/>
    </row>
    <row r="1201" spans="2:27" x14ac:dyDescent="0.25">
      <c r="B1201" s="42"/>
      <c r="AA1201" s="43"/>
    </row>
    <row r="1202" spans="2:27" x14ac:dyDescent="0.25">
      <c r="B1202" s="42"/>
      <c r="AA1202" s="43"/>
    </row>
    <row r="1203" spans="2:27" x14ac:dyDescent="0.25">
      <c r="B1203" s="42"/>
      <c r="AA1203" s="43"/>
    </row>
    <row r="1204" spans="2:27" x14ac:dyDescent="0.25">
      <c r="B1204" s="42"/>
      <c r="AA1204" s="43"/>
    </row>
    <row r="1205" spans="2:27" x14ac:dyDescent="0.25">
      <c r="B1205" s="42"/>
      <c r="AA1205" s="43"/>
    </row>
    <row r="1206" spans="2:27" x14ac:dyDescent="0.25">
      <c r="B1206" s="42"/>
      <c r="AA1206" s="43"/>
    </row>
    <row r="1207" spans="2:27" x14ac:dyDescent="0.25">
      <c r="B1207" s="42"/>
      <c r="AA1207" s="43"/>
    </row>
    <row r="1208" spans="2:27" x14ac:dyDescent="0.25">
      <c r="B1208" s="42"/>
      <c r="AA1208" s="43"/>
    </row>
    <row r="1209" spans="2:27" x14ac:dyDescent="0.25">
      <c r="B1209" s="42"/>
      <c r="AA1209" s="43"/>
    </row>
    <row r="1210" spans="2:27" x14ac:dyDescent="0.25">
      <c r="B1210" s="42"/>
      <c r="AA1210" s="43"/>
    </row>
    <row r="1211" spans="2:27" x14ac:dyDescent="0.25">
      <c r="B1211" s="42"/>
      <c r="AA1211" s="43"/>
    </row>
    <row r="1212" spans="2:27" x14ac:dyDescent="0.25">
      <c r="B1212" s="42"/>
      <c r="AA1212" s="43"/>
    </row>
    <row r="1213" spans="2:27" x14ac:dyDescent="0.25">
      <c r="B1213" s="42"/>
      <c r="AA1213" s="43"/>
    </row>
    <row r="1214" spans="2:27" x14ac:dyDescent="0.25">
      <c r="B1214" s="42"/>
      <c r="AA1214" s="43"/>
    </row>
    <row r="1215" spans="2:27" x14ac:dyDescent="0.25">
      <c r="B1215" s="42"/>
      <c r="AA1215" s="43"/>
    </row>
    <row r="1216" spans="2:27" x14ac:dyDescent="0.25">
      <c r="B1216" s="42"/>
      <c r="AA1216" s="43"/>
    </row>
    <row r="1217" spans="2:27" x14ac:dyDescent="0.25">
      <c r="B1217" s="42"/>
      <c r="AA1217" s="43"/>
    </row>
    <row r="1218" spans="2:27" x14ac:dyDescent="0.25">
      <c r="B1218" s="42"/>
      <c r="AA1218" s="43"/>
    </row>
    <row r="1219" spans="2:27" x14ac:dyDescent="0.25">
      <c r="B1219" s="42"/>
      <c r="AA1219" s="43"/>
    </row>
    <row r="1220" spans="2:27" x14ac:dyDescent="0.25">
      <c r="B1220" s="42"/>
      <c r="AA1220" s="43"/>
    </row>
    <row r="1221" spans="2:27" x14ac:dyDescent="0.25">
      <c r="B1221" s="42"/>
      <c r="AA1221" s="43"/>
    </row>
    <row r="1222" spans="2:27" x14ac:dyDescent="0.25">
      <c r="B1222" s="42"/>
      <c r="AA1222" s="43"/>
    </row>
    <row r="1223" spans="2:27" x14ac:dyDescent="0.25">
      <c r="B1223" s="42"/>
      <c r="AA1223" s="43"/>
    </row>
    <row r="1224" spans="2:27" x14ac:dyDescent="0.25">
      <c r="B1224" s="42"/>
      <c r="AA1224" s="43"/>
    </row>
    <row r="1225" spans="2:27" x14ac:dyDescent="0.25">
      <c r="B1225" s="42"/>
      <c r="AA1225" s="43"/>
    </row>
    <row r="1226" spans="2:27" x14ac:dyDescent="0.25">
      <c r="B1226" s="42"/>
      <c r="AA1226" s="43"/>
    </row>
    <row r="1227" spans="2:27" x14ac:dyDescent="0.25">
      <c r="B1227" s="42"/>
      <c r="AA1227" s="43"/>
    </row>
    <row r="1228" spans="2:27" x14ac:dyDescent="0.25">
      <c r="B1228" s="42"/>
      <c r="AA1228" s="43"/>
    </row>
    <row r="1229" spans="2:27" x14ac:dyDescent="0.25">
      <c r="B1229" s="42"/>
      <c r="AA1229" s="43"/>
    </row>
    <row r="1230" spans="2:27" x14ac:dyDescent="0.25">
      <c r="B1230" s="42"/>
      <c r="AA1230" s="43"/>
    </row>
    <row r="1231" spans="2:27" x14ac:dyDescent="0.25">
      <c r="B1231" s="42"/>
      <c r="AA1231" s="43"/>
    </row>
    <row r="1232" spans="2:27" x14ac:dyDescent="0.25">
      <c r="B1232" s="42"/>
      <c r="AA1232" s="43"/>
    </row>
    <row r="1233" spans="2:27" x14ac:dyDescent="0.25">
      <c r="B1233" s="42"/>
      <c r="AA1233" s="43"/>
    </row>
    <row r="1234" spans="2:27" x14ac:dyDescent="0.25">
      <c r="B1234" s="42"/>
      <c r="AA1234" s="43"/>
    </row>
    <row r="1235" spans="2:27" x14ac:dyDescent="0.25">
      <c r="B1235" s="42"/>
      <c r="AA1235" s="43"/>
    </row>
    <row r="1236" spans="2:27" x14ac:dyDescent="0.25">
      <c r="B1236" s="42"/>
      <c r="AA1236" s="43"/>
    </row>
    <row r="1237" spans="2:27" x14ac:dyDescent="0.25">
      <c r="B1237" s="42"/>
      <c r="AA1237" s="43"/>
    </row>
    <row r="1238" spans="2:27" x14ac:dyDescent="0.25">
      <c r="B1238" s="42"/>
      <c r="AA1238" s="43"/>
    </row>
    <row r="1239" spans="2:27" x14ac:dyDescent="0.25">
      <c r="B1239" s="42"/>
      <c r="AA1239" s="43"/>
    </row>
    <row r="1240" spans="2:27" x14ac:dyDescent="0.25">
      <c r="B1240" s="42"/>
      <c r="AA1240" s="43"/>
    </row>
    <row r="1241" spans="2:27" x14ac:dyDescent="0.25">
      <c r="B1241" s="42"/>
      <c r="AA1241" s="43"/>
    </row>
    <row r="1242" spans="2:27" x14ac:dyDescent="0.25">
      <c r="B1242" s="42"/>
      <c r="AA1242" s="43"/>
    </row>
    <row r="1243" spans="2:27" x14ac:dyDescent="0.25">
      <c r="B1243" s="42"/>
      <c r="AA1243" s="43"/>
    </row>
    <row r="1244" spans="2:27" x14ac:dyDescent="0.25">
      <c r="B1244" s="42"/>
      <c r="AA1244" s="43"/>
    </row>
    <row r="1245" spans="2:27" x14ac:dyDescent="0.25">
      <c r="B1245" s="42"/>
      <c r="AA1245" s="43"/>
    </row>
    <row r="1246" spans="2:27" x14ac:dyDescent="0.25">
      <c r="B1246" s="42"/>
      <c r="AA1246" s="43"/>
    </row>
    <row r="1247" spans="2:27" x14ac:dyDescent="0.25">
      <c r="B1247" s="42"/>
      <c r="AA1247" s="43"/>
    </row>
    <row r="1248" spans="2:27" x14ac:dyDescent="0.25">
      <c r="B1248" s="42"/>
      <c r="AA1248" s="43"/>
    </row>
    <row r="1249" spans="2:27" x14ac:dyDescent="0.25">
      <c r="B1249" s="42"/>
      <c r="AA1249" s="43"/>
    </row>
    <row r="1250" spans="2:27" x14ac:dyDescent="0.25">
      <c r="B1250" s="42"/>
      <c r="AA1250" s="43"/>
    </row>
    <row r="1251" spans="2:27" x14ac:dyDescent="0.25">
      <c r="B1251" s="42"/>
      <c r="AA1251" s="43"/>
    </row>
    <row r="1252" spans="2:27" x14ac:dyDescent="0.25">
      <c r="B1252" s="42"/>
      <c r="AA1252" s="43"/>
    </row>
    <row r="1253" spans="2:27" x14ac:dyDescent="0.25">
      <c r="B1253" s="42"/>
      <c r="AA1253" s="43"/>
    </row>
    <row r="1254" spans="2:27" x14ac:dyDescent="0.25">
      <c r="B1254" s="42"/>
      <c r="AA1254" s="43"/>
    </row>
    <row r="1255" spans="2:27" x14ac:dyDescent="0.25">
      <c r="B1255" s="42"/>
      <c r="AA1255" s="43"/>
    </row>
    <row r="1256" spans="2:27" x14ac:dyDescent="0.25">
      <c r="B1256" s="42"/>
      <c r="AA1256" s="43"/>
    </row>
    <row r="1257" spans="2:27" x14ac:dyDescent="0.25">
      <c r="B1257" s="42"/>
      <c r="AA1257" s="43"/>
    </row>
    <row r="1258" spans="2:27" x14ac:dyDescent="0.25">
      <c r="B1258" s="42"/>
      <c r="AA1258" s="43"/>
    </row>
    <row r="1259" spans="2:27" x14ac:dyDescent="0.25">
      <c r="B1259" s="42"/>
      <c r="AA1259" s="43"/>
    </row>
    <row r="1260" spans="2:27" x14ac:dyDescent="0.25">
      <c r="B1260" s="42"/>
      <c r="AA1260" s="43"/>
    </row>
    <row r="1261" spans="2:27" x14ac:dyDescent="0.25">
      <c r="B1261" s="42"/>
      <c r="AA1261" s="43"/>
    </row>
    <row r="1262" spans="2:27" x14ac:dyDescent="0.25">
      <c r="B1262" s="42"/>
      <c r="AA1262" s="43"/>
    </row>
    <row r="1263" spans="2:27" x14ac:dyDescent="0.25">
      <c r="B1263" s="42"/>
      <c r="AA1263" s="43"/>
    </row>
    <row r="1264" spans="2:27" x14ac:dyDescent="0.25">
      <c r="B1264" s="42"/>
      <c r="AA1264" s="43"/>
    </row>
    <row r="1265" spans="2:27" x14ac:dyDescent="0.25">
      <c r="B1265" s="42"/>
      <c r="AA1265" s="43"/>
    </row>
    <row r="1266" spans="2:27" x14ac:dyDescent="0.25">
      <c r="B1266" s="42"/>
      <c r="AA1266" s="43"/>
    </row>
    <row r="1267" spans="2:27" x14ac:dyDescent="0.25">
      <c r="B1267" s="42"/>
      <c r="AA1267" s="43"/>
    </row>
    <row r="1268" spans="2:27" x14ac:dyDescent="0.25">
      <c r="B1268" s="42"/>
      <c r="AA1268" s="43"/>
    </row>
    <row r="1269" spans="2:27" x14ac:dyDescent="0.25">
      <c r="B1269" s="42"/>
      <c r="AA1269" s="43"/>
    </row>
    <row r="1270" spans="2:27" x14ac:dyDescent="0.25">
      <c r="B1270" s="42"/>
      <c r="AA1270" s="43"/>
    </row>
    <row r="1271" spans="2:27" x14ac:dyDescent="0.25">
      <c r="B1271" s="42"/>
      <c r="AA1271" s="43"/>
    </row>
    <row r="1272" spans="2:27" x14ac:dyDescent="0.25">
      <c r="B1272" s="42"/>
      <c r="AA1272" s="43"/>
    </row>
    <row r="1273" spans="2:27" x14ac:dyDescent="0.25">
      <c r="B1273" s="42"/>
      <c r="AA1273" s="43"/>
    </row>
    <row r="1274" spans="2:27" x14ac:dyDescent="0.25">
      <c r="B1274" s="42"/>
      <c r="AA1274" s="43"/>
    </row>
    <row r="1275" spans="2:27" x14ac:dyDescent="0.25">
      <c r="B1275" s="42"/>
      <c r="AA1275" s="43"/>
    </row>
    <row r="1276" spans="2:27" x14ac:dyDescent="0.25">
      <c r="B1276" s="42"/>
      <c r="AA1276" s="43"/>
    </row>
    <row r="1277" spans="2:27" x14ac:dyDescent="0.25">
      <c r="B1277" s="42"/>
      <c r="AA1277" s="43"/>
    </row>
    <row r="1278" spans="2:27" x14ac:dyDescent="0.25">
      <c r="B1278" s="42"/>
      <c r="AA1278" s="43"/>
    </row>
    <row r="1279" spans="2:27" x14ac:dyDescent="0.25">
      <c r="B1279" s="42"/>
      <c r="AA1279" s="43"/>
    </row>
    <row r="1280" spans="2:27" x14ac:dyDescent="0.25">
      <c r="B1280" s="42"/>
      <c r="AA1280" s="43"/>
    </row>
    <row r="1281" spans="2:27" x14ac:dyDescent="0.25">
      <c r="B1281" s="42"/>
      <c r="AA1281" s="43"/>
    </row>
    <row r="1282" spans="2:27" x14ac:dyDescent="0.25">
      <c r="B1282" s="42"/>
      <c r="AA1282" s="43"/>
    </row>
    <row r="1283" spans="2:27" x14ac:dyDescent="0.25">
      <c r="B1283" s="42"/>
      <c r="AA1283" s="43"/>
    </row>
    <row r="1284" spans="2:27" x14ac:dyDescent="0.25">
      <c r="B1284" s="42"/>
      <c r="AA1284" s="43"/>
    </row>
    <row r="1285" spans="2:27" x14ac:dyDescent="0.25">
      <c r="B1285" s="42"/>
      <c r="AA1285" s="43"/>
    </row>
    <row r="1286" spans="2:27" x14ac:dyDescent="0.25">
      <c r="B1286" s="42"/>
      <c r="AA1286" s="43"/>
    </row>
    <row r="1287" spans="2:27" x14ac:dyDescent="0.25">
      <c r="B1287" s="42"/>
      <c r="AA1287" s="43"/>
    </row>
    <row r="1288" spans="2:27" x14ac:dyDescent="0.25">
      <c r="B1288" s="42"/>
      <c r="AA1288" s="43"/>
    </row>
    <row r="1289" spans="2:27" x14ac:dyDescent="0.25">
      <c r="B1289" s="42"/>
      <c r="AA1289" s="43"/>
    </row>
    <row r="1290" spans="2:27" x14ac:dyDescent="0.25">
      <c r="B1290" s="42"/>
      <c r="AA1290" s="43"/>
    </row>
    <row r="1291" spans="2:27" x14ac:dyDescent="0.25">
      <c r="B1291" s="42"/>
      <c r="AA1291" s="43"/>
    </row>
    <row r="1292" spans="2:27" x14ac:dyDescent="0.25">
      <c r="B1292" s="42"/>
      <c r="AA1292" s="43"/>
    </row>
    <row r="1293" spans="2:27" x14ac:dyDescent="0.25">
      <c r="B1293" s="42"/>
      <c r="AA1293" s="43"/>
    </row>
    <row r="1294" spans="2:27" x14ac:dyDescent="0.25">
      <c r="B1294" s="42"/>
      <c r="AA1294" s="43"/>
    </row>
    <row r="1295" spans="2:27" x14ac:dyDescent="0.25">
      <c r="B1295" s="42"/>
      <c r="AA1295" s="43"/>
    </row>
    <row r="1296" spans="2:27" x14ac:dyDescent="0.25">
      <c r="B1296" s="42"/>
      <c r="AA1296" s="43"/>
    </row>
    <row r="1297" spans="2:27" x14ac:dyDescent="0.25">
      <c r="B1297" s="42"/>
      <c r="AA1297" s="43"/>
    </row>
    <row r="1298" spans="2:27" x14ac:dyDescent="0.25">
      <c r="B1298" s="42"/>
      <c r="AA1298" s="43"/>
    </row>
    <row r="1299" spans="2:27" x14ac:dyDescent="0.25">
      <c r="B1299" s="42"/>
      <c r="AA1299" s="43"/>
    </row>
    <row r="1300" spans="2:27" x14ac:dyDescent="0.25">
      <c r="B1300" s="42"/>
      <c r="AA1300" s="43"/>
    </row>
    <row r="1301" spans="2:27" x14ac:dyDescent="0.25">
      <c r="B1301" s="42"/>
      <c r="AA1301" s="43"/>
    </row>
    <row r="1302" spans="2:27" x14ac:dyDescent="0.25">
      <c r="B1302" s="42"/>
      <c r="AA1302" s="43"/>
    </row>
    <row r="1303" spans="2:27" x14ac:dyDescent="0.25">
      <c r="B1303" s="42"/>
      <c r="AA1303" s="43"/>
    </row>
    <row r="1304" spans="2:27" x14ac:dyDescent="0.25">
      <c r="B1304" s="42"/>
      <c r="AA1304" s="43"/>
    </row>
    <row r="1305" spans="2:27" x14ac:dyDescent="0.25">
      <c r="B1305" s="42"/>
      <c r="AA1305" s="43"/>
    </row>
    <row r="1306" spans="2:27" x14ac:dyDescent="0.25">
      <c r="B1306" s="42"/>
      <c r="AA1306" s="43"/>
    </row>
    <row r="1307" spans="2:27" x14ac:dyDescent="0.25">
      <c r="B1307" s="42"/>
      <c r="AA1307" s="43"/>
    </row>
    <row r="1308" spans="2:27" x14ac:dyDescent="0.25">
      <c r="B1308" s="42"/>
      <c r="AA1308" s="43"/>
    </row>
    <row r="1309" spans="2:27" x14ac:dyDescent="0.25">
      <c r="B1309" s="42"/>
      <c r="AA1309" s="43"/>
    </row>
    <row r="1310" spans="2:27" x14ac:dyDescent="0.25">
      <c r="B1310" s="42"/>
      <c r="AA1310" s="43"/>
    </row>
    <row r="1311" spans="2:27" x14ac:dyDescent="0.25">
      <c r="B1311" s="42"/>
      <c r="AA1311" s="43"/>
    </row>
    <row r="1312" spans="2:27" x14ac:dyDescent="0.25">
      <c r="B1312" s="42"/>
      <c r="AA1312" s="43"/>
    </row>
    <row r="1313" spans="2:27" x14ac:dyDescent="0.25">
      <c r="B1313" s="42"/>
      <c r="AA1313" s="43"/>
    </row>
    <row r="1314" spans="2:27" x14ac:dyDescent="0.25">
      <c r="B1314" s="42"/>
      <c r="AA1314" s="43"/>
    </row>
    <row r="1315" spans="2:27" x14ac:dyDescent="0.25">
      <c r="B1315" s="42"/>
      <c r="AA1315" s="43"/>
    </row>
    <row r="1316" spans="2:27" x14ac:dyDescent="0.25">
      <c r="B1316" s="42"/>
      <c r="AA1316" s="43"/>
    </row>
    <row r="1317" spans="2:27" x14ac:dyDescent="0.25">
      <c r="B1317" s="42"/>
      <c r="AA1317" s="43"/>
    </row>
    <row r="1318" spans="2:27" x14ac:dyDescent="0.25">
      <c r="B1318" s="42"/>
      <c r="AA1318" s="43"/>
    </row>
    <row r="1319" spans="2:27" x14ac:dyDescent="0.25">
      <c r="B1319" s="42"/>
      <c r="AA1319" s="43"/>
    </row>
    <row r="1320" spans="2:27" x14ac:dyDescent="0.25">
      <c r="B1320" s="42"/>
      <c r="AA1320" s="43"/>
    </row>
    <row r="1321" spans="2:27" x14ac:dyDescent="0.25">
      <c r="B1321" s="42"/>
      <c r="AA1321" s="43"/>
    </row>
    <row r="1322" spans="2:27" x14ac:dyDescent="0.25">
      <c r="B1322" s="42"/>
      <c r="AA1322" s="43"/>
    </row>
    <row r="1323" spans="2:27" x14ac:dyDescent="0.25">
      <c r="B1323" s="42"/>
      <c r="AA1323" s="43"/>
    </row>
    <row r="1324" spans="2:27" x14ac:dyDescent="0.25">
      <c r="B1324" s="42"/>
      <c r="AA1324" s="43"/>
    </row>
    <row r="1325" spans="2:27" x14ac:dyDescent="0.25">
      <c r="B1325" s="42"/>
      <c r="AA1325" s="43"/>
    </row>
    <row r="1326" spans="2:27" x14ac:dyDescent="0.25">
      <c r="B1326" s="42"/>
      <c r="AA1326" s="43"/>
    </row>
    <row r="1327" spans="2:27" x14ac:dyDescent="0.25">
      <c r="B1327" s="42"/>
      <c r="AA1327" s="43"/>
    </row>
    <row r="1328" spans="2:27" x14ac:dyDescent="0.25">
      <c r="B1328" s="42"/>
      <c r="AA1328" s="43"/>
    </row>
    <row r="1329" spans="2:27" x14ac:dyDescent="0.25">
      <c r="B1329" s="42"/>
      <c r="AA1329" s="43"/>
    </row>
    <row r="1330" spans="2:27" x14ac:dyDescent="0.25">
      <c r="B1330" s="42"/>
      <c r="AA1330" s="43"/>
    </row>
    <row r="1331" spans="2:27" x14ac:dyDescent="0.25">
      <c r="B1331" s="42"/>
      <c r="AA1331" s="43"/>
    </row>
    <row r="1332" spans="2:27" x14ac:dyDescent="0.25">
      <c r="B1332" s="42"/>
      <c r="AA1332" s="43"/>
    </row>
    <row r="1333" spans="2:27" x14ac:dyDescent="0.25">
      <c r="B1333" s="42"/>
      <c r="AA1333" s="43"/>
    </row>
    <row r="1334" spans="2:27" x14ac:dyDescent="0.25">
      <c r="B1334" s="42"/>
      <c r="AA1334" s="43"/>
    </row>
    <row r="1335" spans="2:27" x14ac:dyDescent="0.25">
      <c r="B1335" s="42"/>
      <c r="AA1335" s="43"/>
    </row>
    <row r="1336" spans="2:27" x14ac:dyDescent="0.25">
      <c r="B1336" s="42"/>
      <c r="AA1336" s="43"/>
    </row>
    <row r="1337" spans="2:27" x14ac:dyDescent="0.25">
      <c r="B1337" s="42"/>
      <c r="AA1337" s="43"/>
    </row>
    <row r="1338" spans="2:27" x14ac:dyDescent="0.25">
      <c r="B1338" s="42"/>
      <c r="AA1338" s="43"/>
    </row>
    <row r="1339" spans="2:27" x14ac:dyDescent="0.25">
      <c r="B1339" s="42"/>
      <c r="AA1339" s="43"/>
    </row>
    <row r="1340" spans="2:27" x14ac:dyDescent="0.25">
      <c r="B1340" s="42"/>
      <c r="AA1340" s="43"/>
    </row>
    <row r="1341" spans="2:27" x14ac:dyDescent="0.25">
      <c r="B1341" s="42"/>
      <c r="AA1341" s="43"/>
    </row>
    <row r="1342" spans="2:27" x14ac:dyDescent="0.25">
      <c r="B1342" s="42"/>
      <c r="AA1342" s="43"/>
    </row>
    <row r="1343" spans="2:27" x14ac:dyDescent="0.25">
      <c r="B1343" s="42"/>
      <c r="AA1343" s="43"/>
    </row>
    <row r="1344" spans="2:27" x14ac:dyDescent="0.25">
      <c r="B1344" s="42"/>
      <c r="AA1344" s="43"/>
    </row>
    <row r="1345" spans="2:27" x14ac:dyDescent="0.25">
      <c r="B1345" s="42"/>
      <c r="AA1345" s="43"/>
    </row>
    <row r="1346" spans="2:27" x14ac:dyDescent="0.25">
      <c r="B1346" s="42"/>
      <c r="AA1346" s="43"/>
    </row>
    <row r="1347" spans="2:27" x14ac:dyDescent="0.25">
      <c r="B1347" s="42"/>
      <c r="AA1347" s="43"/>
    </row>
    <row r="1348" spans="2:27" x14ac:dyDescent="0.25">
      <c r="B1348" s="42"/>
      <c r="AA1348" s="43"/>
    </row>
    <row r="1349" spans="2:27" x14ac:dyDescent="0.25">
      <c r="B1349" s="42"/>
      <c r="AA1349" s="43"/>
    </row>
    <row r="1350" spans="2:27" x14ac:dyDescent="0.25">
      <c r="B1350" s="42"/>
      <c r="AA1350" s="43"/>
    </row>
    <row r="1351" spans="2:27" x14ac:dyDescent="0.25">
      <c r="B1351" s="42"/>
      <c r="AA1351" s="43"/>
    </row>
    <row r="1352" spans="2:27" x14ac:dyDescent="0.25">
      <c r="B1352" s="42"/>
      <c r="AA1352" s="43"/>
    </row>
    <row r="1353" spans="2:27" x14ac:dyDescent="0.25">
      <c r="B1353" s="42"/>
      <c r="AA1353" s="43"/>
    </row>
    <row r="1354" spans="2:27" x14ac:dyDescent="0.25">
      <c r="B1354" s="42"/>
      <c r="AA1354" s="43"/>
    </row>
    <row r="1355" spans="2:27" x14ac:dyDescent="0.25">
      <c r="B1355" s="42"/>
      <c r="AA1355" s="43"/>
    </row>
    <row r="1356" spans="2:27" x14ac:dyDescent="0.25">
      <c r="B1356" s="42"/>
      <c r="AA1356" s="43"/>
    </row>
    <row r="1357" spans="2:27" x14ac:dyDescent="0.25">
      <c r="B1357" s="42"/>
      <c r="AA1357" s="43"/>
    </row>
    <row r="1358" spans="2:27" x14ac:dyDescent="0.25">
      <c r="B1358" s="42"/>
      <c r="AA1358" s="43"/>
    </row>
    <row r="1359" spans="2:27" x14ac:dyDescent="0.25">
      <c r="B1359" s="42"/>
      <c r="AA1359" s="43"/>
    </row>
    <row r="1360" spans="2:27" x14ac:dyDescent="0.25">
      <c r="B1360" s="42"/>
      <c r="AA1360" s="43"/>
    </row>
    <row r="1361" spans="2:27" x14ac:dyDescent="0.25">
      <c r="B1361" s="42"/>
      <c r="AA1361" s="43"/>
    </row>
    <row r="1362" spans="2:27" x14ac:dyDescent="0.25">
      <c r="B1362" s="42"/>
      <c r="AA1362" s="43"/>
    </row>
    <row r="1363" spans="2:27" x14ac:dyDescent="0.25">
      <c r="B1363" s="42"/>
      <c r="AA1363" s="43"/>
    </row>
    <row r="1364" spans="2:27" x14ac:dyDescent="0.25">
      <c r="B1364" s="42"/>
      <c r="AA1364" s="43"/>
    </row>
    <row r="1365" spans="2:27" x14ac:dyDescent="0.25">
      <c r="B1365" s="42"/>
      <c r="AA1365" s="43"/>
    </row>
    <row r="1366" spans="2:27" x14ac:dyDescent="0.25">
      <c r="B1366" s="42"/>
      <c r="AA1366" s="43"/>
    </row>
    <row r="1367" spans="2:27" x14ac:dyDescent="0.25">
      <c r="B1367" s="42"/>
      <c r="AA1367" s="43"/>
    </row>
    <row r="1368" spans="2:27" x14ac:dyDescent="0.25">
      <c r="B1368" s="42"/>
      <c r="AA1368" s="43"/>
    </row>
    <row r="1369" spans="2:27" x14ac:dyDescent="0.25">
      <c r="B1369" s="42"/>
      <c r="AA1369" s="43"/>
    </row>
    <row r="1370" spans="2:27" x14ac:dyDescent="0.25">
      <c r="B1370" s="42"/>
      <c r="AA1370" s="43"/>
    </row>
    <row r="1371" spans="2:27" x14ac:dyDescent="0.25">
      <c r="B1371" s="42"/>
      <c r="AA1371" s="43"/>
    </row>
    <row r="1372" spans="2:27" x14ac:dyDescent="0.25">
      <c r="B1372" s="42"/>
      <c r="AA1372" s="43"/>
    </row>
    <row r="1373" spans="2:27" x14ac:dyDescent="0.25">
      <c r="B1373" s="42"/>
      <c r="AA1373" s="43"/>
    </row>
    <row r="1374" spans="2:27" x14ac:dyDescent="0.25">
      <c r="B1374" s="42"/>
      <c r="AA1374" s="43"/>
    </row>
    <row r="1375" spans="2:27" x14ac:dyDescent="0.25">
      <c r="B1375" s="42"/>
      <c r="AA1375" s="43"/>
    </row>
    <row r="1376" spans="2:27" x14ac:dyDescent="0.25">
      <c r="B1376" s="42"/>
      <c r="AA1376" s="43"/>
    </row>
    <row r="1377" spans="2:27" x14ac:dyDescent="0.25">
      <c r="B1377" s="42"/>
      <c r="AA1377" s="43"/>
    </row>
    <row r="1378" spans="2:27" x14ac:dyDescent="0.25">
      <c r="B1378" s="42"/>
      <c r="AA1378" s="43"/>
    </row>
    <row r="1379" spans="2:27" x14ac:dyDescent="0.25">
      <c r="B1379" s="42"/>
      <c r="AA1379" s="43"/>
    </row>
    <row r="1380" spans="2:27" x14ac:dyDescent="0.25">
      <c r="B1380" s="42"/>
      <c r="AA1380" s="43"/>
    </row>
    <row r="1381" spans="2:27" x14ac:dyDescent="0.25">
      <c r="B1381" s="42"/>
      <c r="AA1381" s="43"/>
    </row>
    <row r="1382" spans="2:27" x14ac:dyDescent="0.25">
      <c r="B1382" s="42"/>
      <c r="AA1382" s="43"/>
    </row>
    <row r="1383" spans="2:27" x14ac:dyDescent="0.25">
      <c r="B1383" s="42"/>
      <c r="AA1383" s="43"/>
    </row>
    <row r="1384" spans="2:27" x14ac:dyDescent="0.25">
      <c r="B1384" s="42"/>
      <c r="AA1384" s="43"/>
    </row>
    <row r="1385" spans="2:27" x14ac:dyDescent="0.25">
      <c r="B1385" s="42"/>
      <c r="AA1385" s="43"/>
    </row>
    <row r="1386" spans="2:27" x14ac:dyDescent="0.25">
      <c r="B1386" s="42"/>
      <c r="AA1386" s="43"/>
    </row>
    <row r="1387" spans="2:27" x14ac:dyDescent="0.25">
      <c r="B1387" s="42"/>
      <c r="AA1387" s="43"/>
    </row>
    <row r="1388" spans="2:27" x14ac:dyDescent="0.25">
      <c r="B1388" s="42"/>
      <c r="AA1388" s="43"/>
    </row>
    <row r="1389" spans="2:27" x14ac:dyDescent="0.25">
      <c r="B1389" s="42"/>
      <c r="AA1389" s="43"/>
    </row>
    <row r="1390" spans="2:27" x14ac:dyDescent="0.25">
      <c r="B1390" s="42"/>
      <c r="AA1390" s="43"/>
    </row>
    <row r="1391" spans="2:27" x14ac:dyDescent="0.25">
      <c r="B1391" s="42"/>
      <c r="AA1391" s="43"/>
    </row>
    <row r="1392" spans="2:27" x14ac:dyDescent="0.25">
      <c r="B1392" s="42"/>
      <c r="AA1392" s="43"/>
    </row>
    <row r="1393" spans="2:27" x14ac:dyDescent="0.25">
      <c r="B1393" s="42"/>
      <c r="AA1393" s="43"/>
    </row>
    <row r="1394" spans="2:27" x14ac:dyDescent="0.25">
      <c r="B1394" s="42"/>
      <c r="AA1394" s="43"/>
    </row>
    <row r="1395" spans="2:27" x14ac:dyDescent="0.25">
      <c r="B1395" s="42"/>
      <c r="AA1395" s="43"/>
    </row>
    <row r="1396" spans="2:27" x14ac:dyDescent="0.25">
      <c r="B1396" s="42"/>
      <c r="AA1396" s="43"/>
    </row>
    <row r="1397" spans="2:27" x14ac:dyDescent="0.25">
      <c r="B1397" s="42"/>
      <c r="AA1397" s="43"/>
    </row>
    <row r="1398" spans="2:27" x14ac:dyDescent="0.25">
      <c r="B1398" s="42"/>
      <c r="AA1398" s="43"/>
    </row>
    <row r="1399" spans="2:27" x14ac:dyDescent="0.25">
      <c r="B1399" s="42"/>
      <c r="AA1399" s="43"/>
    </row>
    <row r="1400" spans="2:27" x14ac:dyDescent="0.25">
      <c r="B1400" s="42"/>
      <c r="AA1400" s="43"/>
    </row>
    <row r="1401" spans="2:27" x14ac:dyDescent="0.25">
      <c r="B1401" s="42"/>
      <c r="AA1401" s="43"/>
    </row>
    <row r="1402" spans="2:27" x14ac:dyDescent="0.25">
      <c r="B1402" s="42"/>
      <c r="AA1402" s="43"/>
    </row>
    <row r="1403" spans="2:27" x14ac:dyDescent="0.25">
      <c r="B1403" s="42"/>
      <c r="AA1403" s="43"/>
    </row>
    <row r="1404" spans="2:27" x14ac:dyDescent="0.25">
      <c r="B1404" s="42"/>
      <c r="AA1404" s="43"/>
    </row>
    <row r="1405" spans="2:27" x14ac:dyDescent="0.25">
      <c r="B1405" s="42"/>
      <c r="AA1405" s="43"/>
    </row>
    <row r="1406" spans="2:27" x14ac:dyDescent="0.25">
      <c r="B1406" s="42"/>
      <c r="AA1406" s="43"/>
    </row>
    <row r="1407" spans="2:27" x14ac:dyDescent="0.25">
      <c r="B1407" s="42"/>
      <c r="AA1407" s="43"/>
    </row>
    <row r="1408" spans="2:27" x14ac:dyDescent="0.25">
      <c r="B1408" s="42"/>
      <c r="AA1408" s="43"/>
    </row>
    <row r="1409" spans="2:27" x14ac:dyDescent="0.25">
      <c r="B1409" s="42"/>
      <c r="AA1409" s="43"/>
    </row>
    <row r="1410" spans="2:27" x14ac:dyDescent="0.25">
      <c r="B1410" s="42"/>
      <c r="AA1410" s="43"/>
    </row>
    <row r="1411" spans="2:27" x14ac:dyDescent="0.25">
      <c r="B1411" s="42"/>
      <c r="AA1411" s="43"/>
    </row>
    <row r="1412" spans="2:27" x14ac:dyDescent="0.25">
      <c r="B1412" s="42"/>
      <c r="AA1412" s="43"/>
    </row>
    <row r="1413" spans="2:27" x14ac:dyDescent="0.25">
      <c r="B1413" s="42"/>
      <c r="AA1413" s="43"/>
    </row>
    <row r="1414" spans="2:27" x14ac:dyDescent="0.25">
      <c r="B1414" s="42"/>
      <c r="AA1414" s="43"/>
    </row>
    <row r="1415" spans="2:27" x14ac:dyDescent="0.25">
      <c r="B1415" s="42"/>
      <c r="AA1415" s="43"/>
    </row>
    <row r="1416" spans="2:27" x14ac:dyDescent="0.25">
      <c r="B1416" s="42"/>
      <c r="AA1416" s="43"/>
    </row>
    <row r="1417" spans="2:27" x14ac:dyDescent="0.25">
      <c r="B1417" s="42"/>
      <c r="AA1417" s="43"/>
    </row>
    <row r="1418" spans="2:27" x14ac:dyDescent="0.25">
      <c r="B1418" s="42"/>
      <c r="AA1418" s="43"/>
    </row>
    <row r="1419" spans="2:27" x14ac:dyDescent="0.25">
      <c r="B1419" s="42"/>
      <c r="AA1419" s="43"/>
    </row>
    <row r="1420" spans="2:27" x14ac:dyDescent="0.25">
      <c r="B1420" s="42"/>
      <c r="AA1420" s="43"/>
    </row>
    <row r="1421" spans="2:27" x14ac:dyDescent="0.25">
      <c r="B1421" s="42"/>
      <c r="AA1421" s="43"/>
    </row>
    <row r="1422" spans="2:27" x14ac:dyDescent="0.25">
      <c r="B1422" s="42"/>
      <c r="AA1422" s="43"/>
    </row>
    <row r="1423" spans="2:27" x14ac:dyDescent="0.25">
      <c r="B1423" s="42"/>
      <c r="AA1423" s="43"/>
    </row>
    <row r="1424" spans="2:27" x14ac:dyDescent="0.25">
      <c r="B1424" s="42"/>
      <c r="AA1424" s="43"/>
    </row>
    <row r="1425" spans="2:27" x14ac:dyDescent="0.25">
      <c r="B1425" s="42"/>
      <c r="AA1425" s="43"/>
    </row>
    <row r="1426" spans="2:27" x14ac:dyDescent="0.25">
      <c r="B1426" s="42"/>
      <c r="AA1426" s="43"/>
    </row>
    <row r="1427" spans="2:27" x14ac:dyDescent="0.25">
      <c r="B1427" s="42"/>
      <c r="AA1427" s="43"/>
    </row>
    <row r="1428" spans="2:27" x14ac:dyDescent="0.25">
      <c r="B1428" s="42"/>
      <c r="AA1428" s="43"/>
    </row>
    <row r="1429" spans="2:27" x14ac:dyDescent="0.25">
      <c r="B1429" s="42"/>
      <c r="AA1429" s="43"/>
    </row>
    <row r="1430" spans="2:27" x14ac:dyDescent="0.25">
      <c r="B1430" s="42"/>
      <c r="AA1430" s="43"/>
    </row>
    <row r="1431" spans="2:27" x14ac:dyDescent="0.25">
      <c r="B1431" s="42"/>
      <c r="AA1431" s="43"/>
    </row>
    <row r="1432" spans="2:27" x14ac:dyDescent="0.25">
      <c r="B1432" s="42"/>
      <c r="AA1432" s="43"/>
    </row>
    <row r="1433" spans="2:27" x14ac:dyDescent="0.25">
      <c r="B1433" s="42"/>
      <c r="AA1433" s="43"/>
    </row>
    <row r="1434" spans="2:27" x14ac:dyDescent="0.25">
      <c r="B1434" s="42"/>
      <c r="AA1434" s="43"/>
    </row>
    <row r="1435" spans="2:27" x14ac:dyDescent="0.25">
      <c r="B1435" s="42"/>
      <c r="AA1435" s="43"/>
    </row>
    <row r="1436" spans="2:27" x14ac:dyDescent="0.25">
      <c r="B1436" s="42"/>
      <c r="AA1436" s="43"/>
    </row>
    <row r="1437" spans="2:27" x14ac:dyDescent="0.25">
      <c r="B1437" s="42"/>
      <c r="AA1437" s="43"/>
    </row>
    <row r="1438" spans="2:27" x14ac:dyDescent="0.25">
      <c r="B1438" s="42"/>
      <c r="AA1438" s="43"/>
    </row>
    <row r="1439" spans="2:27" x14ac:dyDescent="0.25">
      <c r="B1439" s="42"/>
      <c r="AA1439" s="43"/>
    </row>
    <row r="1440" spans="2:27" x14ac:dyDescent="0.25">
      <c r="B1440" s="42"/>
      <c r="AA1440" s="43"/>
    </row>
    <row r="1441" spans="2:27" x14ac:dyDescent="0.25">
      <c r="B1441" s="42"/>
      <c r="AA1441" s="43"/>
    </row>
    <row r="1442" spans="2:27" x14ac:dyDescent="0.25">
      <c r="B1442" s="42"/>
      <c r="AA1442" s="43"/>
    </row>
    <row r="1443" spans="2:27" x14ac:dyDescent="0.25">
      <c r="B1443" s="42"/>
      <c r="AA1443" s="43"/>
    </row>
    <row r="1444" spans="2:27" x14ac:dyDescent="0.25">
      <c r="B1444" s="42"/>
      <c r="AA1444" s="43"/>
    </row>
    <row r="1445" spans="2:27" x14ac:dyDescent="0.25">
      <c r="B1445" s="42"/>
      <c r="AA1445" s="43"/>
    </row>
    <row r="1446" spans="2:27" x14ac:dyDescent="0.25">
      <c r="B1446" s="42"/>
      <c r="AA1446" s="43"/>
    </row>
    <row r="1447" spans="2:27" x14ac:dyDescent="0.25">
      <c r="B1447" s="42"/>
      <c r="AA1447" s="43"/>
    </row>
    <row r="1448" spans="2:27" x14ac:dyDescent="0.25">
      <c r="B1448" s="42"/>
      <c r="AA1448" s="43"/>
    </row>
    <row r="1449" spans="2:27" x14ac:dyDescent="0.25">
      <c r="B1449" s="42"/>
      <c r="AA1449" s="43"/>
    </row>
    <row r="1450" spans="2:27" x14ac:dyDescent="0.25">
      <c r="B1450" s="42"/>
      <c r="AA1450" s="43"/>
    </row>
    <row r="1451" spans="2:27" x14ac:dyDescent="0.25">
      <c r="B1451" s="42"/>
      <c r="AA1451" s="43"/>
    </row>
    <row r="1452" spans="2:27" x14ac:dyDescent="0.25">
      <c r="B1452" s="42"/>
      <c r="AA1452" s="43"/>
    </row>
    <row r="1453" spans="2:27" x14ac:dyDescent="0.25">
      <c r="B1453" s="42"/>
      <c r="AA1453" s="43"/>
    </row>
    <row r="1454" spans="2:27" x14ac:dyDescent="0.25">
      <c r="B1454" s="42"/>
      <c r="AA1454" s="43"/>
    </row>
    <row r="1455" spans="2:27" x14ac:dyDescent="0.25">
      <c r="B1455" s="42"/>
      <c r="AA1455" s="43"/>
    </row>
    <row r="1456" spans="2:27" x14ac:dyDescent="0.25">
      <c r="B1456" s="42"/>
      <c r="AA1456" s="43"/>
    </row>
    <row r="1457" spans="2:27" x14ac:dyDescent="0.25">
      <c r="B1457" s="42"/>
      <c r="AA1457" s="43"/>
    </row>
    <row r="1458" spans="2:27" x14ac:dyDescent="0.25">
      <c r="B1458" s="42"/>
      <c r="AA1458" s="43"/>
    </row>
    <row r="1459" spans="2:27" x14ac:dyDescent="0.25">
      <c r="B1459" s="42"/>
      <c r="AA1459" s="43"/>
    </row>
    <row r="1460" spans="2:27" x14ac:dyDescent="0.25">
      <c r="B1460" s="42"/>
      <c r="AA1460" s="43"/>
    </row>
    <row r="1461" spans="2:27" x14ac:dyDescent="0.25">
      <c r="B1461" s="42"/>
      <c r="AA1461" s="43"/>
    </row>
    <row r="1462" spans="2:27" x14ac:dyDescent="0.25">
      <c r="B1462" s="42"/>
      <c r="AA1462" s="43"/>
    </row>
    <row r="1463" spans="2:27" x14ac:dyDescent="0.25">
      <c r="B1463" s="42"/>
      <c r="AA1463" s="43"/>
    </row>
    <row r="1464" spans="2:27" x14ac:dyDescent="0.25">
      <c r="B1464" s="42"/>
      <c r="AA1464" s="43"/>
    </row>
    <row r="1465" spans="2:27" x14ac:dyDescent="0.25">
      <c r="B1465" s="42"/>
      <c r="AA1465" s="43"/>
    </row>
    <row r="1466" spans="2:27" x14ac:dyDescent="0.25">
      <c r="B1466" s="42"/>
      <c r="AA1466" s="43"/>
    </row>
    <row r="1467" spans="2:27" x14ac:dyDescent="0.25">
      <c r="B1467" s="42"/>
      <c r="AA1467" s="43"/>
    </row>
    <row r="1468" spans="2:27" x14ac:dyDescent="0.25">
      <c r="B1468" s="42"/>
      <c r="AA1468" s="43"/>
    </row>
    <row r="1469" spans="2:27" x14ac:dyDescent="0.25">
      <c r="B1469" s="42"/>
      <c r="AA1469" s="43"/>
    </row>
    <row r="1470" spans="2:27" x14ac:dyDescent="0.25">
      <c r="B1470" s="42"/>
      <c r="AA1470" s="43"/>
    </row>
    <row r="1471" spans="2:27" x14ac:dyDescent="0.25">
      <c r="B1471" s="42"/>
      <c r="AA1471" s="43"/>
    </row>
    <row r="1472" spans="2:27" x14ac:dyDescent="0.25">
      <c r="B1472" s="42"/>
      <c r="AA1472" s="43"/>
    </row>
    <row r="1473" spans="2:27" x14ac:dyDescent="0.25">
      <c r="B1473" s="42"/>
      <c r="AA1473" s="43"/>
    </row>
    <row r="1474" spans="2:27" x14ac:dyDescent="0.25">
      <c r="B1474" s="42"/>
      <c r="AA1474" s="43"/>
    </row>
    <row r="1475" spans="2:27" x14ac:dyDescent="0.25">
      <c r="B1475" s="42"/>
      <c r="AA1475" s="43"/>
    </row>
    <row r="1476" spans="2:27" x14ac:dyDescent="0.25">
      <c r="B1476" s="42"/>
      <c r="AA1476" s="43"/>
    </row>
    <row r="1477" spans="2:27" x14ac:dyDescent="0.25">
      <c r="B1477" s="42"/>
      <c r="AA1477" s="43"/>
    </row>
    <row r="1478" spans="2:27" x14ac:dyDescent="0.25">
      <c r="B1478" s="42"/>
      <c r="AA1478" s="43"/>
    </row>
    <row r="1479" spans="2:27" x14ac:dyDescent="0.25">
      <c r="B1479" s="42"/>
      <c r="AA1479" s="43"/>
    </row>
    <row r="1480" spans="2:27" x14ac:dyDescent="0.25">
      <c r="B1480" s="42"/>
      <c r="AA1480" s="43"/>
    </row>
    <row r="1481" spans="2:27" x14ac:dyDescent="0.25">
      <c r="B1481" s="42"/>
      <c r="AA1481" s="43"/>
    </row>
    <row r="1482" spans="2:27" x14ac:dyDescent="0.25">
      <c r="B1482" s="42"/>
      <c r="AA1482" s="43"/>
    </row>
    <row r="1483" spans="2:27" x14ac:dyDescent="0.25">
      <c r="B1483" s="42"/>
      <c r="AA1483" s="43"/>
    </row>
    <row r="1484" spans="2:27" x14ac:dyDescent="0.25">
      <c r="B1484" s="42"/>
      <c r="AA1484" s="43"/>
    </row>
    <row r="1485" spans="2:27" x14ac:dyDescent="0.25">
      <c r="B1485" s="42"/>
      <c r="AA1485" s="43"/>
    </row>
    <row r="1486" spans="2:27" x14ac:dyDescent="0.25">
      <c r="B1486" s="42"/>
      <c r="AA1486" s="43"/>
    </row>
    <row r="1487" spans="2:27" x14ac:dyDescent="0.25">
      <c r="B1487" s="42"/>
      <c r="AA1487" s="43"/>
    </row>
    <row r="1488" spans="2:27" x14ac:dyDescent="0.25">
      <c r="B1488" s="42"/>
      <c r="AA1488" s="43"/>
    </row>
    <row r="1489" spans="2:27" x14ac:dyDescent="0.25">
      <c r="B1489" s="42"/>
      <c r="AA1489" s="43"/>
    </row>
    <row r="1490" spans="2:27" x14ac:dyDescent="0.25">
      <c r="B1490" s="42"/>
      <c r="AA1490" s="43"/>
    </row>
    <row r="1491" spans="2:27" x14ac:dyDescent="0.25">
      <c r="B1491" s="42"/>
      <c r="AA1491" s="43"/>
    </row>
    <row r="1492" spans="2:27" x14ac:dyDescent="0.25">
      <c r="B1492" s="42"/>
      <c r="AA1492" s="43"/>
    </row>
    <row r="1493" spans="2:27" x14ac:dyDescent="0.25">
      <c r="B1493" s="42"/>
      <c r="AA1493" s="43"/>
    </row>
    <row r="1494" spans="2:27" x14ac:dyDescent="0.25">
      <c r="B1494" s="42"/>
      <c r="AA1494" s="43"/>
    </row>
    <row r="1495" spans="2:27" x14ac:dyDescent="0.25">
      <c r="B1495" s="42"/>
      <c r="AA1495" s="43"/>
    </row>
    <row r="1496" spans="2:27" x14ac:dyDescent="0.25">
      <c r="B1496" s="42"/>
      <c r="AA1496" s="43"/>
    </row>
    <row r="1497" spans="2:27" x14ac:dyDescent="0.25">
      <c r="B1497" s="42"/>
      <c r="AA1497" s="43"/>
    </row>
    <row r="1498" spans="2:27" x14ac:dyDescent="0.25">
      <c r="B1498" s="42"/>
      <c r="AA1498" s="43"/>
    </row>
    <row r="1499" spans="2:27" x14ac:dyDescent="0.25">
      <c r="B1499" s="42"/>
      <c r="AA1499" s="43"/>
    </row>
    <row r="1500" spans="2:27" x14ac:dyDescent="0.25">
      <c r="B1500" s="42"/>
      <c r="AA1500" s="43"/>
    </row>
    <row r="1501" spans="2:27" x14ac:dyDescent="0.25">
      <c r="B1501" s="42"/>
      <c r="AA1501" s="43"/>
    </row>
    <row r="1502" spans="2:27" x14ac:dyDescent="0.25">
      <c r="B1502" s="42"/>
      <c r="AA1502" s="43"/>
    </row>
    <row r="1503" spans="2:27" x14ac:dyDescent="0.25">
      <c r="B1503" s="42"/>
      <c r="AA1503" s="43"/>
    </row>
    <row r="1504" spans="2:27" x14ac:dyDescent="0.25">
      <c r="B1504" s="42"/>
      <c r="AA1504" s="43"/>
    </row>
    <row r="1505" spans="2:27" x14ac:dyDescent="0.25">
      <c r="B1505" s="42"/>
      <c r="AA1505" s="43"/>
    </row>
    <row r="1506" spans="2:27" x14ac:dyDescent="0.25">
      <c r="B1506" s="42"/>
      <c r="AA1506" s="43"/>
    </row>
    <row r="1507" spans="2:27" x14ac:dyDescent="0.25">
      <c r="B1507" s="42"/>
      <c r="AA1507" s="43"/>
    </row>
    <row r="1508" spans="2:27" x14ac:dyDescent="0.25">
      <c r="B1508" s="42"/>
      <c r="AA1508" s="43"/>
    </row>
    <row r="1509" spans="2:27" x14ac:dyDescent="0.25">
      <c r="B1509" s="42"/>
      <c r="AA1509" s="43"/>
    </row>
    <row r="1510" spans="2:27" x14ac:dyDescent="0.25">
      <c r="B1510" s="42"/>
      <c r="AA1510" s="43"/>
    </row>
    <row r="1511" spans="2:27" x14ac:dyDescent="0.25">
      <c r="B1511" s="42"/>
      <c r="AA1511" s="43"/>
    </row>
    <row r="1512" spans="2:27" x14ac:dyDescent="0.25">
      <c r="B1512" s="42"/>
      <c r="AA1512" s="43"/>
    </row>
    <row r="1513" spans="2:27" x14ac:dyDescent="0.25">
      <c r="B1513" s="42"/>
      <c r="AA1513" s="43"/>
    </row>
    <row r="1514" spans="2:27" x14ac:dyDescent="0.25">
      <c r="B1514" s="42"/>
      <c r="AA1514" s="43"/>
    </row>
    <row r="1515" spans="2:27" x14ac:dyDescent="0.25">
      <c r="B1515" s="42"/>
      <c r="AA1515" s="43"/>
    </row>
    <row r="1516" spans="2:27" x14ac:dyDescent="0.25">
      <c r="B1516" s="42"/>
      <c r="AA1516" s="43"/>
    </row>
    <row r="1517" spans="2:27" x14ac:dyDescent="0.25">
      <c r="B1517" s="42"/>
      <c r="AA1517" s="43"/>
    </row>
    <row r="1518" spans="2:27" x14ac:dyDescent="0.25">
      <c r="B1518" s="42"/>
      <c r="AA1518" s="43"/>
    </row>
    <row r="1519" spans="2:27" x14ac:dyDescent="0.25">
      <c r="B1519" s="42"/>
      <c r="AA1519" s="43"/>
    </row>
    <row r="1520" spans="2:27" x14ac:dyDescent="0.25">
      <c r="B1520" s="42"/>
      <c r="AA1520" s="43"/>
    </row>
    <row r="1521" spans="2:27" x14ac:dyDescent="0.25">
      <c r="B1521" s="42"/>
      <c r="AA1521" s="43"/>
    </row>
    <row r="1522" spans="2:27" x14ac:dyDescent="0.25">
      <c r="B1522" s="42"/>
      <c r="AA1522" s="43"/>
    </row>
    <row r="1523" spans="2:27" x14ac:dyDescent="0.25">
      <c r="B1523" s="42"/>
      <c r="AA1523" s="43"/>
    </row>
    <row r="1524" spans="2:27" x14ac:dyDescent="0.25">
      <c r="B1524" s="42"/>
      <c r="AA1524" s="43"/>
    </row>
    <row r="1525" spans="2:27" x14ac:dyDescent="0.25">
      <c r="B1525" s="42"/>
      <c r="AA1525" s="43"/>
    </row>
    <row r="1526" spans="2:27" x14ac:dyDescent="0.25">
      <c r="B1526" s="42"/>
      <c r="AA1526" s="43"/>
    </row>
    <row r="1527" spans="2:27" x14ac:dyDescent="0.25">
      <c r="B1527" s="42"/>
      <c r="AA1527" s="43"/>
    </row>
    <row r="1528" spans="2:27" x14ac:dyDescent="0.25">
      <c r="B1528" s="42"/>
      <c r="AA1528" s="43"/>
    </row>
    <row r="1529" spans="2:27" x14ac:dyDescent="0.25">
      <c r="B1529" s="42"/>
      <c r="AA1529" s="43"/>
    </row>
    <row r="1530" spans="2:27" x14ac:dyDescent="0.25">
      <c r="B1530" s="42"/>
      <c r="AA1530" s="43"/>
    </row>
    <row r="1531" spans="2:27" x14ac:dyDescent="0.25">
      <c r="B1531" s="42"/>
      <c r="AA1531" s="43"/>
    </row>
    <row r="1532" spans="2:27" x14ac:dyDescent="0.25">
      <c r="B1532" s="42"/>
      <c r="AA1532" s="43"/>
    </row>
    <row r="1533" spans="2:27" x14ac:dyDescent="0.25">
      <c r="B1533" s="42"/>
      <c r="AA1533" s="43"/>
    </row>
    <row r="1534" spans="2:27" x14ac:dyDescent="0.25">
      <c r="B1534" s="42"/>
      <c r="AA1534" s="43"/>
    </row>
    <row r="1535" spans="2:27" x14ac:dyDescent="0.25">
      <c r="B1535" s="42"/>
      <c r="AA1535" s="43"/>
    </row>
    <row r="1536" spans="2:27" x14ac:dyDescent="0.25">
      <c r="B1536" s="42"/>
      <c r="AA1536" s="43"/>
    </row>
    <row r="1537" spans="2:27" x14ac:dyDescent="0.25">
      <c r="B1537" s="42"/>
      <c r="AA1537" s="43"/>
    </row>
    <row r="1538" spans="2:27" x14ac:dyDescent="0.25">
      <c r="B1538" s="42"/>
      <c r="AA1538" s="43"/>
    </row>
    <row r="1539" spans="2:27" x14ac:dyDescent="0.25">
      <c r="B1539" s="42"/>
      <c r="AA1539" s="43"/>
    </row>
    <row r="1540" spans="2:27" x14ac:dyDescent="0.25">
      <c r="B1540" s="42"/>
      <c r="AA1540" s="43"/>
    </row>
    <row r="1541" spans="2:27" x14ac:dyDescent="0.25">
      <c r="B1541" s="42"/>
      <c r="AA1541" s="43"/>
    </row>
    <row r="1542" spans="2:27" x14ac:dyDescent="0.25">
      <c r="B1542" s="42"/>
      <c r="AA1542" s="43"/>
    </row>
    <row r="1543" spans="2:27" x14ac:dyDescent="0.25">
      <c r="B1543" s="42"/>
      <c r="AA1543" s="43"/>
    </row>
    <row r="1544" spans="2:27" x14ac:dyDescent="0.25">
      <c r="B1544" s="42"/>
      <c r="AA1544" s="43"/>
    </row>
    <row r="1545" spans="2:27" x14ac:dyDescent="0.25">
      <c r="B1545" s="42"/>
      <c r="AA1545" s="43"/>
    </row>
    <row r="1546" spans="2:27" x14ac:dyDescent="0.25">
      <c r="B1546" s="42"/>
      <c r="AA1546" s="43"/>
    </row>
    <row r="1547" spans="2:27" x14ac:dyDescent="0.25">
      <c r="B1547" s="42"/>
      <c r="AA1547" s="43"/>
    </row>
    <row r="1548" spans="2:27" x14ac:dyDescent="0.25">
      <c r="B1548" s="42"/>
      <c r="AA1548" s="43"/>
    </row>
    <row r="1549" spans="2:27" x14ac:dyDescent="0.25">
      <c r="B1549" s="42"/>
      <c r="AA1549" s="43"/>
    </row>
    <row r="1550" spans="2:27" x14ac:dyDescent="0.25">
      <c r="B1550" s="42"/>
      <c r="AA1550" s="43"/>
    </row>
    <row r="1551" spans="2:27" x14ac:dyDescent="0.25">
      <c r="B1551" s="42"/>
      <c r="AA1551" s="43"/>
    </row>
    <row r="1552" spans="2:27" x14ac:dyDescent="0.25">
      <c r="B1552" s="42"/>
      <c r="AA1552" s="43"/>
    </row>
    <row r="1553" spans="2:27" x14ac:dyDescent="0.25">
      <c r="B1553" s="42"/>
      <c r="AA1553" s="43"/>
    </row>
    <row r="1554" spans="2:27" x14ac:dyDescent="0.25">
      <c r="B1554" s="42"/>
      <c r="AA1554" s="43"/>
    </row>
    <row r="1555" spans="2:27" x14ac:dyDescent="0.25">
      <c r="B1555" s="42"/>
      <c r="AA1555" s="43"/>
    </row>
    <row r="1556" spans="2:27" x14ac:dyDescent="0.25">
      <c r="B1556" s="42"/>
      <c r="AA1556" s="43"/>
    </row>
    <row r="1557" spans="2:27" x14ac:dyDescent="0.25">
      <c r="B1557" s="42"/>
      <c r="AA1557" s="43"/>
    </row>
    <row r="1558" spans="2:27" x14ac:dyDescent="0.25">
      <c r="B1558" s="42"/>
      <c r="AA1558" s="43"/>
    </row>
    <row r="1559" spans="2:27" x14ac:dyDescent="0.25">
      <c r="B1559" s="42"/>
      <c r="AA1559" s="43"/>
    </row>
    <row r="1560" spans="2:27" x14ac:dyDescent="0.25">
      <c r="B1560" s="42"/>
      <c r="AA1560" s="43"/>
    </row>
    <row r="1561" spans="2:27" x14ac:dyDescent="0.25">
      <c r="B1561" s="42"/>
      <c r="AA1561" s="43"/>
    </row>
    <row r="1562" spans="2:27" x14ac:dyDescent="0.25">
      <c r="B1562" s="42"/>
      <c r="AA1562" s="43"/>
    </row>
    <row r="1563" spans="2:27" x14ac:dyDescent="0.25">
      <c r="B1563" s="42"/>
      <c r="AA1563" s="43"/>
    </row>
    <row r="1564" spans="2:27" x14ac:dyDescent="0.25">
      <c r="B1564" s="42"/>
      <c r="AA1564" s="43"/>
    </row>
    <row r="1565" spans="2:27" x14ac:dyDescent="0.25">
      <c r="B1565" s="42"/>
      <c r="AA1565" s="43"/>
    </row>
    <row r="1566" spans="2:27" x14ac:dyDescent="0.25">
      <c r="B1566" s="42"/>
      <c r="AA1566" s="43"/>
    </row>
    <row r="1567" spans="2:27" x14ac:dyDescent="0.25">
      <c r="B1567" s="42"/>
      <c r="AA1567" s="43"/>
    </row>
    <row r="1568" spans="2:27" x14ac:dyDescent="0.25">
      <c r="B1568" s="42"/>
      <c r="AA1568" s="43"/>
    </row>
    <row r="1569" spans="2:27" x14ac:dyDescent="0.25">
      <c r="B1569" s="42"/>
      <c r="AA1569" s="43"/>
    </row>
    <row r="1570" spans="2:27" x14ac:dyDescent="0.25">
      <c r="B1570" s="42"/>
      <c r="AA1570" s="43"/>
    </row>
    <row r="1571" spans="2:27" x14ac:dyDescent="0.25">
      <c r="B1571" s="42"/>
      <c r="AA1571" s="43"/>
    </row>
    <row r="1572" spans="2:27" x14ac:dyDescent="0.25">
      <c r="B1572" s="42"/>
      <c r="AA1572" s="43"/>
    </row>
    <row r="1573" spans="2:27" x14ac:dyDescent="0.25">
      <c r="B1573" s="42"/>
      <c r="AA1573" s="43"/>
    </row>
    <row r="1574" spans="2:27" x14ac:dyDescent="0.25">
      <c r="B1574" s="42"/>
      <c r="AA1574" s="43"/>
    </row>
    <row r="1575" spans="2:27" x14ac:dyDescent="0.25">
      <c r="B1575" s="42"/>
      <c r="AA1575" s="43"/>
    </row>
    <row r="1576" spans="2:27" x14ac:dyDescent="0.25">
      <c r="B1576" s="42"/>
      <c r="AA1576" s="43"/>
    </row>
    <row r="1577" spans="2:27" x14ac:dyDescent="0.25">
      <c r="B1577" s="42"/>
      <c r="AA1577" s="43"/>
    </row>
    <row r="1578" spans="2:27" x14ac:dyDescent="0.25">
      <c r="B1578" s="42"/>
      <c r="AA1578" s="43"/>
    </row>
    <row r="1579" spans="2:27" x14ac:dyDescent="0.25">
      <c r="B1579" s="42"/>
      <c r="AA1579" s="43"/>
    </row>
    <row r="1580" spans="2:27" x14ac:dyDescent="0.25">
      <c r="B1580" s="42"/>
      <c r="AA1580" s="43"/>
    </row>
    <row r="1581" spans="2:27" x14ac:dyDescent="0.25">
      <c r="B1581" s="42"/>
      <c r="AA1581" s="43"/>
    </row>
    <row r="1582" spans="2:27" x14ac:dyDescent="0.25">
      <c r="B1582" s="42"/>
      <c r="AA1582" s="43"/>
    </row>
    <row r="1583" spans="2:27" x14ac:dyDescent="0.25">
      <c r="B1583" s="42"/>
      <c r="AA1583" s="43"/>
    </row>
    <row r="1584" spans="2:27" x14ac:dyDescent="0.25">
      <c r="B1584" s="42"/>
      <c r="AA1584" s="43"/>
    </row>
    <row r="1585" spans="2:27" x14ac:dyDescent="0.25">
      <c r="B1585" s="42"/>
      <c r="AA1585" s="43"/>
    </row>
    <row r="1586" spans="2:27" x14ac:dyDescent="0.25">
      <c r="B1586" s="42"/>
      <c r="AA1586" s="43"/>
    </row>
    <row r="1587" spans="2:27" x14ac:dyDescent="0.25">
      <c r="B1587" s="42"/>
      <c r="AA1587" s="43"/>
    </row>
    <row r="1588" spans="2:27" x14ac:dyDescent="0.25">
      <c r="B1588" s="42"/>
      <c r="AA1588" s="43"/>
    </row>
    <row r="1589" spans="2:27" x14ac:dyDescent="0.25">
      <c r="B1589" s="42"/>
      <c r="AA1589" s="43"/>
    </row>
    <row r="1590" spans="2:27" x14ac:dyDescent="0.25">
      <c r="B1590" s="42"/>
      <c r="AA1590" s="43"/>
    </row>
    <row r="1591" spans="2:27" x14ac:dyDescent="0.25">
      <c r="B1591" s="42"/>
      <c r="AA1591" s="43"/>
    </row>
    <row r="1592" spans="2:27" x14ac:dyDescent="0.25">
      <c r="B1592" s="42"/>
      <c r="AA1592" s="43"/>
    </row>
    <row r="1593" spans="2:27" x14ac:dyDescent="0.25">
      <c r="B1593" s="42"/>
      <c r="AA1593" s="43"/>
    </row>
    <row r="1594" spans="2:27" x14ac:dyDescent="0.25">
      <c r="B1594" s="42"/>
      <c r="AA1594" s="43"/>
    </row>
    <row r="1595" spans="2:27" x14ac:dyDescent="0.25">
      <c r="B1595" s="42"/>
      <c r="AA1595" s="43"/>
    </row>
    <row r="1596" spans="2:27" x14ac:dyDescent="0.25">
      <c r="B1596" s="42"/>
      <c r="AA1596" s="43"/>
    </row>
    <row r="1597" spans="2:27" x14ac:dyDescent="0.25">
      <c r="B1597" s="42"/>
      <c r="AA1597" s="43"/>
    </row>
    <row r="1598" spans="2:27" x14ac:dyDescent="0.25">
      <c r="B1598" s="42"/>
      <c r="AA1598" s="43"/>
    </row>
    <row r="1599" spans="2:27" x14ac:dyDescent="0.25">
      <c r="B1599" s="42"/>
      <c r="AA1599" s="43"/>
    </row>
    <row r="1600" spans="2:27" x14ac:dyDescent="0.25">
      <c r="B1600" s="42"/>
      <c r="AA1600" s="43"/>
    </row>
    <row r="1601" spans="2:27" x14ac:dyDescent="0.25">
      <c r="B1601" s="42"/>
      <c r="AA1601" s="43"/>
    </row>
    <row r="1602" spans="2:27" x14ac:dyDescent="0.25">
      <c r="B1602" s="42"/>
      <c r="AA1602" s="43"/>
    </row>
    <row r="1603" spans="2:27" x14ac:dyDescent="0.25">
      <c r="B1603" s="42"/>
      <c r="AA1603" s="43"/>
    </row>
    <row r="1604" spans="2:27" x14ac:dyDescent="0.25">
      <c r="B1604" s="42"/>
      <c r="AA1604" s="43"/>
    </row>
    <row r="1605" spans="2:27" x14ac:dyDescent="0.25">
      <c r="B1605" s="42"/>
      <c r="AA1605" s="43"/>
    </row>
    <row r="1606" spans="2:27" x14ac:dyDescent="0.25">
      <c r="B1606" s="42"/>
      <c r="AA1606" s="43"/>
    </row>
    <row r="1607" spans="2:27" x14ac:dyDescent="0.25">
      <c r="B1607" s="42"/>
      <c r="AA1607" s="43"/>
    </row>
    <row r="1608" spans="2:27" x14ac:dyDescent="0.25">
      <c r="B1608" s="42"/>
      <c r="AA1608" s="43"/>
    </row>
    <row r="1609" spans="2:27" x14ac:dyDescent="0.25">
      <c r="B1609" s="42"/>
      <c r="AA1609" s="43"/>
    </row>
    <row r="1610" spans="2:27" x14ac:dyDescent="0.25">
      <c r="B1610" s="42"/>
      <c r="AA1610" s="43"/>
    </row>
    <row r="1611" spans="2:27" x14ac:dyDescent="0.25">
      <c r="B1611" s="42"/>
      <c r="AA1611" s="43"/>
    </row>
    <row r="1612" spans="2:27" x14ac:dyDescent="0.25">
      <c r="B1612" s="42"/>
      <c r="AA1612" s="43"/>
    </row>
    <row r="1613" spans="2:27" x14ac:dyDescent="0.25">
      <c r="B1613" s="42"/>
      <c r="AA1613" s="43"/>
    </row>
    <row r="1614" spans="2:27" x14ac:dyDescent="0.25">
      <c r="B1614" s="42"/>
      <c r="AA1614" s="43"/>
    </row>
    <row r="1615" spans="2:27" x14ac:dyDescent="0.25">
      <c r="B1615" s="42"/>
      <c r="AA1615" s="43"/>
    </row>
    <row r="1616" spans="2:27" x14ac:dyDescent="0.25">
      <c r="B1616" s="42"/>
      <c r="AA1616" s="43"/>
    </row>
    <row r="1617" spans="2:27" x14ac:dyDescent="0.25">
      <c r="B1617" s="42"/>
      <c r="AA1617" s="43"/>
    </row>
    <row r="1618" spans="2:27" x14ac:dyDescent="0.25">
      <c r="B1618" s="42"/>
      <c r="AA1618" s="43"/>
    </row>
    <row r="1619" spans="2:27" x14ac:dyDescent="0.25">
      <c r="B1619" s="42"/>
      <c r="AA1619" s="43"/>
    </row>
    <row r="1620" spans="2:27" x14ac:dyDescent="0.25">
      <c r="B1620" s="42"/>
      <c r="AA1620" s="43"/>
    </row>
    <row r="1621" spans="2:27" x14ac:dyDescent="0.25">
      <c r="B1621" s="42"/>
      <c r="AA1621" s="43"/>
    </row>
    <row r="1622" spans="2:27" x14ac:dyDescent="0.25">
      <c r="B1622" s="42"/>
      <c r="AA1622" s="43"/>
    </row>
    <row r="1623" spans="2:27" x14ac:dyDescent="0.25">
      <c r="B1623" s="42"/>
      <c r="AA1623" s="43"/>
    </row>
    <row r="1624" spans="2:27" x14ac:dyDescent="0.25">
      <c r="B1624" s="42"/>
      <c r="AA1624" s="43"/>
    </row>
    <row r="1625" spans="2:27" x14ac:dyDescent="0.25">
      <c r="B1625" s="42"/>
      <c r="AA1625" s="43"/>
    </row>
    <row r="1626" spans="2:27" x14ac:dyDescent="0.25">
      <c r="B1626" s="42"/>
      <c r="AA1626" s="43"/>
    </row>
    <row r="1627" spans="2:27" x14ac:dyDescent="0.25">
      <c r="B1627" s="42"/>
      <c r="AA1627" s="43"/>
    </row>
    <row r="1628" spans="2:27" x14ac:dyDescent="0.25">
      <c r="B1628" s="42"/>
      <c r="AA1628" s="43"/>
    </row>
    <row r="1629" spans="2:27" x14ac:dyDescent="0.25">
      <c r="B1629" s="42"/>
      <c r="AA1629" s="43"/>
    </row>
    <row r="1630" spans="2:27" x14ac:dyDescent="0.25">
      <c r="B1630" s="42"/>
      <c r="AA1630" s="43"/>
    </row>
    <row r="1631" spans="2:27" x14ac:dyDescent="0.25">
      <c r="B1631" s="42"/>
      <c r="AA1631" s="43"/>
    </row>
    <row r="1632" spans="2:27" x14ac:dyDescent="0.25">
      <c r="B1632" s="42"/>
      <c r="AA1632" s="43"/>
    </row>
    <row r="1633" spans="2:27" x14ac:dyDescent="0.25">
      <c r="B1633" s="42"/>
      <c r="AA1633" s="43"/>
    </row>
    <row r="1634" spans="2:27" x14ac:dyDescent="0.25">
      <c r="B1634" s="42"/>
      <c r="AA1634" s="43"/>
    </row>
    <row r="1635" spans="2:27" x14ac:dyDescent="0.25">
      <c r="B1635" s="42"/>
      <c r="AA1635" s="43"/>
    </row>
    <row r="1636" spans="2:27" x14ac:dyDescent="0.25">
      <c r="B1636" s="42"/>
      <c r="AA1636" s="43"/>
    </row>
    <row r="1637" spans="2:27" x14ac:dyDescent="0.25">
      <c r="B1637" s="42"/>
      <c r="AA1637" s="43"/>
    </row>
    <row r="1638" spans="2:27" x14ac:dyDescent="0.25">
      <c r="B1638" s="42"/>
      <c r="AA1638" s="43"/>
    </row>
    <row r="1639" spans="2:27" x14ac:dyDescent="0.25">
      <c r="B1639" s="42"/>
      <c r="AA1639" s="43"/>
    </row>
    <row r="1640" spans="2:27" x14ac:dyDescent="0.25">
      <c r="B1640" s="42"/>
      <c r="AA1640" s="43"/>
    </row>
    <row r="1641" spans="2:27" x14ac:dyDescent="0.25">
      <c r="B1641" s="42"/>
      <c r="AA1641" s="43"/>
    </row>
    <row r="1642" spans="2:27" x14ac:dyDescent="0.25">
      <c r="B1642" s="42"/>
      <c r="AA1642" s="43"/>
    </row>
    <row r="1643" spans="2:27" x14ac:dyDescent="0.25">
      <c r="B1643" s="42"/>
      <c r="AA1643" s="43"/>
    </row>
    <row r="1644" spans="2:27" x14ac:dyDescent="0.25">
      <c r="B1644" s="42"/>
      <c r="AA1644" s="43"/>
    </row>
    <row r="1645" spans="2:27" x14ac:dyDescent="0.25">
      <c r="B1645" s="42"/>
      <c r="AA1645" s="43"/>
    </row>
    <row r="1646" spans="2:27" x14ac:dyDescent="0.25">
      <c r="B1646" s="42"/>
      <c r="AA1646" s="43"/>
    </row>
    <row r="1647" spans="2:27" x14ac:dyDescent="0.25">
      <c r="B1647" s="42"/>
      <c r="AA1647" s="43"/>
    </row>
    <row r="1648" spans="2:27" x14ac:dyDescent="0.25">
      <c r="B1648" s="42"/>
      <c r="AA1648" s="43"/>
    </row>
    <row r="1649" spans="2:27" x14ac:dyDescent="0.25">
      <c r="B1649" s="42"/>
      <c r="AA1649" s="43"/>
    </row>
    <row r="1650" spans="2:27" x14ac:dyDescent="0.25">
      <c r="B1650" s="42"/>
      <c r="AA1650" s="43"/>
    </row>
    <row r="1651" spans="2:27" x14ac:dyDescent="0.25">
      <c r="B1651" s="42"/>
      <c r="AA1651" s="43"/>
    </row>
    <row r="1652" spans="2:27" x14ac:dyDescent="0.25">
      <c r="B1652" s="42"/>
      <c r="AA1652" s="43"/>
    </row>
    <row r="1653" spans="2:27" x14ac:dyDescent="0.25">
      <c r="B1653" s="42"/>
      <c r="AA1653" s="43"/>
    </row>
    <row r="1654" spans="2:27" x14ac:dyDescent="0.25">
      <c r="B1654" s="42"/>
      <c r="AA1654" s="43"/>
    </row>
    <row r="1655" spans="2:27" x14ac:dyDescent="0.25">
      <c r="B1655" s="42"/>
      <c r="AA1655" s="43"/>
    </row>
    <row r="1656" spans="2:27" x14ac:dyDescent="0.25">
      <c r="B1656" s="42"/>
      <c r="AA1656" s="43"/>
    </row>
    <row r="1657" spans="2:27" x14ac:dyDescent="0.25">
      <c r="B1657" s="42"/>
      <c r="AA1657" s="43"/>
    </row>
    <row r="1658" spans="2:27" x14ac:dyDescent="0.25">
      <c r="B1658" s="42"/>
      <c r="AA1658" s="43"/>
    </row>
    <row r="1659" spans="2:27" x14ac:dyDescent="0.25">
      <c r="B1659" s="42"/>
      <c r="AA1659" s="43"/>
    </row>
    <row r="1660" spans="2:27" x14ac:dyDescent="0.25">
      <c r="B1660" s="42"/>
      <c r="AA1660" s="43"/>
    </row>
    <row r="1661" spans="2:27" x14ac:dyDescent="0.25">
      <c r="B1661" s="42"/>
      <c r="AA1661" s="43"/>
    </row>
    <row r="1662" spans="2:27" x14ac:dyDescent="0.25">
      <c r="B1662" s="42"/>
      <c r="AA1662" s="43"/>
    </row>
    <row r="1663" spans="2:27" x14ac:dyDescent="0.25">
      <c r="B1663" s="42"/>
      <c r="AA1663" s="43"/>
    </row>
    <row r="1664" spans="2:27" x14ac:dyDescent="0.25">
      <c r="B1664" s="42"/>
      <c r="AA1664" s="43"/>
    </row>
    <row r="1665" spans="2:27" x14ac:dyDescent="0.25">
      <c r="B1665" s="42"/>
      <c r="AA1665" s="43"/>
    </row>
    <row r="1666" spans="2:27" x14ac:dyDescent="0.25">
      <c r="B1666" s="42"/>
      <c r="AA1666" s="43"/>
    </row>
    <row r="1667" spans="2:27" x14ac:dyDescent="0.25">
      <c r="B1667" s="42"/>
      <c r="AA1667" s="43"/>
    </row>
    <row r="1668" spans="2:27" x14ac:dyDescent="0.25">
      <c r="B1668" s="42"/>
      <c r="AA1668" s="43"/>
    </row>
    <row r="1669" spans="2:27" x14ac:dyDescent="0.25">
      <c r="B1669" s="42"/>
      <c r="AA1669" s="43"/>
    </row>
    <row r="1670" spans="2:27" x14ac:dyDescent="0.25">
      <c r="B1670" s="42"/>
      <c r="AA1670" s="43"/>
    </row>
    <row r="1671" spans="2:27" x14ac:dyDescent="0.25">
      <c r="B1671" s="42"/>
      <c r="AA1671" s="43"/>
    </row>
    <row r="1672" spans="2:27" x14ac:dyDescent="0.25">
      <c r="B1672" s="42"/>
      <c r="AA1672" s="43"/>
    </row>
    <row r="1673" spans="2:27" x14ac:dyDescent="0.25">
      <c r="B1673" s="42"/>
      <c r="AA1673" s="43"/>
    </row>
    <row r="1674" spans="2:27" x14ac:dyDescent="0.25">
      <c r="B1674" s="42"/>
      <c r="AA1674" s="43"/>
    </row>
    <row r="1675" spans="2:27" x14ac:dyDescent="0.25">
      <c r="B1675" s="42"/>
      <c r="AA1675" s="43"/>
    </row>
    <row r="1676" spans="2:27" x14ac:dyDescent="0.25">
      <c r="B1676" s="42"/>
      <c r="AA1676" s="43"/>
    </row>
    <row r="1677" spans="2:27" x14ac:dyDescent="0.25">
      <c r="B1677" s="42"/>
      <c r="AA1677" s="43"/>
    </row>
    <row r="1678" spans="2:27" x14ac:dyDescent="0.25">
      <c r="B1678" s="42"/>
      <c r="AA1678" s="43"/>
    </row>
    <row r="1679" spans="2:27" x14ac:dyDescent="0.25">
      <c r="B1679" s="42"/>
      <c r="AA1679" s="43"/>
    </row>
    <row r="1680" spans="2:27" x14ac:dyDescent="0.25">
      <c r="B1680" s="42"/>
      <c r="AA1680" s="43"/>
    </row>
    <row r="1681" spans="2:27" x14ac:dyDescent="0.25">
      <c r="B1681" s="42"/>
      <c r="AA1681" s="43"/>
    </row>
    <row r="1682" spans="2:27" x14ac:dyDescent="0.25">
      <c r="B1682" s="42"/>
      <c r="AA1682" s="43"/>
    </row>
    <row r="1683" spans="2:27" x14ac:dyDescent="0.25">
      <c r="B1683" s="42"/>
      <c r="AA1683" s="43"/>
    </row>
    <row r="1684" spans="2:27" x14ac:dyDescent="0.25">
      <c r="B1684" s="42"/>
      <c r="AA1684" s="43"/>
    </row>
    <row r="1685" spans="2:27" x14ac:dyDescent="0.25">
      <c r="B1685" s="42"/>
      <c r="AA1685" s="43"/>
    </row>
    <row r="1686" spans="2:27" x14ac:dyDescent="0.25">
      <c r="B1686" s="42"/>
      <c r="AA1686" s="43"/>
    </row>
    <row r="1687" spans="2:27" x14ac:dyDescent="0.25">
      <c r="B1687" s="42"/>
      <c r="AA1687" s="43"/>
    </row>
    <row r="1688" spans="2:27" x14ac:dyDescent="0.25">
      <c r="B1688" s="42"/>
      <c r="AA1688" s="43"/>
    </row>
    <row r="1689" spans="2:27" x14ac:dyDescent="0.25">
      <c r="B1689" s="42"/>
      <c r="AA1689" s="43"/>
    </row>
    <row r="1690" spans="2:27" x14ac:dyDescent="0.25">
      <c r="B1690" s="42"/>
      <c r="AA1690" s="43"/>
    </row>
    <row r="1691" spans="2:27" x14ac:dyDescent="0.25">
      <c r="B1691" s="42"/>
      <c r="AA1691" s="43"/>
    </row>
    <row r="1692" spans="2:27" x14ac:dyDescent="0.25">
      <c r="B1692" s="42"/>
      <c r="AA1692" s="43"/>
    </row>
    <row r="1693" spans="2:27" x14ac:dyDescent="0.25">
      <c r="B1693" s="42"/>
      <c r="AA1693" s="43"/>
    </row>
    <row r="1694" spans="2:27" x14ac:dyDescent="0.25">
      <c r="B1694" s="42"/>
      <c r="AA1694" s="43"/>
    </row>
    <row r="1695" spans="2:27" x14ac:dyDescent="0.25">
      <c r="B1695" s="42"/>
      <c r="AA1695" s="43"/>
    </row>
    <row r="1696" spans="2:27" x14ac:dyDescent="0.25">
      <c r="B1696" s="42"/>
      <c r="AA1696" s="43"/>
    </row>
    <row r="1697" spans="2:27" x14ac:dyDescent="0.25">
      <c r="B1697" s="42"/>
      <c r="AA1697" s="43"/>
    </row>
    <row r="1698" spans="2:27" x14ac:dyDescent="0.25">
      <c r="B1698" s="42"/>
      <c r="AA1698" s="43"/>
    </row>
    <row r="1699" spans="2:27" x14ac:dyDescent="0.25">
      <c r="B1699" s="42"/>
      <c r="AA1699" s="43"/>
    </row>
    <row r="1700" spans="2:27" x14ac:dyDescent="0.25">
      <c r="B1700" s="42"/>
      <c r="AA1700" s="43"/>
    </row>
    <row r="1701" spans="2:27" x14ac:dyDescent="0.25">
      <c r="B1701" s="42"/>
      <c r="AA1701" s="43"/>
    </row>
    <row r="1702" spans="2:27" x14ac:dyDescent="0.25">
      <c r="B1702" s="42"/>
      <c r="AA1702" s="43"/>
    </row>
    <row r="1703" spans="2:27" x14ac:dyDescent="0.25">
      <c r="B1703" s="42"/>
      <c r="AA1703" s="43"/>
    </row>
    <row r="1704" spans="2:27" x14ac:dyDescent="0.25">
      <c r="B1704" s="42"/>
      <c r="AA1704" s="43"/>
    </row>
    <row r="1705" spans="2:27" x14ac:dyDescent="0.25">
      <c r="B1705" s="42"/>
      <c r="AA1705" s="43"/>
    </row>
    <row r="1706" spans="2:27" x14ac:dyDescent="0.25">
      <c r="B1706" s="42"/>
      <c r="AA1706" s="43"/>
    </row>
    <row r="1707" spans="2:27" x14ac:dyDescent="0.25">
      <c r="B1707" s="42"/>
      <c r="AA1707" s="43"/>
    </row>
    <row r="1708" spans="2:27" x14ac:dyDescent="0.25">
      <c r="B1708" s="42"/>
      <c r="AA1708" s="43"/>
    </row>
    <row r="1709" spans="2:27" x14ac:dyDescent="0.25">
      <c r="B1709" s="42"/>
      <c r="AA1709" s="43"/>
    </row>
    <row r="1710" spans="2:27" x14ac:dyDescent="0.25">
      <c r="B1710" s="42"/>
      <c r="AA1710" s="43"/>
    </row>
    <row r="1711" spans="2:27" x14ac:dyDescent="0.25">
      <c r="B1711" s="42"/>
      <c r="AA1711" s="43"/>
    </row>
    <row r="1712" spans="2:27" x14ac:dyDescent="0.25">
      <c r="B1712" s="42"/>
      <c r="AA1712" s="43"/>
    </row>
    <row r="1713" spans="2:27" x14ac:dyDescent="0.25">
      <c r="B1713" s="42"/>
      <c r="AA1713" s="43"/>
    </row>
    <row r="1714" spans="2:27" x14ac:dyDescent="0.25">
      <c r="B1714" s="42"/>
      <c r="AA1714" s="43"/>
    </row>
    <row r="1715" spans="2:27" x14ac:dyDescent="0.25">
      <c r="B1715" s="42"/>
      <c r="AA1715" s="43"/>
    </row>
    <row r="1716" spans="2:27" x14ac:dyDescent="0.25">
      <c r="B1716" s="42"/>
      <c r="AA1716" s="43"/>
    </row>
    <row r="1717" spans="2:27" x14ac:dyDescent="0.25">
      <c r="B1717" s="42"/>
      <c r="AA1717" s="43"/>
    </row>
    <row r="1718" spans="2:27" x14ac:dyDescent="0.25">
      <c r="B1718" s="42"/>
      <c r="AA1718" s="43"/>
    </row>
    <row r="1719" spans="2:27" x14ac:dyDescent="0.25">
      <c r="B1719" s="42"/>
      <c r="AA1719" s="43"/>
    </row>
    <row r="1720" spans="2:27" x14ac:dyDescent="0.25">
      <c r="B1720" s="42"/>
      <c r="AA1720" s="43"/>
    </row>
    <row r="1721" spans="2:27" x14ac:dyDescent="0.25">
      <c r="B1721" s="42"/>
      <c r="AA1721" s="43"/>
    </row>
    <row r="1722" spans="2:27" x14ac:dyDescent="0.25">
      <c r="B1722" s="42"/>
      <c r="AA1722" s="43"/>
    </row>
    <row r="1723" spans="2:27" x14ac:dyDescent="0.25">
      <c r="B1723" s="42"/>
      <c r="AA1723" s="43"/>
    </row>
    <row r="1724" spans="2:27" x14ac:dyDescent="0.25">
      <c r="B1724" s="42"/>
      <c r="AA1724" s="43"/>
    </row>
    <row r="1725" spans="2:27" x14ac:dyDescent="0.25">
      <c r="B1725" s="42"/>
      <c r="AA1725" s="43"/>
    </row>
    <row r="1726" spans="2:27" x14ac:dyDescent="0.25">
      <c r="B1726" s="42"/>
      <c r="AA1726" s="43"/>
    </row>
    <row r="1727" spans="2:27" x14ac:dyDescent="0.25">
      <c r="B1727" s="42"/>
      <c r="AA1727" s="43"/>
    </row>
    <row r="1728" spans="2:27" x14ac:dyDescent="0.25">
      <c r="B1728" s="42"/>
      <c r="AA1728" s="43"/>
    </row>
    <row r="1729" spans="2:27" x14ac:dyDescent="0.25">
      <c r="B1729" s="42"/>
      <c r="AA1729" s="43"/>
    </row>
    <row r="1730" spans="2:27" x14ac:dyDescent="0.25">
      <c r="B1730" s="42"/>
      <c r="AA1730" s="43"/>
    </row>
    <row r="1731" spans="2:27" x14ac:dyDescent="0.25">
      <c r="B1731" s="42"/>
      <c r="AA1731" s="43"/>
    </row>
    <row r="1732" spans="2:27" x14ac:dyDescent="0.25">
      <c r="B1732" s="42"/>
      <c r="AA1732" s="43"/>
    </row>
    <row r="1733" spans="2:27" x14ac:dyDescent="0.25">
      <c r="B1733" s="42"/>
      <c r="AA1733" s="43"/>
    </row>
    <row r="1734" spans="2:27" x14ac:dyDescent="0.25">
      <c r="B1734" s="42"/>
      <c r="AA1734" s="43"/>
    </row>
    <row r="1735" spans="2:27" x14ac:dyDescent="0.25">
      <c r="B1735" s="42"/>
      <c r="AA1735" s="43"/>
    </row>
    <row r="1736" spans="2:27" x14ac:dyDescent="0.25">
      <c r="B1736" s="42"/>
      <c r="AA1736" s="43"/>
    </row>
    <row r="1737" spans="2:27" x14ac:dyDescent="0.25">
      <c r="B1737" s="42"/>
      <c r="AA1737" s="43"/>
    </row>
    <row r="1738" spans="2:27" x14ac:dyDescent="0.25">
      <c r="B1738" s="42"/>
      <c r="AA1738" s="43"/>
    </row>
    <row r="1739" spans="2:27" x14ac:dyDescent="0.25">
      <c r="B1739" s="42"/>
      <c r="AA1739" s="43"/>
    </row>
    <row r="1740" spans="2:27" x14ac:dyDescent="0.25">
      <c r="B1740" s="42"/>
      <c r="AA1740" s="43"/>
    </row>
    <row r="1741" spans="2:27" x14ac:dyDescent="0.25">
      <c r="B1741" s="42"/>
      <c r="AA1741" s="43"/>
    </row>
    <row r="1742" spans="2:27" x14ac:dyDescent="0.25">
      <c r="B1742" s="42"/>
      <c r="AA1742" s="43"/>
    </row>
    <row r="1743" spans="2:27" x14ac:dyDescent="0.25">
      <c r="B1743" s="42"/>
      <c r="AA1743" s="43"/>
    </row>
    <row r="1744" spans="2:27" x14ac:dyDescent="0.25">
      <c r="B1744" s="42"/>
      <c r="AA1744" s="43"/>
    </row>
    <row r="1745" spans="2:27" x14ac:dyDescent="0.25">
      <c r="B1745" s="42"/>
      <c r="AA1745" s="43"/>
    </row>
    <row r="1746" spans="2:27" x14ac:dyDescent="0.25">
      <c r="B1746" s="42"/>
      <c r="AA1746" s="43"/>
    </row>
    <row r="1747" spans="2:27" x14ac:dyDescent="0.25">
      <c r="B1747" s="42"/>
      <c r="AA1747" s="43"/>
    </row>
    <row r="1748" spans="2:27" x14ac:dyDescent="0.25">
      <c r="B1748" s="42"/>
      <c r="AA1748" s="43"/>
    </row>
    <row r="1749" spans="2:27" x14ac:dyDescent="0.25">
      <c r="B1749" s="42"/>
      <c r="AA1749" s="43"/>
    </row>
    <row r="1750" spans="2:27" x14ac:dyDescent="0.25">
      <c r="B1750" s="42"/>
      <c r="AA1750" s="43"/>
    </row>
    <row r="1751" spans="2:27" x14ac:dyDescent="0.25">
      <c r="B1751" s="42"/>
      <c r="AA1751" s="43"/>
    </row>
    <row r="1752" spans="2:27" x14ac:dyDescent="0.25">
      <c r="B1752" s="42"/>
      <c r="AA1752" s="43"/>
    </row>
    <row r="1753" spans="2:27" x14ac:dyDescent="0.25">
      <c r="B1753" s="42"/>
      <c r="AA1753" s="43"/>
    </row>
    <row r="1754" spans="2:27" x14ac:dyDescent="0.25">
      <c r="B1754" s="42"/>
      <c r="AA1754" s="43"/>
    </row>
    <row r="1755" spans="2:27" x14ac:dyDescent="0.25">
      <c r="B1755" s="42"/>
      <c r="AA1755" s="43"/>
    </row>
    <row r="1756" spans="2:27" x14ac:dyDescent="0.25">
      <c r="B1756" s="42"/>
      <c r="AA1756" s="43"/>
    </row>
    <row r="1757" spans="2:27" x14ac:dyDescent="0.25">
      <c r="B1757" s="42"/>
      <c r="AA1757" s="43"/>
    </row>
    <row r="1758" spans="2:27" x14ac:dyDescent="0.25">
      <c r="B1758" s="42"/>
      <c r="AA1758" s="43"/>
    </row>
    <row r="1759" spans="2:27" x14ac:dyDescent="0.25">
      <c r="B1759" s="42"/>
      <c r="AA1759" s="43"/>
    </row>
    <row r="1760" spans="2:27" x14ac:dyDescent="0.25">
      <c r="B1760" s="42"/>
      <c r="AA1760" s="43"/>
    </row>
    <row r="1761" spans="2:27" x14ac:dyDescent="0.25">
      <c r="B1761" s="42"/>
      <c r="AA1761" s="43"/>
    </row>
    <row r="1762" spans="2:27" x14ac:dyDescent="0.25">
      <c r="B1762" s="42"/>
      <c r="AA1762" s="43"/>
    </row>
    <row r="1763" spans="2:27" x14ac:dyDescent="0.25">
      <c r="B1763" s="42"/>
      <c r="AA1763" s="43"/>
    </row>
    <row r="1764" spans="2:27" x14ac:dyDescent="0.25">
      <c r="B1764" s="42"/>
      <c r="AA1764" s="43"/>
    </row>
    <row r="1765" spans="2:27" x14ac:dyDescent="0.25">
      <c r="B1765" s="42"/>
      <c r="AA1765" s="43"/>
    </row>
    <row r="1766" spans="2:27" x14ac:dyDescent="0.25">
      <c r="B1766" s="42"/>
      <c r="AA1766" s="43"/>
    </row>
    <row r="1767" spans="2:27" x14ac:dyDescent="0.25">
      <c r="B1767" s="42"/>
      <c r="AA1767" s="43"/>
    </row>
    <row r="1768" spans="2:27" x14ac:dyDescent="0.25">
      <c r="B1768" s="42"/>
      <c r="AA1768" s="43"/>
    </row>
    <row r="1769" spans="2:27" x14ac:dyDescent="0.25">
      <c r="B1769" s="42"/>
      <c r="AA1769" s="43"/>
    </row>
    <row r="1770" spans="2:27" x14ac:dyDescent="0.25">
      <c r="B1770" s="42"/>
      <c r="AA1770" s="43"/>
    </row>
    <row r="1771" spans="2:27" x14ac:dyDescent="0.25">
      <c r="B1771" s="42"/>
      <c r="AA1771" s="43"/>
    </row>
    <row r="1772" spans="2:27" x14ac:dyDescent="0.25">
      <c r="B1772" s="42"/>
      <c r="AA1772" s="43"/>
    </row>
    <row r="1773" spans="2:27" x14ac:dyDescent="0.25">
      <c r="B1773" s="42"/>
      <c r="AA1773" s="43"/>
    </row>
    <row r="1774" spans="2:27" x14ac:dyDescent="0.25">
      <c r="B1774" s="42"/>
      <c r="AA1774" s="43"/>
    </row>
    <row r="1775" spans="2:27" x14ac:dyDescent="0.25">
      <c r="B1775" s="42"/>
      <c r="AA1775" s="43"/>
    </row>
    <row r="1776" spans="2:27" x14ac:dyDescent="0.25">
      <c r="B1776" s="42"/>
      <c r="AA1776" s="43"/>
    </row>
    <row r="1777" spans="2:27" x14ac:dyDescent="0.25">
      <c r="B1777" s="42"/>
      <c r="AA1777" s="43"/>
    </row>
    <row r="1778" spans="2:27" x14ac:dyDescent="0.25">
      <c r="B1778" s="42"/>
      <c r="AA1778" s="43"/>
    </row>
    <row r="1779" spans="2:27" x14ac:dyDescent="0.25">
      <c r="B1779" s="42"/>
      <c r="AA1779" s="43"/>
    </row>
    <row r="1780" spans="2:27" x14ac:dyDescent="0.25">
      <c r="B1780" s="42"/>
      <c r="AA1780" s="43"/>
    </row>
    <row r="1781" spans="2:27" x14ac:dyDescent="0.25">
      <c r="B1781" s="42"/>
      <c r="AA1781" s="43"/>
    </row>
    <row r="1782" spans="2:27" x14ac:dyDescent="0.25">
      <c r="B1782" s="42"/>
      <c r="AA1782" s="43"/>
    </row>
    <row r="1783" spans="2:27" x14ac:dyDescent="0.25">
      <c r="B1783" s="42"/>
      <c r="AA1783" s="43"/>
    </row>
    <row r="1784" spans="2:27" x14ac:dyDescent="0.25">
      <c r="B1784" s="42"/>
      <c r="AA1784" s="43"/>
    </row>
    <row r="1785" spans="2:27" x14ac:dyDescent="0.25">
      <c r="B1785" s="42"/>
      <c r="AA1785" s="43"/>
    </row>
    <row r="1786" spans="2:27" x14ac:dyDescent="0.25">
      <c r="B1786" s="42"/>
      <c r="AA1786" s="43"/>
    </row>
    <row r="1787" spans="2:27" x14ac:dyDescent="0.25">
      <c r="B1787" s="42"/>
      <c r="AA1787" s="43"/>
    </row>
    <row r="1788" spans="2:27" x14ac:dyDescent="0.25">
      <c r="B1788" s="42"/>
      <c r="AA1788" s="43"/>
    </row>
    <row r="1789" spans="2:27" x14ac:dyDescent="0.25">
      <c r="B1789" s="42"/>
      <c r="AA1789" s="43"/>
    </row>
    <row r="1790" spans="2:27" x14ac:dyDescent="0.25">
      <c r="B1790" s="42"/>
      <c r="AA1790" s="43"/>
    </row>
    <row r="1791" spans="2:27" x14ac:dyDescent="0.25">
      <c r="B1791" s="42"/>
      <c r="AA1791" s="43"/>
    </row>
    <row r="1792" spans="2:27" x14ac:dyDescent="0.25">
      <c r="B1792" s="42"/>
      <c r="AA1792" s="43"/>
    </row>
    <row r="1793" spans="2:27" x14ac:dyDescent="0.25">
      <c r="B1793" s="42"/>
      <c r="AA1793" s="43"/>
    </row>
    <row r="1794" spans="2:27" x14ac:dyDescent="0.25">
      <c r="B1794" s="42"/>
      <c r="AA1794" s="43"/>
    </row>
    <row r="1795" spans="2:27" x14ac:dyDescent="0.25">
      <c r="B1795" s="42"/>
      <c r="AA1795" s="43"/>
    </row>
    <row r="1796" spans="2:27" x14ac:dyDescent="0.25">
      <c r="B1796" s="42"/>
      <c r="AA1796" s="43"/>
    </row>
    <row r="1797" spans="2:27" x14ac:dyDescent="0.25">
      <c r="B1797" s="42"/>
      <c r="AA1797" s="43"/>
    </row>
    <row r="1798" spans="2:27" x14ac:dyDescent="0.25">
      <c r="B1798" s="42"/>
      <c r="AA1798" s="43"/>
    </row>
    <row r="1799" spans="2:27" x14ac:dyDescent="0.25">
      <c r="B1799" s="42"/>
      <c r="AA1799" s="43"/>
    </row>
    <row r="1800" spans="2:27" x14ac:dyDescent="0.25">
      <c r="B1800" s="42"/>
      <c r="AA1800" s="43"/>
    </row>
    <row r="1801" spans="2:27" x14ac:dyDescent="0.25">
      <c r="B1801" s="42"/>
      <c r="AA1801" s="43"/>
    </row>
    <row r="1802" spans="2:27" x14ac:dyDescent="0.25">
      <c r="B1802" s="42"/>
      <c r="AA1802" s="43"/>
    </row>
    <row r="1803" spans="2:27" x14ac:dyDescent="0.25">
      <c r="B1803" s="42"/>
      <c r="AA1803" s="43"/>
    </row>
    <row r="1804" spans="2:27" x14ac:dyDescent="0.25">
      <c r="B1804" s="42"/>
      <c r="AA1804" s="43"/>
    </row>
    <row r="1805" spans="2:27" x14ac:dyDescent="0.25">
      <c r="B1805" s="42"/>
      <c r="AA1805" s="43"/>
    </row>
    <row r="1806" spans="2:27" x14ac:dyDescent="0.25">
      <c r="B1806" s="42"/>
      <c r="AA1806" s="43"/>
    </row>
    <row r="1807" spans="2:27" x14ac:dyDescent="0.25">
      <c r="B1807" s="42"/>
      <c r="AA1807" s="43"/>
    </row>
    <row r="1808" spans="2:27" x14ac:dyDescent="0.25">
      <c r="B1808" s="42"/>
      <c r="AA1808" s="43"/>
    </row>
    <row r="1809" spans="2:27" x14ac:dyDescent="0.25">
      <c r="B1809" s="42"/>
      <c r="AA1809" s="43"/>
    </row>
    <row r="1810" spans="2:27" x14ac:dyDescent="0.25">
      <c r="B1810" s="42"/>
      <c r="AA1810" s="43"/>
    </row>
    <row r="1811" spans="2:27" x14ac:dyDescent="0.25">
      <c r="B1811" s="42"/>
      <c r="AA1811" s="43"/>
    </row>
    <row r="1812" spans="2:27" x14ac:dyDescent="0.25">
      <c r="B1812" s="42"/>
      <c r="AA1812" s="43"/>
    </row>
    <row r="1813" spans="2:27" x14ac:dyDescent="0.25">
      <c r="B1813" s="42"/>
      <c r="AA1813" s="43"/>
    </row>
    <row r="1814" spans="2:27" x14ac:dyDescent="0.25">
      <c r="B1814" s="42"/>
      <c r="AA1814" s="43"/>
    </row>
    <row r="1815" spans="2:27" x14ac:dyDescent="0.25">
      <c r="B1815" s="42"/>
      <c r="AA1815" s="43"/>
    </row>
    <row r="1816" spans="2:27" x14ac:dyDescent="0.25">
      <c r="B1816" s="42"/>
      <c r="AA1816" s="43"/>
    </row>
    <row r="1817" spans="2:27" x14ac:dyDescent="0.25">
      <c r="B1817" s="42"/>
      <c r="AA1817" s="43"/>
    </row>
    <row r="1818" spans="2:27" x14ac:dyDescent="0.25">
      <c r="B1818" s="42"/>
      <c r="AA1818" s="43"/>
    </row>
    <row r="1819" spans="2:27" x14ac:dyDescent="0.25">
      <c r="B1819" s="42"/>
      <c r="AA1819" s="43"/>
    </row>
    <row r="1820" spans="2:27" x14ac:dyDescent="0.25">
      <c r="B1820" s="42"/>
      <c r="AA1820" s="43"/>
    </row>
    <row r="1821" spans="2:27" x14ac:dyDescent="0.25">
      <c r="B1821" s="42"/>
      <c r="AA1821" s="43"/>
    </row>
    <row r="1822" spans="2:27" x14ac:dyDescent="0.25">
      <c r="B1822" s="42"/>
      <c r="AA1822" s="43"/>
    </row>
    <row r="1823" spans="2:27" x14ac:dyDescent="0.25">
      <c r="B1823" s="42"/>
      <c r="AA1823" s="43"/>
    </row>
    <row r="1824" spans="2:27" x14ac:dyDescent="0.25">
      <c r="B1824" s="42"/>
      <c r="AA1824" s="43"/>
    </row>
    <row r="1825" spans="2:27" x14ac:dyDescent="0.25">
      <c r="B1825" s="42"/>
      <c r="AA1825" s="43"/>
    </row>
    <row r="1826" spans="2:27" x14ac:dyDescent="0.25">
      <c r="B1826" s="42"/>
      <c r="AA1826" s="43"/>
    </row>
    <row r="1827" spans="2:27" x14ac:dyDescent="0.25">
      <c r="B1827" s="42"/>
      <c r="AA1827" s="43"/>
    </row>
    <row r="1828" spans="2:27" x14ac:dyDescent="0.25">
      <c r="B1828" s="42"/>
      <c r="AA1828" s="43"/>
    </row>
    <row r="1829" spans="2:27" x14ac:dyDescent="0.25">
      <c r="B1829" s="42"/>
      <c r="AA1829" s="43"/>
    </row>
    <row r="1830" spans="2:27" x14ac:dyDescent="0.25">
      <c r="B1830" s="42"/>
      <c r="AA1830" s="43"/>
    </row>
    <row r="1831" spans="2:27" x14ac:dyDescent="0.25">
      <c r="B1831" s="42"/>
      <c r="AA1831" s="43"/>
    </row>
    <row r="1832" spans="2:27" x14ac:dyDescent="0.25">
      <c r="B1832" s="42"/>
      <c r="AA1832" s="43"/>
    </row>
    <row r="1833" spans="2:27" x14ac:dyDescent="0.25">
      <c r="B1833" s="42"/>
      <c r="AA1833" s="43"/>
    </row>
    <row r="1834" spans="2:27" x14ac:dyDescent="0.25">
      <c r="B1834" s="42"/>
      <c r="AA1834" s="43"/>
    </row>
    <row r="1835" spans="2:27" x14ac:dyDescent="0.25">
      <c r="B1835" s="42"/>
      <c r="AA1835" s="43"/>
    </row>
    <row r="1836" spans="2:27" x14ac:dyDescent="0.25">
      <c r="B1836" s="42"/>
      <c r="AA1836" s="43"/>
    </row>
    <row r="1837" spans="2:27" x14ac:dyDescent="0.25">
      <c r="B1837" s="42"/>
      <c r="AA1837" s="43"/>
    </row>
    <row r="1838" spans="2:27" x14ac:dyDescent="0.25">
      <c r="B1838" s="42"/>
      <c r="AA1838" s="43"/>
    </row>
    <row r="1839" spans="2:27" x14ac:dyDescent="0.25">
      <c r="B1839" s="42"/>
      <c r="AA1839" s="43"/>
    </row>
    <row r="1840" spans="2:27" x14ac:dyDescent="0.25">
      <c r="B1840" s="42"/>
      <c r="AA1840" s="43"/>
    </row>
    <row r="1841" spans="2:27" x14ac:dyDescent="0.25">
      <c r="B1841" s="42"/>
      <c r="AA1841" s="43"/>
    </row>
    <row r="1842" spans="2:27" x14ac:dyDescent="0.25">
      <c r="B1842" s="42"/>
      <c r="AA1842" s="43"/>
    </row>
    <row r="1843" spans="2:27" x14ac:dyDescent="0.25">
      <c r="B1843" s="42"/>
      <c r="AA1843" s="43"/>
    </row>
    <row r="1844" spans="2:27" x14ac:dyDescent="0.25">
      <c r="B1844" s="42"/>
      <c r="AA1844" s="43"/>
    </row>
    <row r="1845" spans="2:27" x14ac:dyDescent="0.25">
      <c r="B1845" s="42"/>
      <c r="AA1845" s="43"/>
    </row>
    <row r="1846" spans="2:27" x14ac:dyDescent="0.25">
      <c r="B1846" s="42"/>
      <c r="AA1846" s="43"/>
    </row>
    <row r="1847" spans="2:27" x14ac:dyDescent="0.25">
      <c r="B1847" s="42"/>
      <c r="AA1847" s="43"/>
    </row>
    <row r="1848" spans="2:27" x14ac:dyDescent="0.25">
      <c r="B1848" s="42"/>
      <c r="AA1848" s="43"/>
    </row>
    <row r="1849" spans="2:27" x14ac:dyDescent="0.25">
      <c r="B1849" s="42"/>
      <c r="AA1849" s="43"/>
    </row>
    <row r="1850" spans="2:27" x14ac:dyDescent="0.25">
      <c r="B1850" s="42"/>
      <c r="AA1850" s="43"/>
    </row>
    <row r="1851" spans="2:27" x14ac:dyDescent="0.25">
      <c r="B1851" s="42"/>
      <c r="AA1851" s="43"/>
    </row>
    <row r="1852" spans="2:27" x14ac:dyDescent="0.25">
      <c r="B1852" s="42"/>
      <c r="AA1852" s="43"/>
    </row>
    <row r="1853" spans="2:27" x14ac:dyDescent="0.25">
      <c r="B1853" s="42"/>
      <c r="AA1853" s="43"/>
    </row>
    <row r="1854" spans="2:27" x14ac:dyDescent="0.25">
      <c r="B1854" s="42"/>
      <c r="AA1854" s="43"/>
    </row>
    <row r="1855" spans="2:27" x14ac:dyDescent="0.25">
      <c r="B1855" s="42"/>
      <c r="AA1855" s="43"/>
    </row>
    <row r="1856" spans="2:27" x14ac:dyDescent="0.25">
      <c r="B1856" s="42"/>
      <c r="AA1856" s="43"/>
    </row>
    <row r="1857" spans="2:27" x14ac:dyDescent="0.25">
      <c r="B1857" s="42"/>
      <c r="AA1857" s="43"/>
    </row>
    <row r="1858" spans="2:27" x14ac:dyDescent="0.25">
      <c r="B1858" s="42"/>
      <c r="AA1858" s="43"/>
    </row>
    <row r="1859" spans="2:27" x14ac:dyDescent="0.25">
      <c r="B1859" s="42"/>
      <c r="AA1859" s="43"/>
    </row>
    <row r="1860" spans="2:27" x14ac:dyDescent="0.25">
      <c r="B1860" s="42"/>
      <c r="AA1860" s="43"/>
    </row>
    <row r="1861" spans="2:27" x14ac:dyDescent="0.25">
      <c r="B1861" s="42"/>
      <c r="AA1861" s="43"/>
    </row>
    <row r="1862" spans="2:27" x14ac:dyDescent="0.25">
      <c r="B1862" s="42"/>
      <c r="AA1862" s="43"/>
    </row>
    <row r="1863" spans="2:27" x14ac:dyDescent="0.25">
      <c r="B1863" s="42"/>
      <c r="AA1863" s="43"/>
    </row>
    <row r="1864" spans="2:27" x14ac:dyDescent="0.25">
      <c r="B1864" s="42"/>
      <c r="AA1864" s="43"/>
    </row>
    <row r="1865" spans="2:27" x14ac:dyDescent="0.25">
      <c r="B1865" s="42"/>
      <c r="AA1865" s="43"/>
    </row>
    <row r="1866" spans="2:27" x14ac:dyDescent="0.25">
      <c r="B1866" s="42"/>
      <c r="AA1866" s="43"/>
    </row>
    <row r="1867" spans="2:27" x14ac:dyDescent="0.25">
      <c r="B1867" s="42"/>
      <c r="AA1867" s="43"/>
    </row>
    <row r="1868" spans="2:27" x14ac:dyDescent="0.25">
      <c r="B1868" s="42"/>
      <c r="AA1868" s="43"/>
    </row>
    <row r="1869" spans="2:27" x14ac:dyDescent="0.25">
      <c r="B1869" s="42"/>
      <c r="AA1869" s="43"/>
    </row>
    <row r="1870" spans="2:27" x14ac:dyDescent="0.25">
      <c r="B1870" s="42"/>
      <c r="AA1870" s="43"/>
    </row>
    <row r="1871" spans="2:27" x14ac:dyDescent="0.25">
      <c r="B1871" s="42"/>
      <c r="AA1871" s="43"/>
    </row>
    <row r="1872" spans="2:27" x14ac:dyDescent="0.25">
      <c r="B1872" s="42"/>
      <c r="AA1872" s="43"/>
    </row>
    <row r="1873" spans="2:27" x14ac:dyDescent="0.25">
      <c r="B1873" s="42"/>
      <c r="AA1873" s="43"/>
    </row>
    <row r="1874" spans="2:27" x14ac:dyDescent="0.25">
      <c r="B1874" s="42"/>
      <c r="AA1874" s="43"/>
    </row>
    <row r="1875" spans="2:27" x14ac:dyDescent="0.25">
      <c r="B1875" s="42"/>
      <c r="AA1875" s="43"/>
    </row>
    <row r="1876" spans="2:27" x14ac:dyDescent="0.25">
      <c r="B1876" s="42"/>
      <c r="AA1876" s="43"/>
    </row>
    <row r="1877" spans="2:27" x14ac:dyDescent="0.25">
      <c r="B1877" s="42"/>
      <c r="AA1877" s="43"/>
    </row>
    <row r="1878" spans="2:27" x14ac:dyDescent="0.25">
      <c r="B1878" s="42"/>
      <c r="AA1878" s="43"/>
    </row>
    <row r="1879" spans="2:27" x14ac:dyDescent="0.25">
      <c r="B1879" s="42"/>
      <c r="AA1879" s="43"/>
    </row>
    <row r="1880" spans="2:27" x14ac:dyDescent="0.25">
      <c r="B1880" s="42"/>
      <c r="AA1880" s="43"/>
    </row>
    <row r="1881" spans="2:27" x14ac:dyDescent="0.25">
      <c r="B1881" s="42"/>
      <c r="AA1881" s="43"/>
    </row>
    <row r="1882" spans="2:27" x14ac:dyDescent="0.25">
      <c r="B1882" s="42"/>
      <c r="AA1882" s="43"/>
    </row>
    <row r="1883" spans="2:27" x14ac:dyDescent="0.25">
      <c r="B1883" s="42"/>
      <c r="AA1883" s="43"/>
    </row>
    <row r="1884" spans="2:27" x14ac:dyDescent="0.25">
      <c r="B1884" s="42"/>
      <c r="AA1884" s="43"/>
    </row>
    <row r="1885" spans="2:27" x14ac:dyDescent="0.25">
      <c r="B1885" s="42"/>
      <c r="AA1885" s="43"/>
    </row>
    <row r="1886" spans="2:27" x14ac:dyDescent="0.25">
      <c r="B1886" s="42"/>
      <c r="AA1886" s="43"/>
    </row>
    <row r="1887" spans="2:27" x14ac:dyDescent="0.25">
      <c r="B1887" s="42"/>
      <c r="AA1887" s="43"/>
    </row>
    <row r="1888" spans="2:27" x14ac:dyDescent="0.25">
      <c r="B1888" s="42"/>
      <c r="AA1888" s="43"/>
    </row>
    <row r="1889" spans="2:27" x14ac:dyDescent="0.25">
      <c r="B1889" s="42"/>
      <c r="AA1889" s="43"/>
    </row>
    <row r="1890" spans="2:27" x14ac:dyDescent="0.25">
      <c r="B1890" s="42"/>
      <c r="AA1890" s="43"/>
    </row>
    <row r="1891" spans="2:27" x14ac:dyDescent="0.25">
      <c r="B1891" s="42"/>
      <c r="AA1891" s="43"/>
    </row>
    <row r="1892" spans="2:27" x14ac:dyDescent="0.25">
      <c r="B1892" s="42"/>
      <c r="AA1892" s="43"/>
    </row>
    <row r="1893" spans="2:27" x14ac:dyDescent="0.25">
      <c r="B1893" s="42"/>
      <c r="AA1893" s="43"/>
    </row>
    <row r="1894" spans="2:27" x14ac:dyDescent="0.25">
      <c r="B1894" s="42"/>
      <c r="AA1894" s="43"/>
    </row>
    <row r="1895" spans="2:27" x14ac:dyDescent="0.25">
      <c r="B1895" s="42"/>
      <c r="AA1895" s="43"/>
    </row>
    <row r="1896" spans="2:27" x14ac:dyDescent="0.25">
      <c r="B1896" s="42"/>
      <c r="AA1896" s="43"/>
    </row>
    <row r="1897" spans="2:27" x14ac:dyDescent="0.25">
      <c r="B1897" s="42"/>
      <c r="AA1897" s="43"/>
    </row>
    <row r="1898" spans="2:27" x14ac:dyDescent="0.25">
      <c r="B1898" s="42"/>
      <c r="AA1898" s="43"/>
    </row>
    <row r="1899" spans="2:27" x14ac:dyDescent="0.25">
      <c r="B1899" s="42"/>
      <c r="AA1899" s="43"/>
    </row>
    <row r="1900" spans="2:27" x14ac:dyDescent="0.25">
      <c r="B1900" s="42"/>
      <c r="AA1900" s="43"/>
    </row>
    <row r="1901" spans="2:27" x14ac:dyDescent="0.25">
      <c r="B1901" s="42"/>
      <c r="AA1901" s="43"/>
    </row>
    <row r="1902" spans="2:27" x14ac:dyDescent="0.25">
      <c r="B1902" s="42"/>
      <c r="AA1902" s="43"/>
    </row>
    <row r="1903" spans="2:27" x14ac:dyDescent="0.25">
      <c r="B1903" s="42"/>
      <c r="AA1903" s="43"/>
    </row>
    <row r="1904" spans="2:27" x14ac:dyDescent="0.25">
      <c r="B1904" s="42"/>
      <c r="AA1904" s="43"/>
    </row>
    <row r="1905" spans="2:27" x14ac:dyDescent="0.25">
      <c r="B1905" s="42"/>
      <c r="AA1905" s="43"/>
    </row>
    <row r="1906" spans="2:27" x14ac:dyDescent="0.25">
      <c r="B1906" s="42"/>
      <c r="AA1906" s="43"/>
    </row>
    <row r="1907" spans="2:27" x14ac:dyDescent="0.25">
      <c r="B1907" s="42"/>
      <c r="AA1907" s="43"/>
    </row>
    <row r="1908" spans="2:27" x14ac:dyDescent="0.25">
      <c r="B1908" s="42"/>
      <c r="AA1908" s="43"/>
    </row>
    <row r="1909" spans="2:27" x14ac:dyDescent="0.25">
      <c r="B1909" s="42"/>
      <c r="AA1909" s="43"/>
    </row>
    <row r="1910" spans="2:27" x14ac:dyDescent="0.25">
      <c r="B1910" s="42"/>
      <c r="AA1910" s="43"/>
    </row>
    <row r="1911" spans="2:27" x14ac:dyDescent="0.25">
      <c r="B1911" s="42"/>
      <c r="AA1911" s="43"/>
    </row>
    <row r="1912" spans="2:27" x14ac:dyDescent="0.25">
      <c r="B1912" s="42"/>
      <c r="AA1912" s="43"/>
    </row>
    <row r="1913" spans="2:27" x14ac:dyDescent="0.25">
      <c r="B1913" s="42"/>
      <c r="AA1913" s="43"/>
    </row>
    <row r="1914" spans="2:27" x14ac:dyDescent="0.25">
      <c r="B1914" s="42"/>
      <c r="AA1914" s="43"/>
    </row>
    <row r="1915" spans="2:27" x14ac:dyDescent="0.25">
      <c r="B1915" s="42"/>
      <c r="AA1915" s="43"/>
    </row>
    <row r="1916" spans="2:27" x14ac:dyDescent="0.25">
      <c r="B1916" s="42"/>
      <c r="AA1916" s="43"/>
    </row>
    <row r="1917" spans="2:27" x14ac:dyDescent="0.25">
      <c r="B1917" s="42"/>
      <c r="AA1917" s="43"/>
    </row>
    <row r="1918" spans="2:27" x14ac:dyDescent="0.25">
      <c r="B1918" s="42"/>
      <c r="AA1918" s="43"/>
    </row>
    <row r="1919" spans="2:27" x14ac:dyDescent="0.25">
      <c r="B1919" s="42"/>
      <c r="AA1919" s="43"/>
    </row>
    <row r="1920" spans="2:27" x14ac:dyDescent="0.25">
      <c r="B1920" s="42"/>
      <c r="AA1920" s="43"/>
    </row>
    <row r="1921" spans="2:27" x14ac:dyDescent="0.25">
      <c r="B1921" s="42"/>
      <c r="AA1921" s="43"/>
    </row>
    <row r="1922" spans="2:27" x14ac:dyDescent="0.25">
      <c r="B1922" s="42"/>
      <c r="AA1922" s="43"/>
    </row>
    <row r="1923" spans="2:27" x14ac:dyDescent="0.25">
      <c r="B1923" s="42"/>
      <c r="AA1923" s="43"/>
    </row>
    <row r="1924" spans="2:27" x14ac:dyDescent="0.25">
      <c r="B1924" s="42"/>
      <c r="AA1924" s="43"/>
    </row>
    <row r="1925" spans="2:27" x14ac:dyDescent="0.25">
      <c r="B1925" s="42"/>
      <c r="AA1925" s="43"/>
    </row>
    <row r="1926" spans="2:27" x14ac:dyDescent="0.25">
      <c r="B1926" s="42"/>
      <c r="AA1926" s="43"/>
    </row>
    <row r="1927" spans="2:27" x14ac:dyDescent="0.25">
      <c r="B1927" s="42"/>
      <c r="AA1927" s="43"/>
    </row>
    <row r="1928" spans="2:27" x14ac:dyDescent="0.25">
      <c r="B1928" s="42"/>
      <c r="AA1928" s="43"/>
    </row>
    <row r="1929" spans="2:27" x14ac:dyDescent="0.25">
      <c r="B1929" s="42"/>
      <c r="AA1929" s="43"/>
    </row>
    <row r="1930" spans="2:27" x14ac:dyDescent="0.25">
      <c r="B1930" s="42"/>
      <c r="AA1930" s="43"/>
    </row>
    <row r="1931" spans="2:27" x14ac:dyDescent="0.25">
      <c r="B1931" s="42"/>
      <c r="AA1931" s="43"/>
    </row>
    <row r="1932" spans="2:27" x14ac:dyDescent="0.25">
      <c r="B1932" s="42"/>
      <c r="AA1932" s="43"/>
    </row>
    <row r="1933" spans="2:27" x14ac:dyDescent="0.25">
      <c r="B1933" s="42"/>
      <c r="AA1933" s="43"/>
    </row>
    <row r="1934" spans="2:27" x14ac:dyDescent="0.25">
      <c r="B1934" s="42"/>
      <c r="AA1934" s="43"/>
    </row>
    <row r="1935" spans="2:27" x14ac:dyDescent="0.25">
      <c r="B1935" s="42"/>
      <c r="AA1935" s="43"/>
    </row>
    <row r="1936" spans="2:27" x14ac:dyDescent="0.25">
      <c r="B1936" s="42"/>
      <c r="AA1936" s="43"/>
    </row>
    <row r="1937" spans="2:27" x14ac:dyDescent="0.25">
      <c r="B1937" s="42"/>
      <c r="AA1937" s="43"/>
    </row>
    <row r="1938" spans="2:27" x14ac:dyDescent="0.25">
      <c r="B1938" s="42"/>
      <c r="AA1938" s="43"/>
    </row>
    <row r="1939" spans="2:27" x14ac:dyDescent="0.25">
      <c r="B1939" s="42"/>
      <c r="AA1939" s="43"/>
    </row>
    <row r="1940" spans="2:27" x14ac:dyDescent="0.25">
      <c r="B1940" s="42"/>
      <c r="AA1940" s="43"/>
    </row>
    <row r="1941" spans="2:27" x14ac:dyDescent="0.25">
      <c r="B1941" s="42"/>
      <c r="AA1941" s="43"/>
    </row>
    <row r="1942" spans="2:27" x14ac:dyDescent="0.25">
      <c r="B1942" s="42"/>
      <c r="AA1942" s="43"/>
    </row>
    <row r="1943" spans="2:27" x14ac:dyDescent="0.25">
      <c r="B1943" s="42"/>
      <c r="AA1943" s="43"/>
    </row>
    <row r="1944" spans="2:27" x14ac:dyDescent="0.25">
      <c r="B1944" s="42"/>
      <c r="AA1944" s="43"/>
    </row>
    <row r="1945" spans="2:27" x14ac:dyDescent="0.25">
      <c r="B1945" s="42"/>
      <c r="AA1945" s="43"/>
    </row>
    <row r="1946" spans="2:27" x14ac:dyDescent="0.25">
      <c r="B1946" s="42"/>
      <c r="AA1946" s="43"/>
    </row>
    <row r="1947" spans="2:27" x14ac:dyDescent="0.25">
      <c r="B1947" s="42"/>
      <c r="AA1947" s="43"/>
    </row>
    <row r="1948" spans="2:27" x14ac:dyDescent="0.25">
      <c r="B1948" s="42"/>
      <c r="AA1948" s="43"/>
    </row>
    <row r="1949" spans="2:27" x14ac:dyDescent="0.25">
      <c r="B1949" s="42"/>
      <c r="AA1949" s="43"/>
    </row>
    <row r="1950" spans="2:27" x14ac:dyDescent="0.25">
      <c r="B1950" s="42"/>
      <c r="AA1950" s="43"/>
    </row>
    <row r="1951" spans="2:27" x14ac:dyDescent="0.25">
      <c r="B1951" s="42"/>
      <c r="AA1951" s="43"/>
    </row>
    <row r="1952" spans="2:27" x14ac:dyDescent="0.25">
      <c r="B1952" s="42"/>
      <c r="AA1952" s="43"/>
    </row>
    <row r="1953" spans="2:27" x14ac:dyDescent="0.25">
      <c r="B1953" s="42"/>
      <c r="AA1953" s="43"/>
    </row>
    <row r="1954" spans="2:27" x14ac:dyDescent="0.25">
      <c r="B1954" s="42"/>
      <c r="AA1954" s="43"/>
    </row>
    <row r="1955" spans="2:27" x14ac:dyDescent="0.25">
      <c r="B1955" s="42"/>
      <c r="AA1955" s="43"/>
    </row>
    <row r="1956" spans="2:27" x14ac:dyDescent="0.25">
      <c r="B1956" s="42"/>
      <c r="AA1956" s="43"/>
    </row>
    <row r="1957" spans="2:27" x14ac:dyDescent="0.25">
      <c r="B1957" s="42"/>
      <c r="AA1957" s="43"/>
    </row>
    <row r="1958" spans="2:27" x14ac:dyDescent="0.25">
      <c r="B1958" s="42"/>
      <c r="AA1958" s="43"/>
    </row>
    <row r="1959" spans="2:27" x14ac:dyDescent="0.25">
      <c r="B1959" s="42"/>
      <c r="AA1959" s="43"/>
    </row>
    <row r="1960" spans="2:27" x14ac:dyDescent="0.25">
      <c r="B1960" s="42"/>
      <c r="AA1960" s="43"/>
    </row>
    <row r="1961" spans="2:27" x14ac:dyDescent="0.25">
      <c r="B1961" s="42"/>
      <c r="AA1961" s="43"/>
    </row>
    <row r="1962" spans="2:27" x14ac:dyDescent="0.25">
      <c r="B1962" s="42"/>
      <c r="AA1962" s="43"/>
    </row>
    <row r="1963" spans="2:27" x14ac:dyDescent="0.25">
      <c r="B1963" s="42"/>
      <c r="AA1963" s="43"/>
    </row>
    <row r="1964" spans="2:27" x14ac:dyDescent="0.25">
      <c r="B1964" s="42"/>
      <c r="AA1964" s="43"/>
    </row>
    <row r="1965" spans="2:27" x14ac:dyDescent="0.25">
      <c r="B1965" s="42"/>
      <c r="AA1965" s="43"/>
    </row>
    <row r="1966" spans="2:27" x14ac:dyDescent="0.25">
      <c r="B1966" s="42"/>
      <c r="AA1966" s="43"/>
    </row>
    <row r="1967" spans="2:27" x14ac:dyDescent="0.25">
      <c r="B1967" s="42"/>
      <c r="AA1967" s="43"/>
    </row>
    <row r="1968" spans="2:27" x14ac:dyDescent="0.25">
      <c r="B1968" s="42"/>
      <c r="AA1968" s="43"/>
    </row>
    <row r="1969" spans="2:27" x14ac:dyDescent="0.25">
      <c r="B1969" s="42"/>
      <c r="AA1969" s="43"/>
    </row>
    <row r="1970" spans="2:27" x14ac:dyDescent="0.25">
      <c r="B1970" s="42"/>
      <c r="AA1970" s="43"/>
    </row>
    <row r="1971" spans="2:27" x14ac:dyDescent="0.25">
      <c r="B1971" s="42"/>
      <c r="AA1971" s="43"/>
    </row>
    <row r="1972" spans="2:27" x14ac:dyDescent="0.25">
      <c r="B1972" s="42"/>
      <c r="AA1972" s="43"/>
    </row>
    <row r="1973" spans="2:27" x14ac:dyDescent="0.25">
      <c r="B1973" s="42"/>
      <c r="AA1973" s="43"/>
    </row>
    <row r="1974" spans="2:27" x14ac:dyDescent="0.25">
      <c r="B1974" s="42"/>
      <c r="AA1974" s="43"/>
    </row>
    <row r="1975" spans="2:27" x14ac:dyDescent="0.25">
      <c r="B1975" s="42"/>
      <c r="AA1975" s="43"/>
    </row>
    <row r="1976" spans="2:27" x14ac:dyDescent="0.25">
      <c r="B1976" s="42"/>
      <c r="AA1976" s="43"/>
    </row>
    <row r="1977" spans="2:27" x14ac:dyDescent="0.25">
      <c r="B1977" s="42"/>
      <c r="AA1977" s="43"/>
    </row>
    <row r="1978" spans="2:27" x14ac:dyDescent="0.25">
      <c r="B1978" s="42"/>
      <c r="AA1978" s="43"/>
    </row>
    <row r="1979" spans="2:27" x14ac:dyDescent="0.25">
      <c r="B1979" s="42"/>
      <c r="AA1979" s="43"/>
    </row>
    <row r="1980" spans="2:27" x14ac:dyDescent="0.25">
      <c r="B1980" s="42"/>
      <c r="AA1980" s="43"/>
    </row>
    <row r="1981" spans="2:27" x14ac:dyDescent="0.25">
      <c r="B1981" s="42"/>
      <c r="AA1981" s="43"/>
    </row>
    <row r="1982" spans="2:27" x14ac:dyDescent="0.25">
      <c r="B1982" s="42"/>
      <c r="AA1982" s="43"/>
    </row>
    <row r="1983" spans="2:27" x14ac:dyDescent="0.25">
      <c r="B1983" s="42"/>
      <c r="AA1983" s="43"/>
    </row>
    <row r="1984" spans="2:27" x14ac:dyDescent="0.25">
      <c r="B1984" s="42"/>
      <c r="AA1984" s="43"/>
    </row>
    <row r="1985" spans="2:27" x14ac:dyDescent="0.25">
      <c r="B1985" s="42"/>
      <c r="AA1985" s="43"/>
    </row>
    <row r="1986" spans="2:27" x14ac:dyDescent="0.25">
      <c r="B1986" s="42"/>
      <c r="AA1986" s="43"/>
    </row>
    <row r="1987" spans="2:27" x14ac:dyDescent="0.25">
      <c r="B1987" s="42"/>
      <c r="AA1987" s="43"/>
    </row>
    <row r="1988" spans="2:27" x14ac:dyDescent="0.25">
      <c r="B1988" s="42"/>
      <c r="AA1988" s="43"/>
    </row>
    <row r="1989" spans="2:27" x14ac:dyDescent="0.25">
      <c r="B1989" s="42"/>
      <c r="AA1989" s="43"/>
    </row>
    <row r="1990" spans="2:27" x14ac:dyDescent="0.25">
      <c r="B1990" s="42"/>
      <c r="AA1990" s="43"/>
    </row>
    <row r="1991" spans="2:27" x14ac:dyDescent="0.25">
      <c r="B1991" s="42"/>
      <c r="AA1991" s="43"/>
    </row>
    <row r="1992" spans="2:27" x14ac:dyDescent="0.25">
      <c r="B1992" s="42"/>
      <c r="AA1992" s="43"/>
    </row>
    <row r="1993" spans="2:27" x14ac:dyDescent="0.25">
      <c r="B1993" s="42"/>
      <c r="AA1993" s="43"/>
    </row>
    <row r="1994" spans="2:27" x14ac:dyDescent="0.25">
      <c r="B1994" s="42"/>
      <c r="AA1994" s="43"/>
    </row>
    <row r="1995" spans="2:27" x14ac:dyDescent="0.25">
      <c r="B1995" s="42"/>
      <c r="AA1995" s="43"/>
    </row>
    <row r="1996" spans="2:27" x14ac:dyDescent="0.25">
      <c r="B1996" s="42"/>
      <c r="AA1996" s="43"/>
    </row>
    <row r="1997" spans="2:27" x14ac:dyDescent="0.25">
      <c r="B1997" s="42"/>
      <c r="AA1997" s="43"/>
    </row>
    <row r="1998" spans="2:27" x14ac:dyDescent="0.25">
      <c r="B1998" s="42"/>
      <c r="AA1998" s="43"/>
    </row>
    <row r="1999" spans="2:27" x14ac:dyDescent="0.25">
      <c r="B1999" s="42"/>
      <c r="AA1999" s="43"/>
    </row>
    <row r="2000" spans="2:27" x14ac:dyDescent="0.25">
      <c r="B2000" s="42"/>
      <c r="AA2000" s="43"/>
    </row>
    <row r="2001" spans="2:27" x14ac:dyDescent="0.25">
      <c r="B2001" s="42"/>
      <c r="AA2001" s="43"/>
    </row>
    <row r="2002" spans="2:27" x14ac:dyDescent="0.25">
      <c r="B2002" s="42"/>
      <c r="AA2002" s="43"/>
    </row>
    <row r="2003" spans="2:27" x14ac:dyDescent="0.25">
      <c r="B2003" s="42"/>
      <c r="AA2003" s="43"/>
    </row>
    <row r="2004" spans="2:27" x14ac:dyDescent="0.25">
      <c r="B2004" s="42"/>
      <c r="AA2004" s="43"/>
    </row>
    <row r="2005" spans="2:27" x14ac:dyDescent="0.25">
      <c r="B2005" s="42"/>
      <c r="AA2005" s="43"/>
    </row>
    <row r="2006" spans="2:27" x14ac:dyDescent="0.25">
      <c r="B2006" s="42"/>
      <c r="AA2006" s="43"/>
    </row>
    <row r="2007" spans="2:27" x14ac:dyDescent="0.25">
      <c r="B2007" s="42"/>
      <c r="AA2007" s="43"/>
    </row>
    <row r="2008" spans="2:27" x14ac:dyDescent="0.25">
      <c r="B2008" s="42"/>
      <c r="AA2008" s="43"/>
    </row>
    <row r="2009" spans="2:27" x14ac:dyDescent="0.25">
      <c r="B2009" s="42"/>
      <c r="AA2009" s="43"/>
    </row>
    <row r="2010" spans="2:27" x14ac:dyDescent="0.25">
      <c r="B2010" s="42"/>
      <c r="AA2010" s="43"/>
    </row>
    <row r="2011" spans="2:27" x14ac:dyDescent="0.25">
      <c r="B2011" s="42"/>
      <c r="AA2011" s="43"/>
    </row>
    <row r="2012" spans="2:27" x14ac:dyDescent="0.25">
      <c r="B2012" s="42"/>
      <c r="AA2012" s="43"/>
    </row>
    <row r="2013" spans="2:27" x14ac:dyDescent="0.25">
      <c r="B2013" s="42"/>
      <c r="AA2013" s="43"/>
    </row>
    <row r="2014" spans="2:27" x14ac:dyDescent="0.25">
      <c r="B2014" s="42"/>
      <c r="AA2014" s="43"/>
    </row>
    <row r="2015" spans="2:27" x14ac:dyDescent="0.25">
      <c r="B2015" s="42"/>
      <c r="AA2015" s="43"/>
    </row>
    <row r="2016" spans="2:27" x14ac:dyDescent="0.25">
      <c r="B2016" s="42"/>
      <c r="AA2016" s="43"/>
    </row>
    <row r="2017" spans="2:27" x14ac:dyDescent="0.25">
      <c r="B2017" s="42"/>
      <c r="AA2017" s="43"/>
    </row>
    <row r="2018" spans="2:27" x14ac:dyDescent="0.25">
      <c r="B2018" s="42"/>
      <c r="AA2018" s="43"/>
    </row>
    <row r="2019" spans="2:27" x14ac:dyDescent="0.25">
      <c r="B2019" s="42"/>
      <c r="AA2019" s="43"/>
    </row>
    <row r="2020" spans="2:27" x14ac:dyDescent="0.25">
      <c r="B2020" s="42"/>
      <c r="AA2020" s="43"/>
    </row>
    <row r="2021" spans="2:27" x14ac:dyDescent="0.25">
      <c r="B2021" s="42"/>
      <c r="AA2021" s="43"/>
    </row>
    <row r="2022" spans="2:27" x14ac:dyDescent="0.25">
      <c r="B2022" s="42"/>
      <c r="AA2022" s="43"/>
    </row>
    <row r="2023" spans="2:27" x14ac:dyDescent="0.25">
      <c r="B2023" s="42"/>
      <c r="AA2023" s="43"/>
    </row>
    <row r="2024" spans="2:27" x14ac:dyDescent="0.25">
      <c r="B2024" s="42"/>
      <c r="AA2024" s="43"/>
    </row>
    <row r="2025" spans="2:27" x14ac:dyDescent="0.25">
      <c r="B2025" s="42"/>
      <c r="AA2025" s="43"/>
    </row>
    <row r="2026" spans="2:27" x14ac:dyDescent="0.25">
      <c r="B2026" s="42"/>
      <c r="AA2026" s="43"/>
    </row>
    <row r="2027" spans="2:27" x14ac:dyDescent="0.25">
      <c r="B2027" s="42"/>
      <c r="AA2027" s="43"/>
    </row>
    <row r="2028" spans="2:27" x14ac:dyDescent="0.25">
      <c r="B2028" s="42"/>
      <c r="AA2028" s="43"/>
    </row>
    <row r="2029" spans="2:27" x14ac:dyDescent="0.25">
      <c r="B2029" s="42"/>
      <c r="AA2029" s="43"/>
    </row>
    <row r="2030" spans="2:27" x14ac:dyDescent="0.25">
      <c r="B2030" s="42"/>
      <c r="AA2030" s="43"/>
    </row>
    <row r="2031" spans="2:27" x14ac:dyDescent="0.25">
      <c r="B2031" s="42"/>
      <c r="AA2031" s="43"/>
    </row>
    <row r="2032" spans="2:27" x14ac:dyDescent="0.25">
      <c r="B2032" s="42"/>
      <c r="AA2032" s="43"/>
    </row>
    <row r="2033" spans="2:27" x14ac:dyDescent="0.25">
      <c r="B2033" s="42"/>
      <c r="AA2033" s="43"/>
    </row>
    <row r="2034" spans="2:27" x14ac:dyDescent="0.25">
      <c r="B2034" s="42"/>
      <c r="AA2034" s="43"/>
    </row>
    <row r="2035" spans="2:27" x14ac:dyDescent="0.25">
      <c r="B2035" s="42"/>
      <c r="AA2035" s="43"/>
    </row>
    <row r="2036" spans="2:27" x14ac:dyDescent="0.25">
      <c r="B2036" s="42"/>
      <c r="AA2036" s="43"/>
    </row>
    <row r="2037" spans="2:27" x14ac:dyDescent="0.25">
      <c r="B2037" s="42"/>
      <c r="AA2037" s="43"/>
    </row>
    <row r="2038" spans="2:27" x14ac:dyDescent="0.25">
      <c r="B2038" s="42"/>
      <c r="AA2038" s="43"/>
    </row>
    <row r="2039" spans="2:27" x14ac:dyDescent="0.25">
      <c r="B2039" s="42"/>
      <c r="AA2039" s="43"/>
    </row>
    <row r="2040" spans="2:27" x14ac:dyDescent="0.25">
      <c r="B2040" s="42"/>
      <c r="AA2040" s="43"/>
    </row>
    <row r="2041" spans="2:27" x14ac:dyDescent="0.25">
      <c r="B2041" s="42"/>
      <c r="AA2041" s="43"/>
    </row>
    <row r="2042" spans="2:27" x14ac:dyDescent="0.25">
      <c r="B2042" s="42"/>
      <c r="AA2042" s="43"/>
    </row>
    <row r="2043" spans="2:27" x14ac:dyDescent="0.25">
      <c r="B2043" s="42"/>
      <c r="AA2043" s="43"/>
    </row>
    <row r="2044" spans="2:27" x14ac:dyDescent="0.25">
      <c r="B2044" s="42"/>
      <c r="AA2044" s="43"/>
    </row>
    <row r="2045" spans="2:27" x14ac:dyDescent="0.25">
      <c r="B2045" s="42"/>
      <c r="AA2045" s="43"/>
    </row>
    <row r="2046" spans="2:27" x14ac:dyDescent="0.25">
      <c r="B2046" s="42"/>
      <c r="AA2046" s="43"/>
    </row>
    <row r="2047" spans="2:27" x14ac:dyDescent="0.25">
      <c r="B2047" s="42"/>
      <c r="AA2047" s="43"/>
    </row>
    <row r="2048" spans="2:27" x14ac:dyDescent="0.25">
      <c r="B2048" s="42"/>
      <c r="AA2048" s="43"/>
    </row>
    <row r="2049" spans="2:27" x14ac:dyDescent="0.25">
      <c r="B2049" s="42"/>
      <c r="AA2049" s="43"/>
    </row>
    <row r="2050" spans="2:27" x14ac:dyDescent="0.25">
      <c r="B2050" s="42"/>
      <c r="AA2050" s="43"/>
    </row>
    <row r="2051" spans="2:27" x14ac:dyDescent="0.25">
      <c r="B2051" s="42"/>
      <c r="AA2051" s="43"/>
    </row>
    <row r="2052" spans="2:27" x14ac:dyDescent="0.25">
      <c r="B2052" s="42"/>
      <c r="AA2052" s="43"/>
    </row>
    <row r="2053" spans="2:27" x14ac:dyDescent="0.25">
      <c r="B2053" s="42"/>
      <c r="AA2053" s="43"/>
    </row>
    <row r="2054" spans="2:27" x14ac:dyDescent="0.25">
      <c r="B2054" s="42"/>
      <c r="AA2054" s="43"/>
    </row>
    <row r="2055" spans="2:27" x14ac:dyDescent="0.25">
      <c r="B2055" s="42"/>
      <c r="AA2055" s="43"/>
    </row>
    <row r="2056" spans="2:27" x14ac:dyDescent="0.25">
      <c r="B2056" s="42"/>
      <c r="AA2056" s="43"/>
    </row>
    <row r="2057" spans="2:27" x14ac:dyDescent="0.25">
      <c r="B2057" s="42"/>
      <c r="AA2057" s="43"/>
    </row>
    <row r="2058" spans="2:27" x14ac:dyDescent="0.25">
      <c r="B2058" s="42"/>
      <c r="AA2058" s="43"/>
    </row>
    <row r="2059" spans="2:27" x14ac:dyDescent="0.25">
      <c r="B2059" s="42"/>
      <c r="AA2059" s="43"/>
    </row>
    <row r="2060" spans="2:27" x14ac:dyDescent="0.25">
      <c r="B2060" s="42"/>
      <c r="AA2060" s="43"/>
    </row>
    <row r="2061" spans="2:27" x14ac:dyDescent="0.25">
      <c r="B2061" s="42"/>
      <c r="AA2061" s="43"/>
    </row>
    <row r="2062" spans="2:27" x14ac:dyDescent="0.25">
      <c r="B2062" s="42"/>
      <c r="AA2062" s="43"/>
    </row>
    <row r="2063" spans="2:27" x14ac:dyDescent="0.25">
      <c r="B2063" s="42"/>
      <c r="AA2063" s="43"/>
    </row>
    <row r="2064" spans="2:27" x14ac:dyDescent="0.25">
      <c r="B2064" s="42"/>
      <c r="AA2064" s="43"/>
    </row>
    <row r="2065" spans="2:27" x14ac:dyDescent="0.25">
      <c r="B2065" s="42"/>
      <c r="AA2065" s="43"/>
    </row>
    <row r="2066" spans="2:27" x14ac:dyDescent="0.25">
      <c r="B2066" s="42"/>
      <c r="AA2066" s="43"/>
    </row>
    <row r="2067" spans="2:27" x14ac:dyDescent="0.25">
      <c r="B2067" s="42"/>
      <c r="AA2067" s="43"/>
    </row>
    <row r="2068" spans="2:27" x14ac:dyDescent="0.25">
      <c r="B2068" s="42"/>
      <c r="AA2068" s="43"/>
    </row>
    <row r="2069" spans="2:27" x14ac:dyDescent="0.25">
      <c r="B2069" s="42"/>
      <c r="AA2069" s="43"/>
    </row>
    <row r="2070" spans="2:27" x14ac:dyDescent="0.25">
      <c r="B2070" s="42"/>
      <c r="AA2070" s="43"/>
    </row>
    <row r="2071" spans="2:27" x14ac:dyDescent="0.25">
      <c r="B2071" s="42"/>
      <c r="AA2071" s="43"/>
    </row>
    <row r="2072" spans="2:27" x14ac:dyDescent="0.25">
      <c r="B2072" s="42"/>
      <c r="AA2072" s="43"/>
    </row>
    <row r="2073" spans="2:27" x14ac:dyDescent="0.25">
      <c r="B2073" s="42"/>
      <c r="AA2073" s="43"/>
    </row>
    <row r="2074" spans="2:27" x14ac:dyDescent="0.25">
      <c r="B2074" s="42"/>
      <c r="AA2074" s="43"/>
    </row>
    <row r="2075" spans="2:27" x14ac:dyDescent="0.25">
      <c r="B2075" s="42"/>
      <c r="AA2075" s="43"/>
    </row>
    <row r="2076" spans="2:27" x14ac:dyDescent="0.25">
      <c r="B2076" s="42"/>
      <c r="AA2076" s="43"/>
    </row>
    <row r="2077" spans="2:27" x14ac:dyDescent="0.25">
      <c r="B2077" s="42"/>
      <c r="AA2077" s="43"/>
    </row>
    <row r="2078" spans="2:27" x14ac:dyDescent="0.25">
      <c r="B2078" s="42"/>
      <c r="AA2078" s="43"/>
    </row>
    <row r="2079" spans="2:27" x14ac:dyDescent="0.25">
      <c r="B2079" s="42"/>
      <c r="AA2079" s="43"/>
    </row>
    <row r="2080" spans="2:27" x14ac:dyDescent="0.25">
      <c r="B2080" s="42"/>
      <c r="AA2080" s="43"/>
    </row>
    <row r="2081" spans="2:27" x14ac:dyDescent="0.25">
      <c r="B2081" s="42"/>
      <c r="AA2081" s="43"/>
    </row>
    <row r="2082" spans="2:27" x14ac:dyDescent="0.25">
      <c r="B2082" s="42"/>
      <c r="AA2082" s="43"/>
    </row>
    <row r="2083" spans="2:27" x14ac:dyDescent="0.25">
      <c r="B2083" s="42"/>
      <c r="AA2083" s="43"/>
    </row>
    <row r="2084" spans="2:27" x14ac:dyDescent="0.25">
      <c r="B2084" s="42"/>
      <c r="AA2084" s="43"/>
    </row>
    <row r="2085" spans="2:27" x14ac:dyDescent="0.25">
      <c r="B2085" s="42"/>
      <c r="AA2085" s="43"/>
    </row>
    <row r="2086" spans="2:27" x14ac:dyDescent="0.25">
      <c r="B2086" s="42"/>
      <c r="AA2086" s="43"/>
    </row>
    <row r="2087" spans="2:27" x14ac:dyDescent="0.25">
      <c r="B2087" s="42"/>
      <c r="AA2087" s="43"/>
    </row>
    <row r="2088" spans="2:27" x14ac:dyDescent="0.25">
      <c r="B2088" s="42"/>
      <c r="AA2088" s="43"/>
    </row>
    <row r="2089" spans="2:27" x14ac:dyDescent="0.25">
      <c r="B2089" s="42"/>
      <c r="AA2089" s="43"/>
    </row>
    <row r="2090" spans="2:27" x14ac:dyDescent="0.25">
      <c r="B2090" s="42"/>
      <c r="AA2090" s="43"/>
    </row>
    <row r="2091" spans="2:27" x14ac:dyDescent="0.25">
      <c r="B2091" s="42"/>
      <c r="AA2091" s="43"/>
    </row>
    <row r="2092" spans="2:27" x14ac:dyDescent="0.25">
      <c r="B2092" s="42"/>
      <c r="AA2092" s="43"/>
    </row>
    <row r="2093" spans="2:27" x14ac:dyDescent="0.25">
      <c r="B2093" s="42"/>
      <c r="AA2093" s="43"/>
    </row>
    <row r="2094" spans="2:27" x14ac:dyDescent="0.25">
      <c r="B2094" s="42"/>
      <c r="AA2094" s="43"/>
    </row>
    <row r="2095" spans="2:27" x14ac:dyDescent="0.25">
      <c r="B2095" s="42"/>
      <c r="AA2095" s="43"/>
    </row>
    <row r="2096" spans="2:27" x14ac:dyDescent="0.25">
      <c r="B2096" s="42"/>
      <c r="AA2096" s="43"/>
    </row>
    <row r="2097" spans="2:27" x14ac:dyDescent="0.25">
      <c r="B2097" s="42"/>
      <c r="AA2097" s="43"/>
    </row>
    <row r="2098" spans="2:27" x14ac:dyDescent="0.25">
      <c r="B2098" s="42"/>
      <c r="AA2098" s="43"/>
    </row>
    <row r="2099" spans="2:27" x14ac:dyDescent="0.25">
      <c r="B2099" s="42"/>
      <c r="AA2099" s="43"/>
    </row>
    <row r="2100" spans="2:27" x14ac:dyDescent="0.25">
      <c r="B2100" s="42"/>
      <c r="AA2100" s="43"/>
    </row>
    <row r="2101" spans="2:27" x14ac:dyDescent="0.25">
      <c r="B2101" s="42"/>
      <c r="AA2101" s="43"/>
    </row>
    <row r="2102" spans="2:27" x14ac:dyDescent="0.25">
      <c r="B2102" s="42"/>
      <c r="AA2102" s="43"/>
    </row>
    <row r="2103" spans="2:27" x14ac:dyDescent="0.25">
      <c r="B2103" s="42"/>
      <c r="AA2103" s="43"/>
    </row>
    <row r="2104" spans="2:27" x14ac:dyDescent="0.25">
      <c r="B2104" s="42"/>
      <c r="AA2104" s="43"/>
    </row>
    <row r="2105" spans="2:27" x14ac:dyDescent="0.25">
      <c r="B2105" s="42"/>
      <c r="AA2105" s="43"/>
    </row>
    <row r="2106" spans="2:27" x14ac:dyDescent="0.25">
      <c r="B2106" s="42"/>
      <c r="AA2106" s="43"/>
    </row>
    <row r="2107" spans="2:27" x14ac:dyDescent="0.25">
      <c r="B2107" s="42"/>
      <c r="AA2107" s="43"/>
    </row>
    <row r="2108" spans="2:27" x14ac:dyDescent="0.25">
      <c r="B2108" s="42"/>
      <c r="AA2108" s="43"/>
    </row>
    <row r="2109" spans="2:27" x14ac:dyDescent="0.25">
      <c r="B2109" s="42"/>
      <c r="AA2109" s="43"/>
    </row>
    <row r="2110" spans="2:27" x14ac:dyDescent="0.25">
      <c r="B2110" s="42"/>
      <c r="AA2110" s="43"/>
    </row>
    <row r="2111" spans="2:27" x14ac:dyDescent="0.25">
      <c r="B2111" s="42"/>
      <c r="AA2111" s="43"/>
    </row>
    <row r="2112" spans="2:27" x14ac:dyDescent="0.25">
      <c r="B2112" s="42"/>
      <c r="AA2112" s="43"/>
    </row>
    <row r="2113" spans="2:27" x14ac:dyDescent="0.25">
      <c r="B2113" s="42"/>
      <c r="AA2113" s="43"/>
    </row>
    <row r="2114" spans="2:27" x14ac:dyDescent="0.25">
      <c r="B2114" s="42"/>
      <c r="AA2114" s="43"/>
    </row>
    <row r="2115" spans="2:27" x14ac:dyDescent="0.25">
      <c r="B2115" s="42"/>
      <c r="AA2115" s="43"/>
    </row>
    <row r="2116" spans="2:27" x14ac:dyDescent="0.25">
      <c r="B2116" s="42"/>
      <c r="AA2116" s="43"/>
    </row>
    <row r="2117" spans="2:27" x14ac:dyDescent="0.25">
      <c r="B2117" s="42"/>
      <c r="AA2117" s="43"/>
    </row>
    <row r="2118" spans="2:27" x14ac:dyDescent="0.25">
      <c r="B2118" s="42"/>
      <c r="AA2118" s="43"/>
    </row>
    <row r="2119" spans="2:27" x14ac:dyDescent="0.25">
      <c r="B2119" s="42"/>
      <c r="AA2119" s="43"/>
    </row>
    <row r="2120" spans="2:27" x14ac:dyDescent="0.25">
      <c r="B2120" s="42"/>
      <c r="AA2120" s="43"/>
    </row>
    <row r="2121" spans="2:27" x14ac:dyDescent="0.25">
      <c r="B2121" s="42"/>
      <c r="AA2121" s="43"/>
    </row>
    <row r="2122" spans="2:27" x14ac:dyDescent="0.25">
      <c r="B2122" s="42"/>
      <c r="AA2122" s="43"/>
    </row>
    <row r="2123" spans="2:27" x14ac:dyDescent="0.25">
      <c r="B2123" s="42"/>
      <c r="AA2123" s="43"/>
    </row>
    <row r="2124" spans="2:27" x14ac:dyDescent="0.25">
      <c r="B2124" s="42"/>
      <c r="AA2124" s="43"/>
    </row>
    <row r="2125" spans="2:27" x14ac:dyDescent="0.25">
      <c r="B2125" s="42"/>
      <c r="AA2125" s="43"/>
    </row>
    <row r="2126" spans="2:27" x14ac:dyDescent="0.25">
      <c r="B2126" s="42"/>
      <c r="AA2126" s="43"/>
    </row>
    <row r="2127" spans="2:27" x14ac:dyDescent="0.25">
      <c r="B2127" s="42"/>
      <c r="AA2127" s="43"/>
    </row>
    <row r="2128" spans="2:27" x14ac:dyDescent="0.25">
      <c r="B2128" s="42"/>
      <c r="AA2128" s="43"/>
    </row>
    <row r="2129" spans="2:27" x14ac:dyDescent="0.25">
      <c r="B2129" s="42"/>
      <c r="AA2129" s="43"/>
    </row>
    <row r="2130" spans="2:27" x14ac:dyDescent="0.25">
      <c r="B2130" s="42"/>
      <c r="AA2130" s="43"/>
    </row>
    <row r="2131" spans="2:27" x14ac:dyDescent="0.25">
      <c r="B2131" s="42"/>
      <c r="AA2131" s="43"/>
    </row>
    <row r="2132" spans="2:27" x14ac:dyDescent="0.25">
      <c r="B2132" s="42"/>
      <c r="AA2132" s="43"/>
    </row>
    <row r="2133" spans="2:27" x14ac:dyDescent="0.25">
      <c r="B2133" s="42"/>
      <c r="AA2133" s="43"/>
    </row>
    <row r="2134" spans="2:27" x14ac:dyDescent="0.25">
      <c r="B2134" s="42"/>
      <c r="AA2134" s="43"/>
    </row>
    <row r="2135" spans="2:27" x14ac:dyDescent="0.25">
      <c r="B2135" s="42"/>
      <c r="AA2135" s="43"/>
    </row>
    <row r="2136" spans="2:27" x14ac:dyDescent="0.25">
      <c r="B2136" s="42"/>
      <c r="AA2136" s="43"/>
    </row>
    <row r="2137" spans="2:27" x14ac:dyDescent="0.25">
      <c r="B2137" s="42"/>
      <c r="AA2137" s="43"/>
    </row>
    <row r="2138" spans="2:27" x14ac:dyDescent="0.25">
      <c r="B2138" s="42"/>
      <c r="AA2138" s="43"/>
    </row>
    <row r="2139" spans="2:27" x14ac:dyDescent="0.25">
      <c r="B2139" s="42"/>
      <c r="AA2139" s="43"/>
    </row>
    <row r="2140" spans="2:27" x14ac:dyDescent="0.25">
      <c r="B2140" s="42"/>
      <c r="AA2140" s="43"/>
    </row>
    <row r="2141" spans="2:27" x14ac:dyDescent="0.25">
      <c r="B2141" s="42"/>
      <c r="AA2141" s="43"/>
    </row>
    <row r="2142" spans="2:27" x14ac:dyDescent="0.25">
      <c r="B2142" s="42"/>
      <c r="AA2142" s="43"/>
    </row>
    <row r="2143" spans="2:27" x14ac:dyDescent="0.25">
      <c r="B2143" s="42"/>
      <c r="AA2143" s="43"/>
    </row>
    <row r="2144" spans="2:27" x14ac:dyDescent="0.25">
      <c r="B2144" s="42"/>
      <c r="AA2144" s="43"/>
    </row>
    <row r="2145" spans="2:27" x14ac:dyDescent="0.25">
      <c r="B2145" s="42"/>
      <c r="AA2145" s="43"/>
    </row>
    <row r="2146" spans="2:27" x14ac:dyDescent="0.25">
      <c r="B2146" s="42"/>
      <c r="AA2146" s="43"/>
    </row>
    <row r="2147" spans="2:27" x14ac:dyDescent="0.25">
      <c r="B2147" s="42"/>
      <c r="AA2147" s="43"/>
    </row>
    <row r="2148" spans="2:27" x14ac:dyDescent="0.25">
      <c r="B2148" s="42"/>
      <c r="AA2148" s="43"/>
    </row>
    <row r="2149" spans="2:27" x14ac:dyDescent="0.25">
      <c r="B2149" s="42"/>
      <c r="AA2149" s="43"/>
    </row>
    <row r="2150" spans="2:27" x14ac:dyDescent="0.25">
      <c r="B2150" s="42"/>
      <c r="AA2150" s="43"/>
    </row>
    <row r="2151" spans="2:27" x14ac:dyDescent="0.25">
      <c r="B2151" s="42"/>
      <c r="AA2151" s="43"/>
    </row>
    <row r="2152" spans="2:27" x14ac:dyDescent="0.25">
      <c r="B2152" s="42"/>
      <c r="AA2152" s="43"/>
    </row>
    <row r="2153" spans="2:27" x14ac:dyDescent="0.25">
      <c r="B2153" s="42"/>
      <c r="AA2153" s="43"/>
    </row>
    <row r="2154" spans="2:27" x14ac:dyDescent="0.25">
      <c r="B2154" s="42"/>
      <c r="AA2154" s="43"/>
    </row>
    <row r="2155" spans="2:27" x14ac:dyDescent="0.25">
      <c r="B2155" s="42"/>
      <c r="AA2155" s="43"/>
    </row>
    <row r="2156" spans="2:27" x14ac:dyDescent="0.25">
      <c r="B2156" s="42"/>
      <c r="AA2156" s="43"/>
    </row>
    <row r="2157" spans="2:27" x14ac:dyDescent="0.25">
      <c r="B2157" s="42"/>
      <c r="AA2157" s="43"/>
    </row>
    <row r="2158" spans="2:27" x14ac:dyDescent="0.25">
      <c r="B2158" s="42"/>
      <c r="AA2158" s="43"/>
    </row>
    <row r="2159" spans="2:27" x14ac:dyDescent="0.25">
      <c r="B2159" s="42"/>
      <c r="AA2159" s="43"/>
    </row>
    <row r="2160" spans="2:27" x14ac:dyDescent="0.25">
      <c r="B2160" s="42"/>
      <c r="AA2160" s="43"/>
    </row>
    <row r="2161" spans="2:27" x14ac:dyDescent="0.25">
      <c r="B2161" s="42"/>
      <c r="AA2161" s="43"/>
    </row>
    <row r="2162" spans="2:27" x14ac:dyDescent="0.25">
      <c r="B2162" s="42"/>
      <c r="AA2162" s="43"/>
    </row>
    <row r="2163" spans="2:27" x14ac:dyDescent="0.25">
      <c r="B2163" s="42"/>
      <c r="AA2163" s="43"/>
    </row>
    <row r="2164" spans="2:27" x14ac:dyDescent="0.25">
      <c r="B2164" s="42"/>
      <c r="AA2164" s="43"/>
    </row>
    <row r="2165" spans="2:27" x14ac:dyDescent="0.25">
      <c r="B2165" s="42"/>
      <c r="AA2165" s="43"/>
    </row>
    <row r="2166" spans="2:27" x14ac:dyDescent="0.25">
      <c r="B2166" s="42"/>
      <c r="AA2166" s="43"/>
    </row>
    <row r="2167" spans="2:27" x14ac:dyDescent="0.25">
      <c r="B2167" s="42"/>
      <c r="AA2167" s="43"/>
    </row>
    <row r="2168" spans="2:27" x14ac:dyDescent="0.25">
      <c r="B2168" s="42"/>
      <c r="AA2168" s="43"/>
    </row>
    <row r="2169" spans="2:27" x14ac:dyDescent="0.25">
      <c r="B2169" s="42"/>
      <c r="AA2169" s="43"/>
    </row>
    <row r="2170" spans="2:27" x14ac:dyDescent="0.25">
      <c r="B2170" s="42"/>
      <c r="AA2170" s="43"/>
    </row>
    <row r="2171" spans="2:27" x14ac:dyDescent="0.25">
      <c r="B2171" s="42"/>
      <c r="AA2171" s="43"/>
    </row>
    <row r="2172" spans="2:27" x14ac:dyDescent="0.25">
      <c r="B2172" s="42"/>
      <c r="AA2172" s="43"/>
    </row>
    <row r="2173" spans="2:27" x14ac:dyDescent="0.25">
      <c r="B2173" s="42"/>
      <c r="AA2173" s="43"/>
    </row>
    <row r="2174" spans="2:27" x14ac:dyDescent="0.25">
      <c r="B2174" s="42"/>
      <c r="AA2174" s="43"/>
    </row>
    <row r="2175" spans="2:27" x14ac:dyDescent="0.25">
      <c r="B2175" s="42"/>
      <c r="AA2175" s="43"/>
    </row>
    <row r="2176" spans="2:27" x14ac:dyDescent="0.25">
      <c r="B2176" s="42"/>
      <c r="AA2176" s="43"/>
    </row>
    <row r="2177" spans="2:27" x14ac:dyDescent="0.25">
      <c r="B2177" s="42"/>
      <c r="AA2177" s="43"/>
    </row>
    <row r="2178" spans="2:27" x14ac:dyDescent="0.25">
      <c r="B2178" s="42"/>
      <c r="AA2178" s="43"/>
    </row>
    <row r="2179" spans="2:27" x14ac:dyDescent="0.25">
      <c r="B2179" s="42"/>
      <c r="AA2179" s="43"/>
    </row>
    <row r="2180" spans="2:27" x14ac:dyDescent="0.25">
      <c r="B2180" s="42"/>
      <c r="AA2180" s="43"/>
    </row>
    <row r="2181" spans="2:27" x14ac:dyDescent="0.25">
      <c r="B2181" s="42"/>
      <c r="AA2181" s="43"/>
    </row>
    <row r="2182" spans="2:27" x14ac:dyDescent="0.25">
      <c r="B2182" s="42"/>
      <c r="AA2182" s="43"/>
    </row>
    <row r="2183" spans="2:27" x14ac:dyDescent="0.25">
      <c r="B2183" s="42"/>
      <c r="AA2183" s="43"/>
    </row>
    <row r="2184" spans="2:27" x14ac:dyDescent="0.25">
      <c r="B2184" s="42"/>
      <c r="AA2184" s="43"/>
    </row>
    <row r="2185" spans="2:27" x14ac:dyDescent="0.25">
      <c r="B2185" s="42"/>
      <c r="AA2185" s="43"/>
    </row>
    <row r="2186" spans="2:27" x14ac:dyDescent="0.25">
      <c r="B2186" s="42"/>
      <c r="AA2186" s="43"/>
    </row>
    <row r="2187" spans="2:27" x14ac:dyDescent="0.25">
      <c r="B2187" s="42"/>
      <c r="AA2187" s="43"/>
    </row>
    <row r="2188" spans="2:27" x14ac:dyDescent="0.25">
      <c r="B2188" s="42"/>
      <c r="AA2188" s="43"/>
    </row>
    <row r="2189" spans="2:27" x14ac:dyDescent="0.25">
      <c r="B2189" s="42"/>
      <c r="AA2189" s="43"/>
    </row>
    <row r="2190" spans="2:27" x14ac:dyDescent="0.25">
      <c r="B2190" s="42"/>
      <c r="AA2190" s="43"/>
    </row>
    <row r="2191" spans="2:27" x14ac:dyDescent="0.25">
      <c r="B2191" s="42"/>
      <c r="AA2191" s="43"/>
    </row>
    <row r="2192" spans="2:27" x14ac:dyDescent="0.25">
      <c r="B2192" s="42"/>
      <c r="AA2192" s="43"/>
    </row>
    <row r="2193" spans="2:27" x14ac:dyDescent="0.25">
      <c r="B2193" s="42"/>
      <c r="AA2193" s="43"/>
    </row>
    <row r="2194" spans="2:27" x14ac:dyDescent="0.25">
      <c r="B2194" s="42"/>
      <c r="AA2194" s="43"/>
    </row>
    <row r="2195" spans="2:27" x14ac:dyDescent="0.25">
      <c r="B2195" s="42"/>
      <c r="AA2195" s="43"/>
    </row>
    <row r="2196" spans="2:27" x14ac:dyDescent="0.25">
      <c r="B2196" s="42"/>
      <c r="AA2196" s="43"/>
    </row>
    <row r="2197" spans="2:27" x14ac:dyDescent="0.25">
      <c r="B2197" s="42"/>
      <c r="AA2197" s="43"/>
    </row>
    <row r="2198" spans="2:27" x14ac:dyDescent="0.25">
      <c r="B2198" s="42"/>
      <c r="AA2198" s="43"/>
    </row>
    <row r="2199" spans="2:27" x14ac:dyDescent="0.25">
      <c r="B2199" s="42"/>
      <c r="AA2199" s="43"/>
    </row>
    <row r="2200" spans="2:27" x14ac:dyDescent="0.25">
      <c r="B2200" s="42"/>
      <c r="AA2200" s="43"/>
    </row>
    <row r="2201" spans="2:27" x14ac:dyDescent="0.25">
      <c r="B2201" s="42"/>
      <c r="AA2201" s="43"/>
    </row>
    <row r="2202" spans="2:27" x14ac:dyDescent="0.25">
      <c r="B2202" s="42"/>
      <c r="AA2202" s="43"/>
    </row>
    <row r="2203" spans="2:27" x14ac:dyDescent="0.25">
      <c r="B2203" s="42"/>
      <c r="AA2203" s="43"/>
    </row>
    <row r="2204" spans="2:27" x14ac:dyDescent="0.25">
      <c r="B2204" s="42"/>
      <c r="AA2204" s="43"/>
    </row>
    <row r="2205" spans="2:27" x14ac:dyDescent="0.25">
      <c r="B2205" s="42"/>
      <c r="AA2205" s="43"/>
    </row>
    <row r="2206" spans="2:27" x14ac:dyDescent="0.25">
      <c r="B2206" s="42"/>
      <c r="AA2206" s="43"/>
    </row>
    <row r="2207" spans="2:27" x14ac:dyDescent="0.25">
      <c r="B2207" s="42"/>
      <c r="AA2207" s="43"/>
    </row>
    <row r="2208" spans="2:27" x14ac:dyDescent="0.25">
      <c r="B2208" s="42"/>
      <c r="AA2208" s="43"/>
    </row>
    <row r="2209" spans="2:27" x14ac:dyDescent="0.25">
      <c r="B2209" s="42"/>
      <c r="AA2209" s="43"/>
    </row>
    <row r="2210" spans="2:27" x14ac:dyDescent="0.25">
      <c r="B2210" s="42"/>
      <c r="AA2210" s="43"/>
    </row>
    <row r="2211" spans="2:27" x14ac:dyDescent="0.25">
      <c r="B2211" s="42"/>
      <c r="AA2211" s="43"/>
    </row>
    <row r="2212" spans="2:27" x14ac:dyDescent="0.25">
      <c r="B2212" s="42"/>
      <c r="AA2212" s="43"/>
    </row>
    <row r="2213" spans="2:27" x14ac:dyDescent="0.25">
      <c r="B2213" s="42"/>
      <c r="AA2213" s="43"/>
    </row>
    <row r="2214" spans="2:27" x14ac:dyDescent="0.25">
      <c r="B2214" s="42"/>
      <c r="AA2214" s="43"/>
    </row>
    <row r="2215" spans="2:27" x14ac:dyDescent="0.25">
      <c r="B2215" s="42"/>
      <c r="AA2215" s="43"/>
    </row>
    <row r="2216" spans="2:27" x14ac:dyDescent="0.25">
      <c r="B2216" s="42"/>
      <c r="AA2216" s="43"/>
    </row>
    <row r="2217" spans="2:27" x14ac:dyDescent="0.25">
      <c r="B2217" s="42"/>
      <c r="AA2217" s="43"/>
    </row>
    <row r="2218" spans="2:27" x14ac:dyDescent="0.25">
      <c r="B2218" s="42"/>
      <c r="AA2218" s="43"/>
    </row>
    <row r="2219" spans="2:27" x14ac:dyDescent="0.25">
      <c r="B2219" s="42"/>
      <c r="AA2219" s="43"/>
    </row>
    <row r="2220" spans="2:27" x14ac:dyDescent="0.25">
      <c r="B2220" s="42"/>
      <c r="AA2220" s="43"/>
    </row>
    <row r="2221" spans="2:27" x14ac:dyDescent="0.25">
      <c r="B2221" s="42"/>
      <c r="AA2221" s="43"/>
    </row>
    <row r="2222" spans="2:27" x14ac:dyDescent="0.25">
      <c r="B2222" s="42"/>
      <c r="AA2222" s="43"/>
    </row>
    <row r="2223" spans="2:27" x14ac:dyDescent="0.25">
      <c r="B2223" s="42"/>
      <c r="AA2223" s="43"/>
    </row>
    <row r="2224" spans="2:27" x14ac:dyDescent="0.25">
      <c r="B2224" s="42"/>
      <c r="AA2224" s="43"/>
    </row>
    <row r="2225" spans="2:27" x14ac:dyDescent="0.25">
      <c r="B2225" s="42"/>
      <c r="AA2225" s="43"/>
    </row>
    <row r="2226" spans="2:27" x14ac:dyDescent="0.25">
      <c r="B2226" s="42"/>
      <c r="AA2226" s="43"/>
    </row>
    <row r="2227" spans="2:27" x14ac:dyDescent="0.25">
      <c r="B2227" s="42"/>
      <c r="AA2227" s="43"/>
    </row>
    <row r="2228" spans="2:27" x14ac:dyDescent="0.25">
      <c r="B2228" s="42"/>
      <c r="AA2228" s="43"/>
    </row>
    <row r="2229" spans="2:27" x14ac:dyDescent="0.25">
      <c r="B2229" s="42"/>
      <c r="AA2229" s="43"/>
    </row>
    <row r="2230" spans="2:27" x14ac:dyDescent="0.25">
      <c r="B2230" s="42"/>
      <c r="AA2230" s="43"/>
    </row>
    <row r="2231" spans="2:27" x14ac:dyDescent="0.25">
      <c r="B2231" s="42"/>
      <c r="AA2231" s="43"/>
    </row>
    <row r="2232" spans="2:27" x14ac:dyDescent="0.25">
      <c r="B2232" s="42"/>
      <c r="AA2232" s="43"/>
    </row>
    <row r="2233" spans="2:27" x14ac:dyDescent="0.25">
      <c r="B2233" s="42"/>
      <c r="AA2233" s="43"/>
    </row>
    <row r="2234" spans="2:27" x14ac:dyDescent="0.25">
      <c r="B2234" s="42"/>
      <c r="AA2234" s="43"/>
    </row>
    <row r="2235" spans="2:27" x14ac:dyDescent="0.25">
      <c r="B2235" s="42"/>
      <c r="AA2235" s="43"/>
    </row>
    <row r="2236" spans="2:27" x14ac:dyDescent="0.25">
      <c r="B2236" s="42"/>
      <c r="AA2236" s="43"/>
    </row>
    <row r="2237" spans="2:27" x14ac:dyDescent="0.25">
      <c r="B2237" s="42"/>
      <c r="AA2237" s="43"/>
    </row>
    <row r="2238" spans="2:27" x14ac:dyDescent="0.25">
      <c r="B2238" s="42"/>
      <c r="AA2238" s="43"/>
    </row>
    <row r="2239" spans="2:27" x14ac:dyDescent="0.25">
      <c r="B2239" s="42"/>
      <c r="AA2239" s="43"/>
    </row>
    <row r="2240" spans="2:27" x14ac:dyDescent="0.25">
      <c r="B2240" s="42"/>
      <c r="AA2240" s="43"/>
    </row>
    <row r="2241" spans="2:27" x14ac:dyDescent="0.25">
      <c r="B2241" s="42"/>
      <c r="AA2241" s="43"/>
    </row>
    <row r="2242" spans="2:27" x14ac:dyDescent="0.25">
      <c r="B2242" s="42"/>
      <c r="AA2242" s="43"/>
    </row>
    <row r="2243" spans="2:27" x14ac:dyDescent="0.25">
      <c r="B2243" s="42"/>
      <c r="AA2243" s="43"/>
    </row>
    <row r="2244" spans="2:27" x14ac:dyDescent="0.25">
      <c r="B2244" s="42"/>
      <c r="AA2244" s="43"/>
    </row>
    <row r="2245" spans="2:27" x14ac:dyDescent="0.25">
      <c r="B2245" s="42"/>
      <c r="AA2245" s="43"/>
    </row>
    <row r="2246" spans="2:27" x14ac:dyDescent="0.25">
      <c r="B2246" s="42"/>
      <c r="AA2246" s="43"/>
    </row>
    <row r="2247" spans="2:27" x14ac:dyDescent="0.25">
      <c r="B2247" s="42"/>
      <c r="AA2247" s="43"/>
    </row>
    <row r="2248" spans="2:27" x14ac:dyDescent="0.25">
      <c r="B2248" s="42"/>
      <c r="AA2248" s="43"/>
    </row>
    <row r="2249" spans="2:27" x14ac:dyDescent="0.25">
      <c r="B2249" s="42"/>
      <c r="AA2249" s="43"/>
    </row>
    <row r="2250" spans="2:27" x14ac:dyDescent="0.25">
      <c r="B2250" s="42"/>
      <c r="AA2250" s="43"/>
    </row>
    <row r="2251" spans="2:27" x14ac:dyDescent="0.25">
      <c r="B2251" s="42"/>
      <c r="AA2251" s="43"/>
    </row>
    <row r="2252" spans="2:27" x14ac:dyDescent="0.25">
      <c r="B2252" s="42"/>
      <c r="AA2252" s="43"/>
    </row>
    <row r="2253" spans="2:27" x14ac:dyDescent="0.25">
      <c r="B2253" s="42"/>
      <c r="AA2253" s="43"/>
    </row>
    <row r="2254" spans="2:27" x14ac:dyDescent="0.25">
      <c r="B2254" s="42"/>
      <c r="AA2254" s="43"/>
    </row>
    <row r="2255" spans="2:27" x14ac:dyDescent="0.25">
      <c r="B2255" s="42"/>
      <c r="AA2255" s="43"/>
    </row>
    <row r="2256" spans="2:27" x14ac:dyDescent="0.25">
      <c r="B2256" s="42"/>
      <c r="AA2256" s="43"/>
    </row>
    <row r="2257" spans="2:27" x14ac:dyDescent="0.25">
      <c r="B2257" s="42"/>
      <c r="AA2257" s="43"/>
    </row>
    <row r="2258" spans="2:27" x14ac:dyDescent="0.25">
      <c r="B2258" s="42"/>
      <c r="AA2258" s="43"/>
    </row>
    <row r="2259" spans="2:27" x14ac:dyDescent="0.25">
      <c r="B2259" s="42"/>
      <c r="AA2259" s="43"/>
    </row>
    <row r="2260" spans="2:27" x14ac:dyDescent="0.25">
      <c r="B2260" s="42"/>
      <c r="AA2260" s="43"/>
    </row>
    <row r="2261" spans="2:27" x14ac:dyDescent="0.25">
      <c r="B2261" s="42"/>
      <c r="AA2261" s="43"/>
    </row>
    <row r="2262" spans="2:27" x14ac:dyDescent="0.25">
      <c r="B2262" s="42"/>
      <c r="AA2262" s="43"/>
    </row>
    <row r="2263" spans="2:27" x14ac:dyDescent="0.25">
      <c r="B2263" s="42"/>
      <c r="AA2263" s="43"/>
    </row>
    <row r="2264" spans="2:27" x14ac:dyDescent="0.25">
      <c r="B2264" s="42"/>
      <c r="AA2264" s="43"/>
    </row>
    <row r="2265" spans="2:27" x14ac:dyDescent="0.25">
      <c r="B2265" s="42"/>
      <c r="AA2265" s="43"/>
    </row>
    <row r="2266" spans="2:27" x14ac:dyDescent="0.25">
      <c r="B2266" s="42"/>
      <c r="AA2266" s="43"/>
    </row>
    <row r="2267" spans="2:27" x14ac:dyDescent="0.25">
      <c r="B2267" s="42"/>
      <c r="AA2267" s="43"/>
    </row>
    <row r="2268" spans="2:27" x14ac:dyDescent="0.25">
      <c r="B2268" s="42"/>
      <c r="AA2268" s="43"/>
    </row>
    <row r="2269" spans="2:27" x14ac:dyDescent="0.25">
      <c r="B2269" s="42"/>
      <c r="AA2269" s="43"/>
    </row>
    <row r="2270" spans="2:27" x14ac:dyDescent="0.25">
      <c r="B2270" s="42"/>
      <c r="AA2270" s="43"/>
    </row>
    <row r="2271" spans="2:27" x14ac:dyDescent="0.25">
      <c r="B2271" s="42"/>
      <c r="AA2271" s="43"/>
    </row>
    <row r="2272" spans="2:27" x14ac:dyDescent="0.25">
      <c r="B2272" s="42"/>
      <c r="AA2272" s="43"/>
    </row>
    <row r="2273" spans="2:27" x14ac:dyDescent="0.25">
      <c r="B2273" s="42"/>
      <c r="AA2273" s="43"/>
    </row>
    <row r="2274" spans="2:27" x14ac:dyDescent="0.25">
      <c r="B2274" s="42"/>
      <c r="AA2274" s="43"/>
    </row>
    <row r="2275" spans="2:27" x14ac:dyDescent="0.25">
      <c r="B2275" s="42"/>
      <c r="AA2275" s="43"/>
    </row>
    <row r="2276" spans="2:27" x14ac:dyDescent="0.25">
      <c r="B2276" s="42"/>
      <c r="AA2276" s="43"/>
    </row>
    <row r="2277" spans="2:27" x14ac:dyDescent="0.25">
      <c r="B2277" s="42"/>
      <c r="AA2277" s="43"/>
    </row>
    <row r="2278" spans="2:27" x14ac:dyDescent="0.25">
      <c r="B2278" s="42"/>
      <c r="AA2278" s="43"/>
    </row>
    <row r="2279" spans="2:27" x14ac:dyDescent="0.25">
      <c r="B2279" s="42"/>
      <c r="AA2279" s="43"/>
    </row>
    <row r="2280" spans="2:27" x14ac:dyDescent="0.25">
      <c r="B2280" s="42"/>
      <c r="AA2280" s="43"/>
    </row>
    <row r="2281" spans="2:27" x14ac:dyDescent="0.25">
      <c r="B2281" s="42"/>
      <c r="AA2281" s="43"/>
    </row>
    <row r="2282" spans="2:27" x14ac:dyDescent="0.25">
      <c r="B2282" s="42"/>
      <c r="AA2282" s="43"/>
    </row>
    <row r="2283" spans="2:27" x14ac:dyDescent="0.25">
      <c r="B2283" s="42"/>
      <c r="AA2283" s="43"/>
    </row>
    <row r="2284" spans="2:27" x14ac:dyDescent="0.25">
      <c r="B2284" s="42"/>
      <c r="AA2284" s="43"/>
    </row>
    <row r="2285" spans="2:27" x14ac:dyDescent="0.25">
      <c r="B2285" s="42"/>
      <c r="AA2285" s="43"/>
    </row>
    <row r="2286" spans="2:27" x14ac:dyDescent="0.25">
      <c r="B2286" s="42"/>
      <c r="AA2286" s="43"/>
    </row>
    <row r="2287" spans="2:27" x14ac:dyDescent="0.25">
      <c r="B2287" s="42"/>
      <c r="AA2287" s="43"/>
    </row>
    <row r="2288" spans="2:27" x14ac:dyDescent="0.25">
      <c r="B2288" s="42"/>
      <c r="AA2288" s="43"/>
    </row>
    <row r="2289" spans="2:27" x14ac:dyDescent="0.25">
      <c r="B2289" s="42"/>
      <c r="AA2289" s="43"/>
    </row>
    <row r="2290" spans="2:27" x14ac:dyDescent="0.25">
      <c r="B2290" s="42"/>
      <c r="AA2290" s="43"/>
    </row>
    <row r="2291" spans="2:27" x14ac:dyDescent="0.25">
      <c r="B2291" s="42"/>
      <c r="AA2291" s="43"/>
    </row>
    <row r="2292" spans="2:27" x14ac:dyDescent="0.25">
      <c r="B2292" s="42"/>
      <c r="AA2292" s="43"/>
    </row>
    <row r="2293" spans="2:27" x14ac:dyDescent="0.25">
      <c r="B2293" s="42"/>
      <c r="AA2293" s="43"/>
    </row>
    <row r="2294" spans="2:27" x14ac:dyDescent="0.25">
      <c r="B2294" s="42"/>
      <c r="AA2294" s="43"/>
    </row>
    <row r="2295" spans="2:27" x14ac:dyDescent="0.25">
      <c r="B2295" s="42"/>
      <c r="AA2295" s="43"/>
    </row>
    <row r="2296" spans="2:27" x14ac:dyDescent="0.25">
      <c r="B2296" s="42"/>
      <c r="AA2296" s="43"/>
    </row>
    <row r="2297" spans="2:27" x14ac:dyDescent="0.25">
      <c r="B2297" s="42"/>
      <c r="AA2297" s="43"/>
    </row>
    <row r="2298" spans="2:27" x14ac:dyDescent="0.25">
      <c r="B2298" s="42"/>
      <c r="AA2298" s="43"/>
    </row>
    <row r="2299" spans="2:27" x14ac:dyDescent="0.25">
      <c r="B2299" s="42"/>
      <c r="AA2299" s="43"/>
    </row>
    <row r="2300" spans="2:27" x14ac:dyDescent="0.25">
      <c r="B2300" s="42"/>
      <c r="AA2300" s="43"/>
    </row>
    <row r="2301" spans="2:27" x14ac:dyDescent="0.25">
      <c r="B2301" s="42"/>
      <c r="AA2301" s="43"/>
    </row>
    <row r="2302" spans="2:27" x14ac:dyDescent="0.25">
      <c r="B2302" s="42"/>
      <c r="AA2302" s="43"/>
    </row>
    <row r="2303" spans="2:27" x14ac:dyDescent="0.25">
      <c r="B2303" s="42"/>
      <c r="AA2303" s="43"/>
    </row>
    <row r="2304" spans="2:27" x14ac:dyDescent="0.25">
      <c r="B2304" s="42"/>
      <c r="AA2304" s="43"/>
    </row>
    <row r="2305" spans="2:27" x14ac:dyDescent="0.25">
      <c r="B2305" s="42"/>
      <c r="AA2305" s="43"/>
    </row>
    <row r="2306" spans="2:27" x14ac:dyDescent="0.25">
      <c r="B2306" s="42"/>
      <c r="AA2306" s="43"/>
    </row>
    <row r="2307" spans="2:27" x14ac:dyDescent="0.25">
      <c r="B2307" s="42"/>
      <c r="AA2307" s="43"/>
    </row>
    <row r="2308" spans="2:27" x14ac:dyDescent="0.25">
      <c r="B2308" s="42"/>
      <c r="AA2308" s="43"/>
    </row>
    <row r="2309" spans="2:27" x14ac:dyDescent="0.25">
      <c r="B2309" s="42"/>
      <c r="AA2309" s="43"/>
    </row>
    <row r="2310" spans="2:27" x14ac:dyDescent="0.25">
      <c r="B2310" s="42"/>
      <c r="AA2310" s="43"/>
    </row>
    <row r="2311" spans="2:27" x14ac:dyDescent="0.25">
      <c r="B2311" s="42"/>
      <c r="AA2311" s="43"/>
    </row>
    <row r="2312" spans="2:27" x14ac:dyDescent="0.25">
      <c r="B2312" s="42"/>
      <c r="AA2312" s="43"/>
    </row>
    <row r="2313" spans="2:27" x14ac:dyDescent="0.25">
      <c r="B2313" s="42"/>
      <c r="AA2313" s="43"/>
    </row>
    <row r="2314" spans="2:27" x14ac:dyDescent="0.25">
      <c r="B2314" s="42"/>
      <c r="AA2314" s="43"/>
    </row>
    <row r="2315" spans="2:27" x14ac:dyDescent="0.25">
      <c r="B2315" s="42"/>
      <c r="AA2315" s="43"/>
    </row>
    <row r="2316" spans="2:27" x14ac:dyDescent="0.25">
      <c r="B2316" s="42"/>
      <c r="AA2316" s="43"/>
    </row>
    <row r="2317" spans="2:27" x14ac:dyDescent="0.25">
      <c r="B2317" s="42"/>
      <c r="AA2317" s="43"/>
    </row>
    <row r="2318" spans="2:27" x14ac:dyDescent="0.25">
      <c r="B2318" s="42"/>
      <c r="AA2318" s="43"/>
    </row>
    <row r="2319" spans="2:27" x14ac:dyDescent="0.25">
      <c r="B2319" s="42"/>
      <c r="AA2319" s="43"/>
    </row>
    <row r="2320" spans="2:27" x14ac:dyDescent="0.25">
      <c r="B2320" s="42"/>
      <c r="AA2320" s="43"/>
    </row>
    <row r="2321" spans="2:27" x14ac:dyDescent="0.25">
      <c r="B2321" s="42"/>
      <c r="AA2321" s="43"/>
    </row>
    <row r="2322" spans="2:27" x14ac:dyDescent="0.25">
      <c r="B2322" s="42"/>
      <c r="AA2322" s="43"/>
    </row>
    <row r="2323" spans="2:27" x14ac:dyDescent="0.25">
      <c r="B2323" s="42"/>
      <c r="AA2323" s="43"/>
    </row>
    <row r="2324" spans="2:27" x14ac:dyDescent="0.25">
      <c r="B2324" s="42"/>
      <c r="AA2324" s="43"/>
    </row>
    <row r="2325" spans="2:27" x14ac:dyDescent="0.25">
      <c r="B2325" s="42"/>
      <c r="AA2325" s="43"/>
    </row>
    <row r="2326" spans="2:27" x14ac:dyDescent="0.25">
      <c r="B2326" s="42"/>
      <c r="AA2326" s="43"/>
    </row>
    <row r="2327" spans="2:27" x14ac:dyDescent="0.25">
      <c r="B2327" s="42"/>
      <c r="AA2327" s="43"/>
    </row>
    <row r="2328" spans="2:27" x14ac:dyDescent="0.25">
      <c r="B2328" s="42"/>
      <c r="AA2328" s="43"/>
    </row>
    <row r="2329" spans="2:27" x14ac:dyDescent="0.25">
      <c r="B2329" s="42"/>
      <c r="AA2329" s="43"/>
    </row>
    <row r="2330" spans="2:27" x14ac:dyDescent="0.25">
      <c r="B2330" s="42"/>
      <c r="AA2330" s="43"/>
    </row>
    <row r="2331" spans="2:27" x14ac:dyDescent="0.25">
      <c r="B2331" s="42"/>
      <c r="AA2331" s="43"/>
    </row>
    <row r="2332" spans="2:27" x14ac:dyDescent="0.25">
      <c r="B2332" s="42"/>
      <c r="AA2332" s="43"/>
    </row>
    <row r="2333" spans="2:27" x14ac:dyDescent="0.25">
      <c r="B2333" s="42"/>
      <c r="AA2333" s="43"/>
    </row>
    <row r="2334" spans="2:27" x14ac:dyDescent="0.25">
      <c r="B2334" s="42"/>
      <c r="AA2334" s="43"/>
    </row>
    <row r="2335" spans="2:27" x14ac:dyDescent="0.25">
      <c r="B2335" s="42"/>
      <c r="AA2335" s="43"/>
    </row>
    <row r="2336" spans="2:27" x14ac:dyDescent="0.25">
      <c r="B2336" s="42"/>
      <c r="AA2336" s="43"/>
    </row>
    <row r="2337" spans="2:27" x14ac:dyDescent="0.25">
      <c r="B2337" s="42"/>
      <c r="AA2337" s="43"/>
    </row>
    <row r="2338" spans="2:27" x14ac:dyDescent="0.25">
      <c r="B2338" s="42"/>
      <c r="AA2338" s="43"/>
    </row>
    <row r="2339" spans="2:27" x14ac:dyDescent="0.25">
      <c r="B2339" s="42"/>
      <c r="AA2339" s="43"/>
    </row>
    <row r="2340" spans="2:27" x14ac:dyDescent="0.25">
      <c r="B2340" s="42"/>
      <c r="AA2340" s="43"/>
    </row>
    <row r="2341" spans="2:27" x14ac:dyDescent="0.25">
      <c r="B2341" s="42"/>
      <c r="AA2341" s="43"/>
    </row>
    <row r="2342" spans="2:27" x14ac:dyDescent="0.25">
      <c r="B2342" s="42"/>
      <c r="AA2342" s="43"/>
    </row>
    <row r="2343" spans="2:27" x14ac:dyDescent="0.25">
      <c r="B2343" s="42"/>
      <c r="AA2343" s="43"/>
    </row>
    <row r="2344" spans="2:27" x14ac:dyDescent="0.25">
      <c r="B2344" s="42"/>
      <c r="AA2344" s="43"/>
    </row>
    <row r="2345" spans="2:27" x14ac:dyDescent="0.25">
      <c r="B2345" s="42"/>
      <c r="AA2345" s="43"/>
    </row>
    <row r="2346" spans="2:27" x14ac:dyDescent="0.25">
      <c r="B2346" s="42"/>
      <c r="AA2346" s="43"/>
    </row>
    <row r="2347" spans="2:27" x14ac:dyDescent="0.25">
      <c r="B2347" s="42"/>
      <c r="AA2347" s="43"/>
    </row>
    <row r="2348" spans="2:27" x14ac:dyDescent="0.25">
      <c r="B2348" s="42"/>
      <c r="AA2348" s="43"/>
    </row>
    <row r="2349" spans="2:27" x14ac:dyDescent="0.25">
      <c r="B2349" s="42"/>
      <c r="AA2349" s="43"/>
    </row>
    <row r="2350" spans="2:27" x14ac:dyDescent="0.25">
      <c r="B2350" s="42"/>
      <c r="AA2350" s="43"/>
    </row>
    <row r="2351" spans="2:27" x14ac:dyDescent="0.25">
      <c r="B2351" s="42"/>
      <c r="AA2351" s="43"/>
    </row>
    <row r="2352" spans="2:27" x14ac:dyDescent="0.25">
      <c r="B2352" s="42"/>
      <c r="AA2352" s="43"/>
    </row>
    <row r="2353" spans="2:27" x14ac:dyDescent="0.25">
      <c r="B2353" s="42"/>
      <c r="AA2353" s="43"/>
    </row>
    <row r="2354" spans="2:27" x14ac:dyDescent="0.25">
      <c r="B2354" s="42"/>
      <c r="AA2354" s="43"/>
    </row>
    <row r="2355" spans="2:27" x14ac:dyDescent="0.25">
      <c r="B2355" s="42"/>
      <c r="AA2355" s="43"/>
    </row>
    <row r="2356" spans="2:27" x14ac:dyDescent="0.25">
      <c r="B2356" s="42"/>
      <c r="AA2356" s="43"/>
    </row>
    <row r="2357" spans="2:27" x14ac:dyDescent="0.25">
      <c r="B2357" s="42"/>
      <c r="AA2357" s="43"/>
    </row>
    <row r="2358" spans="2:27" x14ac:dyDescent="0.25">
      <c r="B2358" s="42"/>
      <c r="AA2358" s="43"/>
    </row>
    <row r="2359" spans="2:27" x14ac:dyDescent="0.25">
      <c r="B2359" s="42"/>
      <c r="AA2359" s="43"/>
    </row>
    <row r="2360" spans="2:27" x14ac:dyDescent="0.25">
      <c r="B2360" s="42"/>
      <c r="AA2360" s="43"/>
    </row>
    <row r="2361" spans="2:27" x14ac:dyDescent="0.25">
      <c r="B2361" s="42"/>
      <c r="AA2361" s="43"/>
    </row>
    <row r="2362" spans="2:27" x14ac:dyDescent="0.25">
      <c r="B2362" s="42"/>
      <c r="AA2362" s="43"/>
    </row>
    <row r="2363" spans="2:27" x14ac:dyDescent="0.25">
      <c r="B2363" s="42"/>
      <c r="AA2363" s="43"/>
    </row>
    <row r="2364" spans="2:27" x14ac:dyDescent="0.25">
      <c r="B2364" s="42"/>
      <c r="AA2364" s="43"/>
    </row>
    <row r="2365" spans="2:27" x14ac:dyDescent="0.25">
      <c r="B2365" s="42"/>
      <c r="AA2365" s="43"/>
    </row>
    <row r="2366" spans="2:27" x14ac:dyDescent="0.25">
      <c r="B2366" s="42"/>
      <c r="AA2366" s="43"/>
    </row>
    <row r="2367" spans="2:27" x14ac:dyDescent="0.25">
      <c r="B2367" s="42"/>
      <c r="AA2367" s="43"/>
    </row>
    <row r="2368" spans="2:27" x14ac:dyDescent="0.25">
      <c r="B2368" s="42"/>
      <c r="AA2368" s="43"/>
    </row>
    <row r="2369" spans="2:27" x14ac:dyDescent="0.25">
      <c r="B2369" s="42"/>
      <c r="AA2369" s="43"/>
    </row>
    <row r="2370" spans="2:27" x14ac:dyDescent="0.25">
      <c r="B2370" s="42"/>
      <c r="AA2370" s="43"/>
    </row>
    <row r="2371" spans="2:27" x14ac:dyDescent="0.25">
      <c r="B2371" s="42"/>
      <c r="AA2371" s="43"/>
    </row>
    <row r="2372" spans="2:27" x14ac:dyDescent="0.25">
      <c r="B2372" s="42"/>
      <c r="AA2372" s="43"/>
    </row>
    <row r="2373" spans="2:27" x14ac:dyDescent="0.25">
      <c r="B2373" s="42"/>
      <c r="AA2373" s="43"/>
    </row>
    <row r="2374" spans="2:27" x14ac:dyDescent="0.25">
      <c r="B2374" s="42"/>
      <c r="AA2374" s="43"/>
    </row>
    <row r="2375" spans="2:27" x14ac:dyDescent="0.25">
      <c r="B2375" s="42"/>
      <c r="AA2375" s="43"/>
    </row>
    <row r="2376" spans="2:27" x14ac:dyDescent="0.25">
      <c r="B2376" s="42"/>
      <c r="AA2376" s="43"/>
    </row>
    <row r="2377" spans="2:27" x14ac:dyDescent="0.25">
      <c r="B2377" s="42"/>
      <c r="AA2377" s="43"/>
    </row>
    <row r="2378" spans="2:27" x14ac:dyDescent="0.25">
      <c r="B2378" s="42"/>
      <c r="AA2378" s="43"/>
    </row>
    <row r="2379" spans="2:27" x14ac:dyDescent="0.25">
      <c r="B2379" s="42"/>
      <c r="AA2379" s="43"/>
    </row>
    <row r="2380" spans="2:27" x14ac:dyDescent="0.25">
      <c r="B2380" s="42"/>
      <c r="AA2380" s="43"/>
    </row>
    <row r="2381" spans="2:27" x14ac:dyDescent="0.25">
      <c r="B2381" s="42"/>
      <c r="AA2381" s="43"/>
    </row>
    <row r="2382" spans="2:27" x14ac:dyDescent="0.25">
      <c r="B2382" s="42"/>
      <c r="AA2382" s="43"/>
    </row>
    <row r="2383" spans="2:27" x14ac:dyDescent="0.25">
      <c r="B2383" s="42"/>
      <c r="AA2383" s="43"/>
    </row>
    <row r="2384" spans="2:27" x14ac:dyDescent="0.25">
      <c r="B2384" s="42"/>
      <c r="AA2384" s="43"/>
    </row>
    <row r="2385" spans="2:27" x14ac:dyDescent="0.25">
      <c r="B2385" s="42"/>
      <c r="AA2385" s="43"/>
    </row>
    <row r="2386" spans="2:27" x14ac:dyDescent="0.25">
      <c r="B2386" s="42"/>
      <c r="AA2386" s="43"/>
    </row>
    <row r="2387" spans="2:27" x14ac:dyDescent="0.25">
      <c r="B2387" s="42"/>
      <c r="AA2387" s="43"/>
    </row>
    <row r="2388" spans="2:27" x14ac:dyDescent="0.25">
      <c r="B2388" s="42"/>
      <c r="AA2388" s="43"/>
    </row>
    <row r="2389" spans="2:27" x14ac:dyDescent="0.25">
      <c r="B2389" s="42"/>
      <c r="AA2389" s="43"/>
    </row>
    <row r="2390" spans="2:27" x14ac:dyDescent="0.25">
      <c r="B2390" s="42"/>
      <c r="AA2390" s="43"/>
    </row>
    <row r="2391" spans="2:27" x14ac:dyDescent="0.25">
      <c r="B2391" s="42"/>
      <c r="AA2391" s="43"/>
    </row>
    <row r="2392" spans="2:27" x14ac:dyDescent="0.25">
      <c r="B2392" s="42"/>
      <c r="AA2392" s="43"/>
    </row>
    <row r="2393" spans="2:27" x14ac:dyDescent="0.25">
      <c r="B2393" s="42"/>
      <c r="AA2393" s="43"/>
    </row>
    <row r="2394" spans="2:27" x14ac:dyDescent="0.25">
      <c r="B2394" s="42"/>
      <c r="AA2394" s="43"/>
    </row>
    <row r="2395" spans="2:27" x14ac:dyDescent="0.25">
      <c r="B2395" s="42"/>
      <c r="AA2395" s="43"/>
    </row>
    <row r="2396" spans="2:27" x14ac:dyDescent="0.25">
      <c r="B2396" s="42"/>
      <c r="AA2396" s="43"/>
    </row>
    <row r="2397" spans="2:27" x14ac:dyDescent="0.25">
      <c r="B2397" s="42"/>
      <c r="AA2397" s="43"/>
    </row>
    <row r="2398" spans="2:27" x14ac:dyDescent="0.25">
      <c r="B2398" s="42"/>
      <c r="AA2398" s="43"/>
    </row>
    <row r="2399" spans="2:27" x14ac:dyDescent="0.25">
      <c r="B2399" s="42"/>
      <c r="AA2399" s="43"/>
    </row>
    <row r="2400" spans="2:27" x14ac:dyDescent="0.25">
      <c r="B2400" s="42"/>
      <c r="AA2400" s="43"/>
    </row>
    <row r="2401" spans="2:27" x14ac:dyDescent="0.25">
      <c r="B2401" s="42"/>
      <c r="AA2401" s="43"/>
    </row>
    <row r="2402" spans="2:27" x14ac:dyDescent="0.25">
      <c r="B2402" s="42"/>
      <c r="AA2402" s="43"/>
    </row>
    <row r="2403" spans="2:27" x14ac:dyDescent="0.25">
      <c r="B2403" s="42"/>
      <c r="AA2403" s="43"/>
    </row>
    <row r="2404" spans="2:27" x14ac:dyDescent="0.25">
      <c r="B2404" s="42"/>
      <c r="AA2404" s="43"/>
    </row>
    <row r="2405" spans="2:27" x14ac:dyDescent="0.25">
      <c r="B2405" s="42"/>
      <c r="AA2405" s="43"/>
    </row>
    <row r="2406" spans="2:27" x14ac:dyDescent="0.25">
      <c r="B2406" s="42"/>
      <c r="AA2406" s="43"/>
    </row>
    <row r="2407" spans="2:27" x14ac:dyDescent="0.25">
      <c r="B2407" s="42"/>
      <c r="AA2407" s="43"/>
    </row>
    <row r="2408" spans="2:27" x14ac:dyDescent="0.25">
      <c r="B2408" s="42"/>
      <c r="AA2408" s="43"/>
    </row>
    <row r="2409" spans="2:27" x14ac:dyDescent="0.25">
      <c r="B2409" s="42"/>
      <c r="AA2409" s="43"/>
    </row>
    <row r="2410" spans="2:27" x14ac:dyDescent="0.25">
      <c r="B2410" s="42"/>
      <c r="AA2410" s="43"/>
    </row>
    <row r="2411" spans="2:27" x14ac:dyDescent="0.25">
      <c r="B2411" s="42"/>
      <c r="AA2411" s="43"/>
    </row>
    <row r="2412" spans="2:27" x14ac:dyDescent="0.25">
      <c r="B2412" s="42"/>
      <c r="AA2412" s="43"/>
    </row>
    <row r="2413" spans="2:27" x14ac:dyDescent="0.25">
      <c r="B2413" s="42"/>
      <c r="AA2413" s="43"/>
    </row>
    <row r="2414" spans="2:27" x14ac:dyDescent="0.25">
      <c r="B2414" s="42"/>
      <c r="AA2414" s="43"/>
    </row>
    <row r="2415" spans="2:27" x14ac:dyDescent="0.25">
      <c r="B2415" s="42"/>
      <c r="AA2415" s="43"/>
    </row>
    <row r="2416" spans="2:27" x14ac:dyDescent="0.25">
      <c r="B2416" s="42"/>
      <c r="AA2416" s="43"/>
    </row>
    <row r="2417" spans="2:27" x14ac:dyDescent="0.25">
      <c r="B2417" s="42"/>
      <c r="AA2417" s="43"/>
    </row>
    <row r="2418" spans="2:27" x14ac:dyDescent="0.25">
      <c r="B2418" s="42"/>
      <c r="AA2418" s="43"/>
    </row>
    <row r="2419" spans="2:27" x14ac:dyDescent="0.25">
      <c r="B2419" s="42"/>
      <c r="AA2419" s="43"/>
    </row>
    <row r="2420" spans="2:27" x14ac:dyDescent="0.25">
      <c r="B2420" s="42"/>
      <c r="AA2420" s="43"/>
    </row>
    <row r="2421" spans="2:27" x14ac:dyDescent="0.25">
      <c r="B2421" s="42"/>
      <c r="AA2421" s="43"/>
    </row>
    <row r="2422" spans="2:27" x14ac:dyDescent="0.25">
      <c r="B2422" s="42"/>
      <c r="AA2422" s="43"/>
    </row>
    <row r="2423" spans="2:27" x14ac:dyDescent="0.25">
      <c r="B2423" s="42"/>
      <c r="AA2423" s="43"/>
    </row>
    <row r="2424" spans="2:27" x14ac:dyDescent="0.25">
      <c r="B2424" s="42"/>
      <c r="AA2424" s="43"/>
    </row>
    <row r="2425" spans="2:27" x14ac:dyDescent="0.25">
      <c r="B2425" s="42"/>
      <c r="AA2425" s="43"/>
    </row>
    <row r="2426" spans="2:27" x14ac:dyDescent="0.25">
      <c r="B2426" s="42"/>
      <c r="AA2426" s="43"/>
    </row>
    <row r="2427" spans="2:27" x14ac:dyDescent="0.25">
      <c r="B2427" s="42"/>
      <c r="AA2427" s="43"/>
    </row>
    <row r="2428" spans="2:27" x14ac:dyDescent="0.25">
      <c r="B2428" s="42"/>
      <c r="AA2428" s="43"/>
    </row>
    <row r="2429" spans="2:27" x14ac:dyDescent="0.25">
      <c r="B2429" s="42"/>
      <c r="AA2429" s="43"/>
    </row>
    <row r="2430" spans="2:27" x14ac:dyDescent="0.25">
      <c r="B2430" s="42"/>
      <c r="AA2430" s="43"/>
    </row>
    <row r="2431" spans="2:27" x14ac:dyDescent="0.25">
      <c r="B2431" s="42"/>
      <c r="AA2431" s="43"/>
    </row>
    <row r="2432" spans="2:27" x14ac:dyDescent="0.25">
      <c r="B2432" s="42"/>
      <c r="AA2432" s="43"/>
    </row>
    <row r="2433" spans="2:27" x14ac:dyDescent="0.25">
      <c r="B2433" s="42"/>
      <c r="AA2433" s="43"/>
    </row>
    <row r="2434" spans="2:27" x14ac:dyDescent="0.25">
      <c r="B2434" s="42"/>
      <c r="AA2434" s="43"/>
    </row>
    <row r="2435" spans="2:27" x14ac:dyDescent="0.25">
      <c r="B2435" s="42"/>
      <c r="AA2435" s="43"/>
    </row>
    <row r="2436" spans="2:27" x14ac:dyDescent="0.25">
      <c r="B2436" s="42"/>
      <c r="AA2436" s="43"/>
    </row>
    <row r="2437" spans="2:27" x14ac:dyDescent="0.25">
      <c r="B2437" s="42"/>
      <c r="AA2437" s="43"/>
    </row>
    <row r="2438" spans="2:27" x14ac:dyDescent="0.25">
      <c r="B2438" s="42"/>
      <c r="AA2438" s="43"/>
    </row>
    <row r="2439" spans="2:27" x14ac:dyDescent="0.25">
      <c r="B2439" s="42"/>
      <c r="AA2439" s="43"/>
    </row>
    <row r="2440" spans="2:27" x14ac:dyDescent="0.25">
      <c r="B2440" s="42"/>
      <c r="AA2440" s="43"/>
    </row>
    <row r="2441" spans="2:27" x14ac:dyDescent="0.25">
      <c r="B2441" s="42"/>
      <c r="AA2441" s="43"/>
    </row>
    <row r="2442" spans="2:27" x14ac:dyDescent="0.25">
      <c r="B2442" s="42"/>
      <c r="AA2442" s="43"/>
    </row>
    <row r="2443" spans="2:27" x14ac:dyDescent="0.25">
      <c r="B2443" s="42"/>
      <c r="AA2443" s="43"/>
    </row>
    <row r="2444" spans="2:27" x14ac:dyDescent="0.25">
      <c r="B2444" s="42"/>
      <c r="AA2444" s="43"/>
    </row>
    <row r="2445" spans="2:27" x14ac:dyDescent="0.25">
      <c r="B2445" s="42"/>
      <c r="AA2445" s="43"/>
    </row>
    <row r="2446" spans="2:27" x14ac:dyDescent="0.25">
      <c r="B2446" s="42"/>
      <c r="AA2446" s="43"/>
    </row>
    <row r="2447" spans="2:27" x14ac:dyDescent="0.25">
      <c r="B2447" s="42"/>
      <c r="AA2447" s="43"/>
    </row>
    <row r="2448" spans="2:27" x14ac:dyDescent="0.25">
      <c r="B2448" s="42"/>
      <c r="AA2448" s="43"/>
    </row>
    <row r="2449" spans="2:27" x14ac:dyDescent="0.25">
      <c r="B2449" s="42"/>
      <c r="AA2449" s="43"/>
    </row>
    <row r="2450" spans="2:27" x14ac:dyDescent="0.25">
      <c r="B2450" s="42"/>
      <c r="AA2450" s="43"/>
    </row>
    <row r="2451" spans="2:27" x14ac:dyDescent="0.25">
      <c r="B2451" s="42"/>
      <c r="AA2451" s="43"/>
    </row>
    <row r="2452" spans="2:27" x14ac:dyDescent="0.25">
      <c r="B2452" s="42"/>
      <c r="AA2452" s="43"/>
    </row>
    <row r="2453" spans="2:27" x14ac:dyDescent="0.25">
      <c r="B2453" s="42"/>
      <c r="AA2453" s="43"/>
    </row>
    <row r="2454" spans="2:27" x14ac:dyDescent="0.25">
      <c r="B2454" s="42"/>
      <c r="AA2454" s="43"/>
    </row>
    <row r="2455" spans="2:27" x14ac:dyDescent="0.25">
      <c r="B2455" s="42"/>
      <c r="AA2455" s="43"/>
    </row>
    <row r="2456" spans="2:27" x14ac:dyDescent="0.25">
      <c r="B2456" s="42"/>
      <c r="AA2456" s="43"/>
    </row>
    <row r="2457" spans="2:27" x14ac:dyDescent="0.25">
      <c r="B2457" s="42"/>
      <c r="AA2457" s="43"/>
    </row>
    <row r="2458" spans="2:27" x14ac:dyDescent="0.25">
      <c r="B2458" s="42"/>
      <c r="AA2458" s="43"/>
    </row>
    <row r="2459" spans="2:27" x14ac:dyDescent="0.25">
      <c r="B2459" s="42"/>
      <c r="AA2459" s="43"/>
    </row>
    <row r="2460" spans="2:27" x14ac:dyDescent="0.25">
      <c r="B2460" s="42"/>
      <c r="AA2460" s="43"/>
    </row>
    <row r="2461" spans="2:27" x14ac:dyDescent="0.25">
      <c r="B2461" s="42"/>
      <c r="AA2461" s="43"/>
    </row>
    <row r="2462" spans="2:27" x14ac:dyDescent="0.25">
      <c r="B2462" s="42"/>
      <c r="AA2462" s="43"/>
    </row>
    <row r="2463" spans="2:27" x14ac:dyDescent="0.25">
      <c r="B2463" s="42"/>
      <c r="AA2463" s="43"/>
    </row>
    <row r="2464" spans="2:27" x14ac:dyDescent="0.25">
      <c r="B2464" s="42"/>
      <c r="AA2464" s="43"/>
    </row>
    <row r="2465" spans="2:27" x14ac:dyDescent="0.25">
      <c r="B2465" s="42"/>
      <c r="AA2465" s="43"/>
    </row>
    <row r="2466" spans="2:27" x14ac:dyDescent="0.25">
      <c r="B2466" s="42"/>
      <c r="AA2466" s="43"/>
    </row>
    <row r="2467" spans="2:27" x14ac:dyDescent="0.25">
      <c r="B2467" s="42"/>
      <c r="AA2467" s="43"/>
    </row>
    <row r="2468" spans="2:27" x14ac:dyDescent="0.25">
      <c r="B2468" s="42"/>
      <c r="AA2468" s="43"/>
    </row>
    <row r="2469" spans="2:27" x14ac:dyDescent="0.25">
      <c r="B2469" s="42"/>
      <c r="AA2469" s="43"/>
    </row>
    <row r="2470" spans="2:27" x14ac:dyDescent="0.25">
      <c r="B2470" s="42"/>
      <c r="AA2470" s="43"/>
    </row>
    <row r="2471" spans="2:27" x14ac:dyDescent="0.25">
      <c r="B2471" s="42"/>
      <c r="AA2471" s="43"/>
    </row>
    <row r="2472" spans="2:27" x14ac:dyDescent="0.25">
      <c r="B2472" s="42"/>
      <c r="AA2472" s="43"/>
    </row>
    <row r="2473" spans="2:27" x14ac:dyDescent="0.25">
      <c r="B2473" s="42"/>
      <c r="AA2473" s="43"/>
    </row>
    <row r="2474" spans="2:27" x14ac:dyDescent="0.25">
      <c r="B2474" s="42"/>
      <c r="AA2474" s="43"/>
    </row>
    <row r="2475" spans="2:27" x14ac:dyDescent="0.25">
      <c r="B2475" s="42"/>
      <c r="AA2475" s="43"/>
    </row>
    <row r="2476" spans="2:27" x14ac:dyDescent="0.25">
      <c r="B2476" s="42"/>
      <c r="AA2476" s="43"/>
    </row>
    <row r="2477" spans="2:27" x14ac:dyDescent="0.25">
      <c r="B2477" s="42"/>
      <c r="AA2477" s="43"/>
    </row>
    <row r="2478" spans="2:27" x14ac:dyDescent="0.25">
      <c r="B2478" s="42"/>
      <c r="AA2478" s="43"/>
    </row>
    <row r="2479" spans="2:27" x14ac:dyDescent="0.25">
      <c r="B2479" s="42"/>
      <c r="AA2479" s="43"/>
    </row>
    <row r="2480" spans="2:27" x14ac:dyDescent="0.25">
      <c r="B2480" s="42"/>
      <c r="AA2480" s="43"/>
    </row>
    <row r="2481" spans="2:27" x14ac:dyDescent="0.25">
      <c r="B2481" s="42"/>
      <c r="AA2481" s="43"/>
    </row>
    <row r="2482" spans="2:27" x14ac:dyDescent="0.25">
      <c r="B2482" s="42"/>
      <c r="AA2482" s="43"/>
    </row>
    <row r="2483" spans="2:27" x14ac:dyDescent="0.25">
      <c r="B2483" s="42"/>
      <c r="AA2483" s="43"/>
    </row>
    <row r="2484" spans="2:27" x14ac:dyDescent="0.25">
      <c r="B2484" s="42"/>
      <c r="AA2484" s="43"/>
    </row>
    <row r="2485" spans="2:27" x14ac:dyDescent="0.25">
      <c r="B2485" s="42"/>
      <c r="AA2485" s="43"/>
    </row>
    <row r="2486" spans="2:27" x14ac:dyDescent="0.25">
      <c r="B2486" s="42"/>
      <c r="AA2486" s="43"/>
    </row>
    <row r="2487" spans="2:27" x14ac:dyDescent="0.25">
      <c r="B2487" s="42"/>
      <c r="AA2487" s="43"/>
    </row>
    <row r="2488" spans="2:27" x14ac:dyDescent="0.25">
      <c r="B2488" s="42"/>
      <c r="AA2488" s="43"/>
    </row>
    <row r="2489" spans="2:27" x14ac:dyDescent="0.25">
      <c r="B2489" s="42"/>
      <c r="AA2489" s="43"/>
    </row>
    <row r="2490" spans="2:27" x14ac:dyDescent="0.25">
      <c r="B2490" s="42"/>
      <c r="AA2490" s="43"/>
    </row>
    <row r="2491" spans="2:27" x14ac:dyDescent="0.25">
      <c r="B2491" s="42"/>
      <c r="AA2491" s="43"/>
    </row>
    <row r="2492" spans="2:27" x14ac:dyDescent="0.25">
      <c r="B2492" s="42"/>
      <c r="AA2492" s="43"/>
    </row>
    <row r="2493" spans="2:27" x14ac:dyDescent="0.25">
      <c r="B2493" s="42"/>
      <c r="AA2493" s="43"/>
    </row>
    <row r="2494" spans="2:27" x14ac:dyDescent="0.25">
      <c r="B2494" s="42"/>
      <c r="AA2494" s="43"/>
    </row>
    <row r="2495" spans="2:27" x14ac:dyDescent="0.25">
      <c r="B2495" s="42"/>
      <c r="AA2495" s="43"/>
    </row>
    <row r="2496" spans="2:27" x14ac:dyDescent="0.25">
      <c r="B2496" s="42"/>
      <c r="AA2496" s="43"/>
    </row>
    <row r="2497" spans="2:27" x14ac:dyDescent="0.25">
      <c r="B2497" s="42"/>
      <c r="AA2497" s="43"/>
    </row>
    <row r="2498" spans="2:27" x14ac:dyDescent="0.25">
      <c r="B2498" s="42"/>
      <c r="AA2498" s="43"/>
    </row>
    <row r="2499" spans="2:27" x14ac:dyDescent="0.25">
      <c r="B2499" s="42"/>
      <c r="AA2499" s="43"/>
    </row>
    <row r="2500" spans="2:27" x14ac:dyDescent="0.25">
      <c r="B2500" s="42"/>
      <c r="AA2500" s="43"/>
    </row>
    <row r="2501" spans="2:27" x14ac:dyDescent="0.25">
      <c r="B2501" s="42"/>
      <c r="AA2501" s="43"/>
    </row>
    <row r="2502" spans="2:27" x14ac:dyDescent="0.25">
      <c r="B2502" s="42"/>
      <c r="AA2502" s="43"/>
    </row>
    <row r="2503" spans="2:27" x14ac:dyDescent="0.25">
      <c r="B2503" s="42"/>
      <c r="AA2503" s="43"/>
    </row>
    <row r="2504" spans="2:27" x14ac:dyDescent="0.25">
      <c r="B2504" s="42"/>
      <c r="AA2504" s="43"/>
    </row>
    <row r="2505" spans="2:27" x14ac:dyDescent="0.25">
      <c r="B2505" s="42"/>
      <c r="AA2505" s="43"/>
    </row>
    <row r="2506" spans="2:27" x14ac:dyDescent="0.25">
      <c r="B2506" s="42"/>
      <c r="AA2506" s="43"/>
    </row>
    <row r="2507" spans="2:27" x14ac:dyDescent="0.25">
      <c r="B2507" s="42"/>
      <c r="AA2507" s="43"/>
    </row>
    <row r="2508" spans="2:27" x14ac:dyDescent="0.25">
      <c r="B2508" s="42"/>
      <c r="AA2508" s="43"/>
    </row>
    <row r="2509" spans="2:27" x14ac:dyDescent="0.25">
      <c r="B2509" s="42"/>
      <c r="AA2509" s="43"/>
    </row>
    <row r="2510" spans="2:27" x14ac:dyDescent="0.25">
      <c r="B2510" s="42"/>
      <c r="AA2510" s="43"/>
    </row>
    <row r="2511" spans="2:27" x14ac:dyDescent="0.25">
      <c r="B2511" s="42"/>
      <c r="AA2511" s="43"/>
    </row>
    <row r="2512" spans="2:27" x14ac:dyDescent="0.25">
      <c r="B2512" s="42"/>
      <c r="AA2512" s="43"/>
    </row>
    <row r="2513" spans="2:27" x14ac:dyDescent="0.25">
      <c r="B2513" s="42"/>
      <c r="AA2513" s="43"/>
    </row>
    <row r="2514" spans="2:27" x14ac:dyDescent="0.25">
      <c r="B2514" s="42"/>
      <c r="AA2514" s="43"/>
    </row>
    <row r="2515" spans="2:27" x14ac:dyDescent="0.25">
      <c r="B2515" s="42"/>
      <c r="AA2515" s="43"/>
    </row>
    <row r="2516" spans="2:27" x14ac:dyDescent="0.25">
      <c r="B2516" s="42"/>
      <c r="AA2516" s="43"/>
    </row>
    <row r="2517" spans="2:27" x14ac:dyDescent="0.25">
      <c r="B2517" s="42"/>
      <c r="AA2517" s="43"/>
    </row>
    <row r="2518" spans="2:27" x14ac:dyDescent="0.25">
      <c r="B2518" s="42"/>
      <c r="AA2518" s="43"/>
    </row>
    <row r="2519" spans="2:27" x14ac:dyDescent="0.25">
      <c r="B2519" s="42"/>
      <c r="AA2519" s="43"/>
    </row>
    <row r="2520" spans="2:27" x14ac:dyDescent="0.25">
      <c r="B2520" s="42"/>
      <c r="AA2520" s="43"/>
    </row>
    <row r="2521" spans="2:27" x14ac:dyDescent="0.25">
      <c r="B2521" s="42"/>
      <c r="AA2521" s="43"/>
    </row>
    <row r="2522" spans="2:27" x14ac:dyDescent="0.25">
      <c r="B2522" s="42"/>
      <c r="AA2522" s="43"/>
    </row>
    <row r="2523" spans="2:27" x14ac:dyDescent="0.25">
      <c r="B2523" s="42"/>
      <c r="AA2523" s="43"/>
    </row>
    <row r="2524" spans="2:27" x14ac:dyDescent="0.25">
      <c r="B2524" s="42"/>
      <c r="AA2524" s="43"/>
    </row>
    <row r="2525" spans="2:27" x14ac:dyDescent="0.25">
      <c r="B2525" s="42"/>
      <c r="AA2525" s="43"/>
    </row>
    <row r="2526" spans="2:27" x14ac:dyDescent="0.25">
      <c r="B2526" s="42"/>
      <c r="AA2526" s="43"/>
    </row>
    <row r="2527" spans="2:27" x14ac:dyDescent="0.25">
      <c r="B2527" s="42"/>
      <c r="AA2527" s="43"/>
    </row>
    <row r="2528" spans="2:27" x14ac:dyDescent="0.25">
      <c r="B2528" s="42"/>
      <c r="AA2528" s="43"/>
    </row>
    <row r="2529" spans="2:27" x14ac:dyDescent="0.25">
      <c r="B2529" s="42"/>
      <c r="AA2529" s="43"/>
    </row>
    <row r="2530" spans="2:27" x14ac:dyDescent="0.25">
      <c r="B2530" s="42"/>
      <c r="AA2530" s="43"/>
    </row>
    <row r="2531" spans="2:27" x14ac:dyDescent="0.25">
      <c r="B2531" s="42"/>
      <c r="AA2531" s="43"/>
    </row>
    <row r="2532" spans="2:27" x14ac:dyDescent="0.25">
      <c r="B2532" s="42"/>
      <c r="AA2532" s="43"/>
    </row>
    <row r="2533" spans="2:27" x14ac:dyDescent="0.25">
      <c r="B2533" s="42"/>
      <c r="AA2533" s="43"/>
    </row>
    <row r="2534" spans="2:27" x14ac:dyDescent="0.25">
      <c r="B2534" s="42"/>
      <c r="AA2534" s="43"/>
    </row>
    <row r="2535" spans="2:27" x14ac:dyDescent="0.25">
      <c r="B2535" s="42"/>
      <c r="AA2535" s="43"/>
    </row>
    <row r="2536" spans="2:27" x14ac:dyDescent="0.25">
      <c r="B2536" s="42"/>
      <c r="AA2536" s="43"/>
    </row>
    <row r="2537" spans="2:27" x14ac:dyDescent="0.25">
      <c r="B2537" s="42"/>
      <c r="AA2537" s="43"/>
    </row>
    <row r="2538" spans="2:27" x14ac:dyDescent="0.25">
      <c r="B2538" s="42"/>
      <c r="AA2538" s="43"/>
    </row>
    <row r="2539" spans="2:27" x14ac:dyDescent="0.25">
      <c r="B2539" s="42"/>
      <c r="AA2539" s="43"/>
    </row>
    <row r="2540" spans="2:27" x14ac:dyDescent="0.25">
      <c r="B2540" s="42"/>
      <c r="AA2540" s="43"/>
    </row>
    <row r="2541" spans="2:27" x14ac:dyDescent="0.25">
      <c r="B2541" s="42"/>
      <c r="AA2541" s="43"/>
    </row>
    <row r="2542" spans="2:27" x14ac:dyDescent="0.25">
      <c r="B2542" s="42"/>
      <c r="AA2542" s="43"/>
    </row>
    <row r="2543" spans="2:27" x14ac:dyDescent="0.25">
      <c r="B2543" s="42"/>
      <c r="AA2543" s="43"/>
    </row>
    <row r="2544" spans="2:27" x14ac:dyDescent="0.25">
      <c r="B2544" s="42"/>
      <c r="AA2544" s="43"/>
    </row>
    <row r="2545" spans="2:27" x14ac:dyDescent="0.25">
      <c r="B2545" s="42"/>
      <c r="AA2545" s="43"/>
    </row>
    <row r="2546" spans="2:27" x14ac:dyDescent="0.25">
      <c r="B2546" s="42"/>
      <c r="AA2546" s="43"/>
    </row>
    <row r="2547" spans="2:27" x14ac:dyDescent="0.25">
      <c r="B2547" s="42"/>
      <c r="AA2547" s="43"/>
    </row>
    <row r="2548" spans="2:27" x14ac:dyDescent="0.25">
      <c r="B2548" s="42"/>
      <c r="AA2548" s="43"/>
    </row>
    <row r="2549" spans="2:27" x14ac:dyDescent="0.25">
      <c r="B2549" s="42"/>
      <c r="AA2549" s="43"/>
    </row>
    <row r="2550" spans="2:27" x14ac:dyDescent="0.25">
      <c r="B2550" s="42"/>
      <c r="AA2550" s="43"/>
    </row>
    <row r="2551" spans="2:27" x14ac:dyDescent="0.25">
      <c r="B2551" s="42"/>
      <c r="AA2551" s="43"/>
    </row>
    <row r="2552" spans="2:27" x14ac:dyDescent="0.25">
      <c r="B2552" s="42"/>
      <c r="AA2552" s="43"/>
    </row>
    <row r="2553" spans="2:27" x14ac:dyDescent="0.25">
      <c r="B2553" s="42"/>
      <c r="AA2553" s="43"/>
    </row>
    <row r="2554" spans="2:27" x14ac:dyDescent="0.25">
      <c r="B2554" s="42"/>
      <c r="AA2554" s="43"/>
    </row>
    <row r="2555" spans="2:27" x14ac:dyDescent="0.25">
      <c r="B2555" s="42"/>
      <c r="AA2555" s="43"/>
    </row>
    <row r="2556" spans="2:27" x14ac:dyDescent="0.25">
      <c r="B2556" s="42"/>
      <c r="AA2556" s="43"/>
    </row>
    <row r="2557" spans="2:27" x14ac:dyDescent="0.25">
      <c r="B2557" s="42"/>
      <c r="AA2557" s="43"/>
    </row>
    <row r="2558" spans="2:27" x14ac:dyDescent="0.25">
      <c r="B2558" s="42"/>
      <c r="AA2558" s="43"/>
    </row>
    <row r="2559" spans="2:27" x14ac:dyDescent="0.25">
      <c r="B2559" s="42"/>
      <c r="AA2559" s="43"/>
    </row>
    <row r="2560" spans="2:27" x14ac:dyDescent="0.25">
      <c r="B2560" s="42"/>
      <c r="AA2560" s="43"/>
    </row>
    <row r="2561" spans="2:27" x14ac:dyDescent="0.25">
      <c r="B2561" s="42"/>
      <c r="AA2561" s="43"/>
    </row>
    <row r="2562" spans="2:27" x14ac:dyDescent="0.25">
      <c r="B2562" s="42"/>
      <c r="AA2562" s="43"/>
    </row>
    <row r="2563" spans="2:27" x14ac:dyDescent="0.25">
      <c r="B2563" s="42"/>
      <c r="AA2563" s="43"/>
    </row>
    <row r="2564" spans="2:27" x14ac:dyDescent="0.25">
      <c r="B2564" s="42"/>
      <c r="AA2564" s="43"/>
    </row>
    <row r="2565" spans="2:27" x14ac:dyDescent="0.25">
      <c r="B2565" s="42"/>
      <c r="AA2565" s="43"/>
    </row>
    <row r="2566" spans="2:27" x14ac:dyDescent="0.25">
      <c r="B2566" s="42"/>
      <c r="AA2566" s="43"/>
    </row>
    <row r="2567" spans="2:27" x14ac:dyDescent="0.25">
      <c r="B2567" s="42"/>
      <c r="AA2567" s="43"/>
    </row>
    <row r="2568" spans="2:27" x14ac:dyDescent="0.25">
      <c r="B2568" s="42"/>
      <c r="AA2568" s="43"/>
    </row>
    <row r="2569" spans="2:27" x14ac:dyDescent="0.25">
      <c r="B2569" s="42"/>
      <c r="AA2569" s="43"/>
    </row>
    <row r="2570" spans="2:27" x14ac:dyDescent="0.25">
      <c r="B2570" s="42"/>
      <c r="AA2570" s="43"/>
    </row>
    <row r="2571" spans="2:27" x14ac:dyDescent="0.25">
      <c r="B2571" s="42"/>
      <c r="AA2571" s="43"/>
    </row>
    <row r="2572" spans="2:27" x14ac:dyDescent="0.25">
      <c r="B2572" s="42"/>
      <c r="AA2572" s="43"/>
    </row>
    <row r="2573" spans="2:27" x14ac:dyDescent="0.25">
      <c r="B2573" s="42"/>
      <c r="AA2573" s="43"/>
    </row>
    <row r="2574" spans="2:27" x14ac:dyDescent="0.25">
      <c r="B2574" s="42"/>
      <c r="AA2574" s="43"/>
    </row>
    <row r="2575" spans="2:27" x14ac:dyDescent="0.25">
      <c r="B2575" s="42"/>
      <c r="AA2575" s="43"/>
    </row>
    <row r="2576" spans="2:27" x14ac:dyDescent="0.25">
      <c r="B2576" s="42"/>
      <c r="AA2576" s="43"/>
    </row>
    <row r="2577" spans="2:27" x14ac:dyDescent="0.25">
      <c r="B2577" s="42"/>
      <c r="AA2577" s="43"/>
    </row>
    <row r="2578" spans="2:27" x14ac:dyDescent="0.25">
      <c r="B2578" s="42"/>
      <c r="AA2578" s="43"/>
    </row>
    <row r="2579" spans="2:27" x14ac:dyDescent="0.25">
      <c r="B2579" s="42"/>
      <c r="AA2579" s="43"/>
    </row>
    <row r="2580" spans="2:27" x14ac:dyDescent="0.25">
      <c r="B2580" s="42"/>
      <c r="AA2580" s="43"/>
    </row>
    <row r="2581" spans="2:27" x14ac:dyDescent="0.25">
      <c r="B2581" s="42"/>
      <c r="AA2581" s="43"/>
    </row>
    <row r="2582" spans="2:27" x14ac:dyDescent="0.25">
      <c r="B2582" s="42"/>
      <c r="AA2582" s="43"/>
    </row>
    <row r="2583" spans="2:27" x14ac:dyDescent="0.25">
      <c r="B2583" s="42"/>
      <c r="AA2583" s="43"/>
    </row>
    <row r="2584" spans="2:27" x14ac:dyDescent="0.25">
      <c r="B2584" s="42"/>
      <c r="AA2584" s="43"/>
    </row>
    <row r="2585" spans="2:27" x14ac:dyDescent="0.25">
      <c r="B2585" s="42"/>
      <c r="AA2585" s="43"/>
    </row>
    <row r="2586" spans="2:27" x14ac:dyDescent="0.25">
      <c r="B2586" s="42"/>
      <c r="AA2586" s="43"/>
    </row>
    <row r="2587" spans="2:27" x14ac:dyDescent="0.25">
      <c r="B2587" s="42"/>
      <c r="AA2587" s="43"/>
    </row>
    <row r="2588" spans="2:27" x14ac:dyDescent="0.25">
      <c r="B2588" s="42"/>
      <c r="AA2588" s="43"/>
    </row>
    <row r="2589" spans="2:27" x14ac:dyDescent="0.25">
      <c r="B2589" s="42"/>
      <c r="AA2589" s="43"/>
    </row>
    <row r="2590" spans="2:27" x14ac:dyDescent="0.25">
      <c r="B2590" s="42"/>
      <c r="AA2590" s="43"/>
    </row>
    <row r="2591" spans="2:27" x14ac:dyDescent="0.25">
      <c r="B2591" s="42"/>
      <c r="AA2591" s="43"/>
    </row>
    <row r="2592" spans="2:27" x14ac:dyDescent="0.25">
      <c r="B2592" s="42"/>
      <c r="AA2592" s="43"/>
    </row>
    <row r="2593" spans="2:27" x14ac:dyDescent="0.25">
      <c r="B2593" s="42"/>
      <c r="AA2593" s="43"/>
    </row>
    <row r="2594" spans="2:27" x14ac:dyDescent="0.25">
      <c r="B2594" s="42"/>
      <c r="AA2594" s="43"/>
    </row>
    <row r="2595" spans="2:27" x14ac:dyDescent="0.25">
      <c r="B2595" s="42"/>
      <c r="AA2595" s="43"/>
    </row>
    <row r="2596" spans="2:27" x14ac:dyDescent="0.25">
      <c r="B2596" s="42"/>
      <c r="AA2596" s="43"/>
    </row>
    <row r="2597" spans="2:27" x14ac:dyDescent="0.25">
      <c r="B2597" s="42"/>
      <c r="AA2597" s="43"/>
    </row>
    <row r="2598" spans="2:27" x14ac:dyDescent="0.25">
      <c r="B2598" s="42"/>
      <c r="AA2598" s="43"/>
    </row>
    <row r="2599" spans="2:27" x14ac:dyDescent="0.25">
      <c r="B2599" s="42"/>
      <c r="AA2599" s="43"/>
    </row>
    <row r="2600" spans="2:27" x14ac:dyDescent="0.25">
      <c r="B2600" s="42"/>
      <c r="AA2600" s="43"/>
    </row>
    <row r="2601" spans="2:27" x14ac:dyDescent="0.25">
      <c r="B2601" s="42"/>
      <c r="AA2601" s="43"/>
    </row>
    <row r="2602" spans="2:27" x14ac:dyDescent="0.25">
      <c r="B2602" s="42"/>
      <c r="AA2602" s="43"/>
    </row>
    <row r="2603" spans="2:27" x14ac:dyDescent="0.25">
      <c r="B2603" s="42"/>
      <c r="AA2603" s="43"/>
    </row>
    <row r="2604" spans="2:27" x14ac:dyDescent="0.25">
      <c r="B2604" s="42"/>
      <c r="AA2604" s="43"/>
    </row>
    <row r="2605" spans="2:27" x14ac:dyDescent="0.25">
      <c r="B2605" s="42"/>
      <c r="AA2605" s="43"/>
    </row>
    <row r="2606" spans="2:27" x14ac:dyDescent="0.25">
      <c r="B2606" s="42"/>
      <c r="AA2606" s="43"/>
    </row>
    <row r="2607" spans="2:27" x14ac:dyDescent="0.25">
      <c r="B2607" s="42"/>
      <c r="AA2607" s="43"/>
    </row>
    <row r="2608" spans="2:27" x14ac:dyDescent="0.25">
      <c r="B2608" s="42"/>
      <c r="AA2608" s="43"/>
    </row>
    <row r="2609" spans="2:27" x14ac:dyDescent="0.25">
      <c r="B2609" s="42"/>
      <c r="AA2609" s="43"/>
    </row>
    <row r="2610" spans="2:27" x14ac:dyDescent="0.25">
      <c r="B2610" s="42"/>
      <c r="AA2610" s="43"/>
    </row>
    <row r="2611" spans="2:27" x14ac:dyDescent="0.25">
      <c r="B2611" s="42"/>
      <c r="AA2611" s="43"/>
    </row>
    <row r="2612" spans="2:27" x14ac:dyDescent="0.25">
      <c r="B2612" s="42"/>
      <c r="AA2612" s="43"/>
    </row>
    <row r="2613" spans="2:27" x14ac:dyDescent="0.25">
      <c r="B2613" s="42"/>
      <c r="AA2613" s="43"/>
    </row>
    <row r="2614" spans="2:27" x14ac:dyDescent="0.25">
      <c r="B2614" s="42"/>
      <c r="AA2614" s="43"/>
    </row>
    <row r="2615" spans="2:27" x14ac:dyDescent="0.25">
      <c r="B2615" s="42"/>
      <c r="AA2615" s="43"/>
    </row>
    <row r="2616" spans="2:27" x14ac:dyDescent="0.25">
      <c r="B2616" s="42"/>
      <c r="AA2616" s="43"/>
    </row>
    <row r="2617" spans="2:27" x14ac:dyDescent="0.25">
      <c r="B2617" s="42"/>
      <c r="AA2617" s="43"/>
    </row>
    <row r="2618" spans="2:27" x14ac:dyDescent="0.25">
      <c r="B2618" s="42"/>
      <c r="AA2618" s="43"/>
    </row>
    <row r="2619" spans="2:27" x14ac:dyDescent="0.25">
      <c r="B2619" s="42"/>
      <c r="AA2619" s="43"/>
    </row>
    <row r="2620" spans="2:27" x14ac:dyDescent="0.25">
      <c r="B2620" s="42"/>
      <c r="AA2620" s="43"/>
    </row>
    <row r="2621" spans="2:27" x14ac:dyDescent="0.25">
      <c r="B2621" s="42"/>
      <c r="AA2621" s="43"/>
    </row>
    <row r="2622" spans="2:27" x14ac:dyDescent="0.25">
      <c r="B2622" s="42"/>
      <c r="AA2622" s="43"/>
    </row>
    <row r="2623" spans="2:27" x14ac:dyDescent="0.25">
      <c r="B2623" s="42"/>
      <c r="AA2623" s="43"/>
    </row>
    <row r="2624" spans="2:27" x14ac:dyDescent="0.25">
      <c r="B2624" s="42"/>
      <c r="AA2624" s="43"/>
    </row>
    <row r="2625" spans="2:27" x14ac:dyDescent="0.25">
      <c r="B2625" s="42"/>
      <c r="AA2625" s="43"/>
    </row>
    <row r="2626" spans="2:27" x14ac:dyDescent="0.25">
      <c r="B2626" s="42"/>
      <c r="AA2626" s="43"/>
    </row>
    <row r="2627" spans="2:27" x14ac:dyDescent="0.25">
      <c r="B2627" s="42"/>
      <c r="AA2627" s="43"/>
    </row>
    <row r="2628" spans="2:27" x14ac:dyDescent="0.25">
      <c r="B2628" s="42"/>
      <c r="AA2628" s="43"/>
    </row>
    <row r="2629" spans="2:27" x14ac:dyDescent="0.25">
      <c r="B2629" s="42"/>
      <c r="AA2629" s="43"/>
    </row>
    <row r="2630" spans="2:27" x14ac:dyDescent="0.25">
      <c r="B2630" s="42"/>
      <c r="AA2630" s="43"/>
    </row>
    <row r="2631" spans="2:27" x14ac:dyDescent="0.25">
      <c r="B2631" s="42"/>
      <c r="AA2631" s="43"/>
    </row>
    <row r="2632" spans="2:27" x14ac:dyDescent="0.25">
      <c r="B2632" s="42"/>
      <c r="AA2632" s="43"/>
    </row>
    <row r="2633" spans="2:27" x14ac:dyDescent="0.25">
      <c r="B2633" s="42"/>
      <c r="AA2633" s="43"/>
    </row>
    <row r="2634" spans="2:27" x14ac:dyDescent="0.25">
      <c r="B2634" s="42"/>
      <c r="AA2634" s="43"/>
    </row>
    <row r="2635" spans="2:27" x14ac:dyDescent="0.25">
      <c r="B2635" s="42"/>
      <c r="AA2635" s="43"/>
    </row>
    <row r="2636" spans="2:27" x14ac:dyDescent="0.25">
      <c r="B2636" s="42"/>
      <c r="AA2636" s="43"/>
    </row>
    <row r="2637" spans="2:27" x14ac:dyDescent="0.25">
      <c r="B2637" s="42"/>
      <c r="AA2637" s="43"/>
    </row>
    <row r="2638" spans="2:27" x14ac:dyDescent="0.25">
      <c r="B2638" s="42"/>
      <c r="AA2638" s="43"/>
    </row>
    <row r="2639" spans="2:27" x14ac:dyDescent="0.25">
      <c r="B2639" s="42"/>
      <c r="AA2639" s="43"/>
    </row>
    <row r="2640" spans="2:27" x14ac:dyDescent="0.25">
      <c r="B2640" s="42"/>
      <c r="AA2640" s="43"/>
    </row>
    <row r="2641" spans="2:27" x14ac:dyDescent="0.25">
      <c r="B2641" s="42"/>
      <c r="AA2641" s="43"/>
    </row>
    <row r="2642" spans="2:27" x14ac:dyDescent="0.25">
      <c r="B2642" s="42"/>
      <c r="AA2642" s="43"/>
    </row>
    <row r="2643" spans="2:27" x14ac:dyDescent="0.25">
      <c r="B2643" s="42"/>
      <c r="AA2643" s="43"/>
    </row>
    <row r="2644" spans="2:27" x14ac:dyDescent="0.25">
      <c r="B2644" s="42"/>
      <c r="AA2644" s="43"/>
    </row>
    <row r="2645" spans="2:27" x14ac:dyDescent="0.25">
      <c r="B2645" s="42"/>
      <c r="AA2645" s="43"/>
    </row>
    <row r="2646" spans="2:27" x14ac:dyDescent="0.25">
      <c r="B2646" s="42"/>
      <c r="AA2646" s="43"/>
    </row>
    <row r="2647" spans="2:27" x14ac:dyDescent="0.25">
      <c r="B2647" s="42"/>
      <c r="AA2647" s="43"/>
    </row>
    <row r="2648" spans="2:27" x14ac:dyDescent="0.25">
      <c r="B2648" s="42"/>
      <c r="AA2648" s="43"/>
    </row>
    <row r="2649" spans="2:27" x14ac:dyDescent="0.25">
      <c r="B2649" s="42"/>
      <c r="AA2649" s="43"/>
    </row>
    <row r="2650" spans="2:27" x14ac:dyDescent="0.25">
      <c r="B2650" s="42"/>
      <c r="AA2650" s="43"/>
    </row>
    <row r="2651" spans="2:27" x14ac:dyDescent="0.25">
      <c r="B2651" s="42"/>
      <c r="AA2651" s="43"/>
    </row>
    <row r="2652" spans="2:27" x14ac:dyDescent="0.25">
      <c r="B2652" s="42"/>
      <c r="AA2652" s="43"/>
    </row>
    <row r="2653" spans="2:27" x14ac:dyDescent="0.25">
      <c r="B2653" s="42"/>
      <c r="AA2653" s="43"/>
    </row>
    <row r="2654" spans="2:27" x14ac:dyDescent="0.25">
      <c r="B2654" s="42"/>
      <c r="AA2654" s="43"/>
    </row>
    <row r="2655" spans="2:27" x14ac:dyDescent="0.25">
      <c r="B2655" s="42"/>
      <c r="AA2655" s="43"/>
    </row>
    <row r="2656" spans="2:27" x14ac:dyDescent="0.25">
      <c r="B2656" s="42"/>
      <c r="AA2656" s="43"/>
    </row>
    <row r="2657" spans="2:27" x14ac:dyDescent="0.25">
      <c r="B2657" s="42"/>
      <c r="AA2657" s="43"/>
    </row>
    <row r="2658" spans="2:27" x14ac:dyDescent="0.25">
      <c r="B2658" s="42"/>
      <c r="AA2658" s="43"/>
    </row>
    <row r="2659" spans="2:27" x14ac:dyDescent="0.25">
      <c r="B2659" s="42"/>
      <c r="AA2659" s="43"/>
    </row>
    <row r="2660" spans="2:27" x14ac:dyDescent="0.25">
      <c r="B2660" s="42"/>
      <c r="AA2660" s="43"/>
    </row>
    <row r="2661" spans="2:27" x14ac:dyDescent="0.25">
      <c r="B2661" s="42"/>
      <c r="AA2661" s="43"/>
    </row>
    <row r="2662" spans="2:27" x14ac:dyDescent="0.25">
      <c r="B2662" s="42"/>
      <c r="AA2662" s="43"/>
    </row>
    <row r="2663" spans="2:27" x14ac:dyDescent="0.25">
      <c r="B2663" s="42"/>
      <c r="AA2663" s="43"/>
    </row>
    <row r="2664" spans="2:27" x14ac:dyDescent="0.25">
      <c r="B2664" s="42"/>
      <c r="AA2664" s="43"/>
    </row>
    <row r="2665" spans="2:27" x14ac:dyDescent="0.25">
      <c r="B2665" s="42"/>
      <c r="AA2665" s="43"/>
    </row>
    <row r="2666" spans="2:27" x14ac:dyDescent="0.25">
      <c r="B2666" s="42"/>
      <c r="AA2666" s="43"/>
    </row>
    <row r="2667" spans="2:27" x14ac:dyDescent="0.25">
      <c r="B2667" s="42"/>
      <c r="AA2667" s="43"/>
    </row>
    <row r="2668" spans="2:27" x14ac:dyDescent="0.25">
      <c r="B2668" s="42"/>
      <c r="AA2668" s="43"/>
    </row>
    <row r="2669" spans="2:27" x14ac:dyDescent="0.25">
      <c r="B2669" s="42"/>
      <c r="AA2669" s="43"/>
    </row>
    <row r="2670" spans="2:27" x14ac:dyDescent="0.25">
      <c r="B2670" s="42"/>
      <c r="AA2670" s="43"/>
    </row>
    <row r="2671" spans="2:27" x14ac:dyDescent="0.25">
      <c r="B2671" s="42"/>
      <c r="AA2671" s="43"/>
    </row>
    <row r="2672" spans="2:27" x14ac:dyDescent="0.25">
      <c r="B2672" s="42"/>
      <c r="AA2672" s="43"/>
    </row>
    <row r="2673" spans="2:27" x14ac:dyDescent="0.25">
      <c r="B2673" s="42"/>
      <c r="AA2673" s="43"/>
    </row>
    <row r="2674" spans="2:27" x14ac:dyDescent="0.25">
      <c r="B2674" s="42"/>
      <c r="AA2674" s="43"/>
    </row>
    <row r="2675" spans="2:27" x14ac:dyDescent="0.25">
      <c r="B2675" s="42"/>
      <c r="AA2675" s="43"/>
    </row>
    <row r="2676" spans="2:27" x14ac:dyDescent="0.25">
      <c r="B2676" s="42"/>
      <c r="AA2676" s="43"/>
    </row>
    <row r="2677" spans="2:27" x14ac:dyDescent="0.25">
      <c r="B2677" s="42"/>
      <c r="AA2677" s="43"/>
    </row>
    <row r="2678" spans="2:27" x14ac:dyDescent="0.25">
      <c r="B2678" s="42"/>
      <c r="AA2678" s="43"/>
    </row>
    <row r="2679" spans="2:27" x14ac:dyDescent="0.25">
      <c r="B2679" s="42"/>
      <c r="AA2679" s="43"/>
    </row>
    <row r="2680" spans="2:27" x14ac:dyDescent="0.25">
      <c r="B2680" s="42"/>
      <c r="AA2680" s="43"/>
    </row>
    <row r="2681" spans="2:27" x14ac:dyDescent="0.25">
      <c r="B2681" s="42"/>
      <c r="AA2681" s="43"/>
    </row>
    <row r="2682" spans="2:27" x14ac:dyDescent="0.25">
      <c r="B2682" s="42"/>
      <c r="AA2682" s="43"/>
    </row>
    <row r="2683" spans="2:27" x14ac:dyDescent="0.25">
      <c r="B2683" s="42"/>
      <c r="AA2683" s="43"/>
    </row>
    <row r="2684" spans="2:27" x14ac:dyDescent="0.25">
      <c r="B2684" s="42"/>
      <c r="AA2684" s="43"/>
    </row>
    <row r="2685" spans="2:27" x14ac:dyDescent="0.25">
      <c r="B2685" s="42"/>
      <c r="AA2685" s="43"/>
    </row>
    <row r="2686" spans="2:27" x14ac:dyDescent="0.25">
      <c r="B2686" s="42"/>
      <c r="AA2686" s="43"/>
    </row>
    <row r="2687" spans="2:27" x14ac:dyDescent="0.25">
      <c r="B2687" s="42"/>
      <c r="AA2687" s="43"/>
    </row>
    <row r="2688" spans="2:27" x14ac:dyDescent="0.25">
      <c r="B2688" s="42"/>
      <c r="AA2688" s="43"/>
    </row>
    <row r="2689" spans="2:27" x14ac:dyDescent="0.25">
      <c r="B2689" s="42"/>
      <c r="AA2689" s="43"/>
    </row>
    <row r="2690" spans="2:27" x14ac:dyDescent="0.25">
      <c r="B2690" s="42"/>
      <c r="AA2690" s="43"/>
    </row>
    <row r="2691" spans="2:27" x14ac:dyDescent="0.25">
      <c r="B2691" s="42"/>
      <c r="AA2691" s="43"/>
    </row>
    <row r="2692" spans="2:27" x14ac:dyDescent="0.25">
      <c r="B2692" s="42"/>
      <c r="AA2692" s="43"/>
    </row>
    <row r="2693" spans="2:27" x14ac:dyDescent="0.25">
      <c r="B2693" s="42"/>
      <c r="AA2693" s="43"/>
    </row>
    <row r="2694" spans="2:27" x14ac:dyDescent="0.25">
      <c r="B2694" s="42"/>
      <c r="AA2694" s="43"/>
    </row>
    <row r="2695" spans="2:27" x14ac:dyDescent="0.25">
      <c r="B2695" s="42"/>
      <c r="AA2695" s="43"/>
    </row>
    <row r="2696" spans="2:27" x14ac:dyDescent="0.25">
      <c r="B2696" s="42"/>
      <c r="AA2696" s="43"/>
    </row>
    <row r="2697" spans="2:27" x14ac:dyDescent="0.25">
      <c r="B2697" s="42"/>
      <c r="AA2697" s="43"/>
    </row>
    <row r="2698" spans="2:27" x14ac:dyDescent="0.25">
      <c r="B2698" s="42"/>
      <c r="AA2698" s="43"/>
    </row>
    <row r="2699" spans="2:27" x14ac:dyDescent="0.25">
      <c r="B2699" s="42"/>
      <c r="AA2699" s="43"/>
    </row>
    <row r="2700" spans="2:27" x14ac:dyDescent="0.25">
      <c r="B2700" s="42"/>
      <c r="AA2700" s="43"/>
    </row>
    <row r="2701" spans="2:27" x14ac:dyDescent="0.25">
      <c r="B2701" s="42"/>
      <c r="AA2701" s="43"/>
    </row>
    <row r="2702" spans="2:27" x14ac:dyDescent="0.25">
      <c r="B2702" s="42"/>
      <c r="AA2702" s="43"/>
    </row>
    <row r="2703" spans="2:27" x14ac:dyDescent="0.25">
      <c r="B2703" s="42"/>
      <c r="AA2703" s="43"/>
    </row>
    <row r="2704" spans="2:27" x14ac:dyDescent="0.25">
      <c r="B2704" s="42"/>
      <c r="AA2704" s="43"/>
    </row>
    <row r="2705" spans="2:27" x14ac:dyDescent="0.25">
      <c r="B2705" s="42"/>
      <c r="AA2705" s="43"/>
    </row>
    <row r="2706" spans="2:27" x14ac:dyDescent="0.25">
      <c r="B2706" s="42"/>
      <c r="AA2706" s="43"/>
    </row>
    <row r="2707" spans="2:27" x14ac:dyDescent="0.25">
      <c r="B2707" s="42"/>
      <c r="AA2707" s="43"/>
    </row>
    <row r="2708" spans="2:27" x14ac:dyDescent="0.25">
      <c r="B2708" s="42"/>
      <c r="AA2708" s="43"/>
    </row>
    <row r="2709" spans="2:27" x14ac:dyDescent="0.25">
      <c r="B2709" s="42"/>
      <c r="AA2709" s="43"/>
    </row>
    <row r="2710" spans="2:27" x14ac:dyDescent="0.25">
      <c r="B2710" s="42"/>
      <c r="AA2710" s="43"/>
    </row>
    <row r="2711" spans="2:27" x14ac:dyDescent="0.25">
      <c r="B2711" s="42"/>
      <c r="AA2711" s="43"/>
    </row>
    <row r="2712" spans="2:27" x14ac:dyDescent="0.25">
      <c r="B2712" s="42"/>
      <c r="AA2712" s="43"/>
    </row>
    <row r="2713" spans="2:27" x14ac:dyDescent="0.25">
      <c r="B2713" s="42"/>
      <c r="AA2713" s="43"/>
    </row>
    <row r="2714" spans="2:27" x14ac:dyDescent="0.25">
      <c r="B2714" s="42"/>
      <c r="AA2714" s="43"/>
    </row>
    <row r="2715" spans="2:27" x14ac:dyDescent="0.25">
      <c r="B2715" s="42"/>
      <c r="AA2715" s="43"/>
    </row>
    <row r="2716" spans="2:27" x14ac:dyDescent="0.25">
      <c r="B2716" s="42"/>
      <c r="AA2716" s="43"/>
    </row>
    <row r="2717" spans="2:27" x14ac:dyDescent="0.25">
      <c r="B2717" s="42"/>
      <c r="AA2717" s="43"/>
    </row>
    <row r="2718" spans="2:27" x14ac:dyDescent="0.25">
      <c r="B2718" s="42"/>
      <c r="AA2718" s="43"/>
    </row>
    <row r="2719" spans="2:27" x14ac:dyDescent="0.25">
      <c r="B2719" s="42"/>
      <c r="AA2719" s="43"/>
    </row>
    <row r="2720" spans="2:27" x14ac:dyDescent="0.25">
      <c r="B2720" s="42"/>
      <c r="AA2720" s="43"/>
    </row>
    <row r="2721" spans="2:27" x14ac:dyDescent="0.25">
      <c r="B2721" s="42"/>
      <c r="AA2721" s="43"/>
    </row>
    <row r="2722" spans="2:27" x14ac:dyDescent="0.25">
      <c r="B2722" s="42"/>
      <c r="AA2722" s="43"/>
    </row>
    <row r="2723" spans="2:27" x14ac:dyDescent="0.25">
      <c r="B2723" s="42"/>
      <c r="AA2723" s="43"/>
    </row>
    <row r="2724" spans="2:27" x14ac:dyDescent="0.25">
      <c r="B2724" s="42"/>
      <c r="AA2724" s="43"/>
    </row>
    <row r="2725" spans="2:27" x14ac:dyDescent="0.25">
      <c r="B2725" s="42"/>
      <c r="AA2725" s="43"/>
    </row>
    <row r="2726" spans="2:27" x14ac:dyDescent="0.25">
      <c r="B2726" s="42"/>
      <c r="AA2726" s="43"/>
    </row>
    <row r="2727" spans="2:27" x14ac:dyDescent="0.25">
      <c r="B2727" s="42"/>
      <c r="AA2727" s="43"/>
    </row>
    <row r="2728" spans="2:27" x14ac:dyDescent="0.25">
      <c r="B2728" s="42"/>
      <c r="AA2728" s="43"/>
    </row>
    <row r="2729" spans="2:27" x14ac:dyDescent="0.25">
      <c r="B2729" s="42"/>
      <c r="AA2729" s="43"/>
    </row>
    <row r="2730" spans="2:27" x14ac:dyDescent="0.25">
      <c r="B2730" s="42"/>
      <c r="AA2730" s="43"/>
    </row>
    <row r="2731" spans="2:27" x14ac:dyDescent="0.25">
      <c r="B2731" s="42"/>
      <c r="AA2731" s="43"/>
    </row>
    <row r="2732" spans="2:27" x14ac:dyDescent="0.25">
      <c r="B2732" s="42"/>
      <c r="AA2732" s="43"/>
    </row>
    <row r="2733" spans="2:27" x14ac:dyDescent="0.25">
      <c r="B2733" s="42"/>
      <c r="AA2733" s="43"/>
    </row>
    <row r="2734" spans="2:27" x14ac:dyDescent="0.25">
      <c r="B2734" s="42"/>
      <c r="AA2734" s="43"/>
    </row>
    <row r="2735" spans="2:27" x14ac:dyDescent="0.25">
      <c r="B2735" s="42"/>
      <c r="AA2735" s="43"/>
    </row>
    <row r="2736" spans="2:27" x14ac:dyDescent="0.25">
      <c r="B2736" s="42"/>
      <c r="AA2736" s="43"/>
    </row>
    <row r="2737" spans="2:27" x14ac:dyDescent="0.25">
      <c r="B2737" s="42"/>
      <c r="AA2737" s="43"/>
    </row>
    <row r="2738" spans="2:27" x14ac:dyDescent="0.25">
      <c r="B2738" s="42"/>
      <c r="AA2738" s="43"/>
    </row>
    <row r="2739" spans="2:27" x14ac:dyDescent="0.25">
      <c r="B2739" s="42"/>
      <c r="AA2739" s="43"/>
    </row>
    <row r="2740" spans="2:27" x14ac:dyDescent="0.25">
      <c r="B2740" s="42"/>
      <c r="AA2740" s="43"/>
    </row>
    <row r="2741" spans="2:27" x14ac:dyDescent="0.25">
      <c r="B2741" s="42"/>
      <c r="AA2741" s="43"/>
    </row>
    <row r="2742" spans="2:27" x14ac:dyDescent="0.25">
      <c r="B2742" s="42"/>
      <c r="AA2742" s="43"/>
    </row>
    <row r="2743" spans="2:27" x14ac:dyDescent="0.25">
      <c r="B2743" s="42"/>
      <c r="AA2743" s="43"/>
    </row>
    <row r="2744" spans="2:27" x14ac:dyDescent="0.25">
      <c r="B2744" s="42"/>
      <c r="AA2744" s="43"/>
    </row>
    <row r="2745" spans="2:27" x14ac:dyDescent="0.25">
      <c r="B2745" s="42"/>
      <c r="AA2745" s="43"/>
    </row>
    <row r="2746" spans="2:27" x14ac:dyDescent="0.25">
      <c r="B2746" s="42"/>
      <c r="AA2746" s="43"/>
    </row>
    <row r="2747" spans="2:27" x14ac:dyDescent="0.25">
      <c r="B2747" s="42"/>
      <c r="AA2747" s="43"/>
    </row>
    <row r="2748" spans="2:27" x14ac:dyDescent="0.25">
      <c r="B2748" s="42"/>
      <c r="AA2748" s="43"/>
    </row>
    <row r="2749" spans="2:27" x14ac:dyDescent="0.25">
      <c r="B2749" s="42"/>
      <c r="AA2749" s="43"/>
    </row>
    <row r="2750" spans="2:27" x14ac:dyDescent="0.25">
      <c r="B2750" s="42"/>
      <c r="AA2750" s="43"/>
    </row>
    <row r="2751" spans="2:27" x14ac:dyDescent="0.25">
      <c r="B2751" s="42"/>
      <c r="AA2751" s="43"/>
    </row>
    <row r="2752" spans="2:27" x14ac:dyDescent="0.25">
      <c r="B2752" s="42"/>
      <c r="AA2752" s="43"/>
    </row>
    <row r="2753" spans="2:27" x14ac:dyDescent="0.25">
      <c r="B2753" s="42"/>
      <c r="AA2753" s="43"/>
    </row>
    <row r="2754" spans="2:27" x14ac:dyDescent="0.25">
      <c r="B2754" s="42"/>
      <c r="AA2754" s="43"/>
    </row>
    <row r="2755" spans="2:27" x14ac:dyDescent="0.25">
      <c r="B2755" s="42"/>
      <c r="AA2755" s="43"/>
    </row>
    <row r="2756" spans="2:27" x14ac:dyDescent="0.25">
      <c r="B2756" s="42"/>
      <c r="AA2756" s="43"/>
    </row>
    <row r="2757" spans="2:27" x14ac:dyDescent="0.25">
      <c r="B2757" s="42"/>
      <c r="AA2757" s="43"/>
    </row>
    <row r="2758" spans="2:27" x14ac:dyDescent="0.25">
      <c r="B2758" s="42"/>
      <c r="AA2758" s="43"/>
    </row>
    <row r="2759" spans="2:27" x14ac:dyDescent="0.25">
      <c r="B2759" s="42"/>
      <c r="AA2759" s="43"/>
    </row>
    <row r="2760" spans="2:27" x14ac:dyDescent="0.25">
      <c r="B2760" s="42"/>
      <c r="AA2760" s="43"/>
    </row>
    <row r="2761" spans="2:27" x14ac:dyDescent="0.25">
      <c r="B2761" s="42"/>
      <c r="AA2761" s="43"/>
    </row>
    <row r="2762" spans="2:27" x14ac:dyDescent="0.25">
      <c r="B2762" s="42"/>
      <c r="AA2762" s="43"/>
    </row>
    <row r="2763" spans="2:27" x14ac:dyDescent="0.25">
      <c r="B2763" s="42"/>
      <c r="AA2763" s="43"/>
    </row>
    <row r="2764" spans="2:27" x14ac:dyDescent="0.25">
      <c r="B2764" s="42"/>
      <c r="AA2764" s="43"/>
    </row>
    <row r="2765" spans="2:27" x14ac:dyDescent="0.25">
      <c r="B2765" s="42"/>
      <c r="AA2765" s="43"/>
    </row>
    <row r="2766" spans="2:27" x14ac:dyDescent="0.25">
      <c r="B2766" s="42"/>
      <c r="AA2766" s="43"/>
    </row>
    <row r="2767" spans="2:27" x14ac:dyDescent="0.25">
      <c r="B2767" s="42"/>
      <c r="AA2767" s="43"/>
    </row>
    <row r="2768" spans="2:27" x14ac:dyDescent="0.25">
      <c r="B2768" s="42"/>
      <c r="AA2768" s="43"/>
    </row>
    <row r="2769" spans="2:27" x14ac:dyDescent="0.25">
      <c r="B2769" s="42"/>
      <c r="AA2769" s="43"/>
    </row>
    <row r="2770" spans="2:27" x14ac:dyDescent="0.25">
      <c r="B2770" s="42"/>
      <c r="AA2770" s="43"/>
    </row>
    <row r="2771" spans="2:27" x14ac:dyDescent="0.25">
      <c r="B2771" s="42"/>
      <c r="AA2771" s="43"/>
    </row>
    <row r="2772" spans="2:27" x14ac:dyDescent="0.25">
      <c r="B2772" s="42"/>
      <c r="AA2772" s="43"/>
    </row>
    <row r="2773" spans="2:27" x14ac:dyDescent="0.25">
      <c r="B2773" s="42"/>
      <c r="AA2773" s="43"/>
    </row>
    <row r="2774" spans="2:27" x14ac:dyDescent="0.25">
      <c r="B2774" s="42"/>
      <c r="AA2774" s="43"/>
    </row>
    <row r="2775" spans="2:27" x14ac:dyDescent="0.25">
      <c r="B2775" s="42"/>
      <c r="AA2775" s="43"/>
    </row>
    <row r="2776" spans="2:27" x14ac:dyDescent="0.25">
      <c r="B2776" s="42"/>
      <c r="AA2776" s="43"/>
    </row>
    <row r="2777" spans="2:27" x14ac:dyDescent="0.25">
      <c r="B2777" s="42"/>
      <c r="AA2777" s="43"/>
    </row>
    <row r="2778" spans="2:27" x14ac:dyDescent="0.25">
      <c r="B2778" s="42"/>
      <c r="AA2778" s="43"/>
    </row>
    <row r="2779" spans="2:27" x14ac:dyDescent="0.25">
      <c r="B2779" s="42"/>
      <c r="AA2779" s="43"/>
    </row>
    <row r="2780" spans="2:27" x14ac:dyDescent="0.25">
      <c r="B2780" s="42"/>
      <c r="AA2780" s="43"/>
    </row>
    <row r="2781" spans="2:27" x14ac:dyDescent="0.25">
      <c r="B2781" s="42"/>
      <c r="AA2781" s="43"/>
    </row>
    <row r="2782" spans="2:27" x14ac:dyDescent="0.25">
      <c r="B2782" s="42"/>
      <c r="AA2782" s="43"/>
    </row>
    <row r="2783" spans="2:27" x14ac:dyDescent="0.25">
      <c r="B2783" s="42"/>
      <c r="AA2783" s="43"/>
    </row>
    <row r="2784" spans="2:27" x14ac:dyDescent="0.25">
      <c r="B2784" s="42"/>
      <c r="AA2784" s="43"/>
    </row>
    <row r="2785" spans="2:27" x14ac:dyDescent="0.25">
      <c r="B2785" s="42"/>
      <c r="AA2785" s="43"/>
    </row>
    <row r="2786" spans="2:27" x14ac:dyDescent="0.25">
      <c r="B2786" s="42"/>
      <c r="AA2786" s="43"/>
    </row>
    <row r="2787" spans="2:27" x14ac:dyDescent="0.25">
      <c r="B2787" s="42"/>
      <c r="AA2787" s="43"/>
    </row>
    <row r="2788" spans="2:27" x14ac:dyDescent="0.25">
      <c r="B2788" s="42"/>
      <c r="AA2788" s="43"/>
    </row>
    <row r="2789" spans="2:27" x14ac:dyDescent="0.25">
      <c r="B2789" s="42"/>
      <c r="AA2789" s="43"/>
    </row>
    <row r="2790" spans="2:27" x14ac:dyDescent="0.25">
      <c r="B2790" s="42"/>
      <c r="AA2790" s="43"/>
    </row>
    <row r="2791" spans="2:27" x14ac:dyDescent="0.25">
      <c r="B2791" s="42"/>
      <c r="AA2791" s="43"/>
    </row>
    <row r="2792" spans="2:27" x14ac:dyDescent="0.25">
      <c r="B2792" s="42"/>
      <c r="AA2792" s="43"/>
    </row>
    <row r="2793" spans="2:27" x14ac:dyDescent="0.25">
      <c r="B2793" s="42"/>
      <c r="AA2793" s="43"/>
    </row>
    <row r="2794" spans="2:27" x14ac:dyDescent="0.25">
      <c r="B2794" s="42"/>
      <c r="AA2794" s="43"/>
    </row>
    <row r="2795" spans="2:27" x14ac:dyDescent="0.25">
      <c r="B2795" s="42"/>
      <c r="AA2795" s="43"/>
    </row>
    <row r="2796" spans="2:27" x14ac:dyDescent="0.25">
      <c r="B2796" s="42"/>
      <c r="AA2796" s="43"/>
    </row>
    <row r="2797" spans="2:27" x14ac:dyDescent="0.25">
      <c r="B2797" s="42"/>
      <c r="AA2797" s="43"/>
    </row>
    <row r="2798" spans="2:27" x14ac:dyDescent="0.25">
      <c r="B2798" s="42"/>
      <c r="AA2798" s="43"/>
    </row>
    <row r="2799" spans="2:27" x14ac:dyDescent="0.25">
      <c r="B2799" s="42"/>
      <c r="AA2799" s="43"/>
    </row>
    <row r="2800" spans="2:27" x14ac:dyDescent="0.25">
      <c r="B2800" s="42"/>
      <c r="AA2800" s="43"/>
    </row>
    <row r="2801" spans="2:27" x14ac:dyDescent="0.25">
      <c r="B2801" s="42"/>
      <c r="AA2801" s="43"/>
    </row>
    <row r="2802" spans="2:27" x14ac:dyDescent="0.25">
      <c r="B2802" s="42"/>
      <c r="AA2802" s="43"/>
    </row>
    <row r="2803" spans="2:27" x14ac:dyDescent="0.25">
      <c r="B2803" s="42"/>
      <c r="AA2803" s="43"/>
    </row>
    <row r="2804" spans="2:27" x14ac:dyDescent="0.25">
      <c r="B2804" s="42"/>
      <c r="AA2804" s="43"/>
    </row>
    <row r="2805" spans="2:27" x14ac:dyDescent="0.25">
      <c r="B2805" s="42"/>
      <c r="AA2805" s="43"/>
    </row>
    <row r="2806" spans="2:27" x14ac:dyDescent="0.25">
      <c r="B2806" s="42"/>
      <c r="AA2806" s="43"/>
    </row>
    <row r="2807" spans="2:27" x14ac:dyDescent="0.25">
      <c r="B2807" s="42"/>
      <c r="AA2807" s="43"/>
    </row>
    <row r="2808" spans="2:27" x14ac:dyDescent="0.25">
      <c r="B2808" s="42"/>
      <c r="AA2808" s="43"/>
    </row>
    <row r="2809" spans="2:27" x14ac:dyDescent="0.25">
      <c r="B2809" s="42"/>
      <c r="AA2809" s="43"/>
    </row>
    <row r="2810" spans="2:27" x14ac:dyDescent="0.25">
      <c r="B2810" s="42"/>
      <c r="AA2810" s="43"/>
    </row>
    <row r="2811" spans="2:27" x14ac:dyDescent="0.25">
      <c r="B2811" s="42"/>
      <c r="AA2811" s="43"/>
    </row>
    <row r="2812" spans="2:27" x14ac:dyDescent="0.25">
      <c r="B2812" s="42"/>
      <c r="AA2812" s="43"/>
    </row>
    <row r="2813" spans="2:27" x14ac:dyDescent="0.25">
      <c r="B2813" s="42"/>
      <c r="AA2813" s="43"/>
    </row>
    <row r="2814" spans="2:27" x14ac:dyDescent="0.25">
      <c r="B2814" s="42"/>
      <c r="AA2814" s="43"/>
    </row>
    <row r="2815" spans="2:27" x14ac:dyDescent="0.25">
      <c r="B2815" s="42"/>
      <c r="AA2815" s="43"/>
    </row>
    <row r="2816" spans="2:27" x14ac:dyDescent="0.25">
      <c r="B2816" s="42"/>
      <c r="AA2816" s="43"/>
    </row>
    <row r="2817" spans="2:27" x14ac:dyDescent="0.25">
      <c r="B2817" s="42"/>
      <c r="AA2817" s="43"/>
    </row>
    <row r="2818" spans="2:27" x14ac:dyDescent="0.25">
      <c r="B2818" s="42"/>
      <c r="AA2818" s="43"/>
    </row>
    <row r="2819" spans="2:27" x14ac:dyDescent="0.25">
      <c r="B2819" s="42"/>
      <c r="AA2819" s="43"/>
    </row>
    <row r="2820" spans="2:27" x14ac:dyDescent="0.25">
      <c r="B2820" s="42"/>
      <c r="AA2820" s="43"/>
    </row>
    <row r="2821" spans="2:27" x14ac:dyDescent="0.25">
      <c r="B2821" s="42"/>
      <c r="AA2821" s="43"/>
    </row>
    <row r="2822" spans="2:27" x14ac:dyDescent="0.25">
      <c r="B2822" s="42"/>
      <c r="AA2822" s="43"/>
    </row>
    <row r="2823" spans="2:27" x14ac:dyDescent="0.25">
      <c r="B2823" s="42"/>
      <c r="AA2823" s="43"/>
    </row>
    <row r="2824" spans="2:27" x14ac:dyDescent="0.25">
      <c r="B2824" s="42"/>
      <c r="AA2824" s="43"/>
    </row>
    <row r="2825" spans="2:27" x14ac:dyDescent="0.25">
      <c r="B2825" s="42"/>
      <c r="AA2825" s="43"/>
    </row>
    <row r="2826" spans="2:27" x14ac:dyDescent="0.25">
      <c r="B2826" s="42"/>
      <c r="AA2826" s="43"/>
    </row>
    <row r="2827" spans="2:27" x14ac:dyDescent="0.25">
      <c r="B2827" s="42"/>
      <c r="AA2827" s="43"/>
    </row>
    <row r="2828" spans="2:27" x14ac:dyDescent="0.25">
      <c r="B2828" s="42"/>
      <c r="AA2828" s="43"/>
    </row>
    <row r="2829" spans="2:27" x14ac:dyDescent="0.25">
      <c r="B2829" s="42"/>
      <c r="AA2829" s="43"/>
    </row>
    <row r="2830" spans="2:27" x14ac:dyDescent="0.25">
      <c r="B2830" s="42"/>
      <c r="AA2830" s="43"/>
    </row>
    <row r="2831" spans="2:27" x14ac:dyDescent="0.25">
      <c r="B2831" s="42"/>
      <c r="AA2831" s="43"/>
    </row>
    <row r="2832" spans="2:27" x14ac:dyDescent="0.25">
      <c r="B2832" s="42"/>
      <c r="AA2832" s="43"/>
    </row>
    <row r="2833" spans="2:27" x14ac:dyDescent="0.25">
      <c r="B2833" s="42"/>
      <c r="AA2833" s="43"/>
    </row>
    <row r="2834" spans="2:27" x14ac:dyDescent="0.25">
      <c r="B2834" s="42"/>
      <c r="AA2834" s="43"/>
    </row>
    <row r="2835" spans="2:27" x14ac:dyDescent="0.25">
      <c r="B2835" s="42"/>
      <c r="AA2835" s="43"/>
    </row>
    <row r="2836" spans="2:27" x14ac:dyDescent="0.25">
      <c r="B2836" s="42"/>
      <c r="AA2836" s="43"/>
    </row>
    <row r="2837" spans="2:27" x14ac:dyDescent="0.25">
      <c r="B2837" s="42"/>
      <c r="AA2837" s="43"/>
    </row>
    <row r="2838" spans="2:27" x14ac:dyDescent="0.25">
      <c r="B2838" s="42"/>
      <c r="AA2838" s="43"/>
    </row>
    <row r="2839" spans="2:27" x14ac:dyDescent="0.25">
      <c r="B2839" s="42"/>
      <c r="AA2839" s="43"/>
    </row>
    <row r="2840" spans="2:27" x14ac:dyDescent="0.25">
      <c r="B2840" s="42"/>
      <c r="AA2840" s="43"/>
    </row>
    <row r="2841" spans="2:27" x14ac:dyDescent="0.25">
      <c r="B2841" s="42"/>
      <c r="AA2841" s="43"/>
    </row>
    <row r="2842" spans="2:27" x14ac:dyDescent="0.25">
      <c r="B2842" s="42"/>
      <c r="AA2842" s="43"/>
    </row>
    <row r="2843" spans="2:27" x14ac:dyDescent="0.25">
      <c r="B2843" s="42"/>
      <c r="AA2843" s="43"/>
    </row>
    <row r="2844" spans="2:27" x14ac:dyDescent="0.25">
      <c r="B2844" s="42"/>
      <c r="AA2844" s="43"/>
    </row>
    <row r="2845" spans="2:27" x14ac:dyDescent="0.25">
      <c r="B2845" s="42"/>
      <c r="AA2845" s="43"/>
    </row>
    <row r="2846" spans="2:27" x14ac:dyDescent="0.25">
      <c r="B2846" s="42"/>
      <c r="AA2846" s="43"/>
    </row>
    <row r="2847" spans="2:27" x14ac:dyDescent="0.25">
      <c r="B2847" s="42"/>
      <c r="AA2847" s="43"/>
    </row>
    <row r="2848" spans="2:27" x14ac:dyDescent="0.25">
      <c r="B2848" s="42"/>
      <c r="AA2848" s="43"/>
    </row>
    <row r="2849" spans="2:27" x14ac:dyDescent="0.25">
      <c r="B2849" s="42"/>
      <c r="AA2849" s="43"/>
    </row>
    <row r="2850" spans="2:27" x14ac:dyDescent="0.25">
      <c r="B2850" s="42"/>
      <c r="AA2850" s="43"/>
    </row>
    <row r="2851" spans="2:27" x14ac:dyDescent="0.25">
      <c r="B2851" s="42"/>
      <c r="AA2851" s="43"/>
    </row>
    <row r="2852" spans="2:27" x14ac:dyDescent="0.25">
      <c r="B2852" s="42"/>
      <c r="AA2852" s="43"/>
    </row>
    <row r="2853" spans="2:27" x14ac:dyDescent="0.25">
      <c r="B2853" s="42"/>
      <c r="AA2853" s="43"/>
    </row>
    <row r="2854" spans="2:27" x14ac:dyDescent="0.25">
      <c r="B2854" s="42"/>
      <c r="AA2854" s="43"/>
    </row>
    <row r="2855" spans="2:27" x14ac:dyDescent="0.25">
      <c r="B2855" s="42"/>
      <c r="AA2855" s="43"/>
    </row>
    <row r="2856" spans="2:27" x14ac:dyDescent="0.25">
      <c r="B2856" s="42"/>
      <c r="AA2856" s="43"/>
    </row>
    <row r="2857" spans="2:27" x14ac:dyDescent="0.25">
      <c r="B2857" s="42"/>
      <c r="AA2857" s="43"/>
    </row>
    <row r="2858" spans="2:27" x14ac:dyDescent="0.25">
      <c r="B2858" s="42"/>
      <c r="AA2858" s="43"/>
    </row>
    <row r="2859" spans="2:27" x14ac:dyDescent="0.25">
      <c r="B2859" s="42"/>
      <c r="AA2859" s="43"/>
    </row>
    <row r="2860" spans="2:27" x14ac:dyDescent="0.25">
      <c r="B2860" s="42"/>
      <c r="AA2860" s="43"/>
    </row>
    <row r="2861" spans="2:27" x14ac:dyDescent="0.25">
      <c r="B2861" s="42"/>
      <c r="AA2861" s="43"/>
    </row>
    <row r="2862" spans="2:27" x14ac:dyDescent="0.25">
      <c r="B2862" s="42"/>
      <c r="AA2862" s="43"/>
    </row>
    <row r="2863" spans="2:27" x14ac:dyDescent="0.25">
      <c r="B2863" s="42"/>
      <c r="AA2863" s="43"/>
    </row>
    <row r="2864" spans="2:27" x14ac:dyDescent="0.25">
      <c r="B2864" s="42"/>
      <c r="AA2864" s="43"/>
    </row>
    <row r="2865" spans="2:27" x14ac:dyDescent="0.25">
      <c r="B2865" s="42"/>
      <c r="AA2865" s="43"/>
    </row>
    <row r="2866" spans="2:27" x14ac:dyDescent="0.25">
      <c r="B2866" s="42"/>
      <c r="AA2866" s="43"/>
    </row>
    <row r="2867" spans="2:27" x14ac:dyDescent="0.25">
      <c r="B2867" s="42"/>
      <c r="AA2867" s="43"/>
    </row>
    <row r="2868" spans="2:27" x14ac:dyDescent="0.25">
      <c r="B2868" s="42"/>
      <c r="AA2868" s="43"/>
    </row>
    <row r="2869" spans="2:27" x14ac:dyDescent="0.25">
      <c r="B2869" s="42"/>
      <c r="AA2869" s="43"/>
    </row>
    <row r="2870" spans="2:27" x14ac:dyDescent="0.25">
      <c r="B2870" s="42"/>
      <c r="AA2870" s="43"/>
    </row>
    <row r="2871" spans="2:27" x14ac:dyDescent="0.25">
      <c r="B2871" s="42"/>
      <c r="AA2871" s="43"/>
    </row>
    <row r="2872" spans="2:27" x14ac:dyDescent="0.25">
      <c r="B2872" s="42"/>
      <c r="AA2872" s="43"/>
    </row>
    <row r="2873" spans="2:27" x14ac:dyDescent="0.25">
      <c r="B2873" s="42"/>
      <c r="AA2873" s="43"/>
    </row>
    <row r="2874" spans="2:27" x14ac:dyDescent="0.25">
      <c r="B2874" s="42"/>
      <c r="AA2874" s="43"/>
    </row>
    <row r="2875" spans="2:27" x14ac:dyDescent="0.25">
      <c r="B2875" s="42"/>
      <c r="AA2875" s="43"/>
    </row>
    <row r="2876" spans="2:27" x14ac:dyDescent="0.25">
      <c r="B2876" s="42"/>
      <c r="AA2876" s="43"/>
    </row>
    <row r="2877" spans="2:27" x14ac:dyDescent="0.25">
      <c r="B2877" s="42"/>
      <c r="AA2877" s="43"/>
    </row>
    <row r="2878" spans="2:27" x14ac:dyDescent="0.25">
      <c r="B2878" s="42"/>
      <c r="AA2878" s="43"/>
    </row>
    <row r="2879" spans="2:27" x14ac:dyDescent="0.25">
      <c r="B2879" s="42"/>
      <c r="AA2879" s="43"/>
    </row>
    <row r="2880" spans="2:27" x14ac:dyDescent="0.25">
      <c r="B2880" s="42"/>
      <c r="AA2880" s="43"/>
    </row>
    <row r="2881" spans="2:27" x14ac:dyDescent="0.25">
      <c r="B2881" s="42"/>
      <c r="AA2881" s="43"/>
    </row>
    <row r="2882" spans="2:27" x14ac:dyDescent="0.25">
      <c r="B2882" s="42"/>
      <c r="AA2882" s="43"/>
    </row>
    <row r="2883" spans="2:27" x14ac:dyDescent="0.25">
      <c r="B2883" s="42"/>
      <c r="AA2883" s="43"/>
    </row>
    <row r="2884" spans="2:27" x14ac:dyDescent="0.25">
      <c r="B2884" s="42"/>
      <c r="AA2884" s="43"/>
    </row>
    <row r="2885" spans="2:27" x14ac:dyDescent="0.25">
      <c r="B2885" s="42"/>
      <c r="AA2885" s="43"/>
    </row>
    <row r="2886" spans="2:27" x14ac:dyDescent="0.25">
      <c r="B2886" s="42"/>
      <c r="AA2886" s="43"/>
    </row>
    <row r="2887" spans="2:27" x14ac:dyDescent="0.25">
      <c r="B2887" s="42"/>
      <c r="AA2887" s="43"/>
    </row>
    <row r="2888" spans="2:27" x14ac:dyDescent="0.25">
      <c r="B2888" s="42"/>
      <c r="AA2888" s="43"/>
    </row>
    <row r="2889" spans="2:27" x14ac:dyDescent="0.25">
      <c r="B2889" s="42"/>
      <c r="AA2889" s="43"/>
    </row>
    <row r="2890" spans="2:27" x14ac:dyDescent="0.25">
      <c r="B2890" s="42"/>
      <c r="AA2890" s="43"/>
    </row>
    <row r="2891" spans="2:27" x14ac:dyDescent="0.25">
      <c r="B2891" s="42"/>
      <c r="AA2891" s="43"/>
    </row>
    <row r="2892" spans="2:27" x14ac:dyDescent="0.25">
      <c r="B2892" s="42"/>
      <c r="AA2892" s="43"/>
    </row>
    <row r="2893" spans="2:27" x14ac:dyDescent="0.25">
      <c r="B2893" s="42"/>
      <c r="AA2893" s="43"/>
    </row>
    <row r="2894" spans="2:27" x14ac:dyDescent="0.25">
      <c r="B2894" s="42"/>
      <c r="AA2894" s="43"/>
    </row>
    <row r="2895" spans="2:27" x14ac:dyDescent="0.25">
      <c r="B2895" s="42"/>
      <c r="AA2895" s="43"/>
    </row>
    <row r="2896" spans="2:27" x14ac:dyDescent="0.25">
      <c r="B2896" s="42"/>
      <c r="AA2896" s="43"/>
    </row>
    <row r="2897" spans="2:27" x14ac:dyDescent="0.25">
      <c r="B2897" s="42"/>
      <c r="AA2897" s="43"/>
    </row>
    <row r="2898" spans="2:27" x14ac:dyDescent="0.25">
      <c r="B2898" s="42"/>
      <c r="AA2898" s="43"/>
    </row>
    <row r="2899" spans="2:27" x14ac:dyDescent="0.25">
      <c r="B2899" s="42"/>
      <c r="AA2899" s="43"/>
    </row>
    <row r="2900" spans="2:27" x14ac:dyDescent="0.25">
      <c r="B2900" s="42"/>
      <c r="AA2900" s="43"/>
    </row>
    <row r="2901" spans="2:27" x14ac:dyDescent="0.25">
      <c r="B2901" s="42"/>
      <c r="AA2901" s="43"/>
    </row>
    <row r="2902" spans="2:27" x14ac:dyDescent="0.25">
      <c r="B2902" s="42"/>
      <c r="AA2902" s="43"/>
    </row>
    <row r="2903" spans="2:27" x14ac:dyDescent="0.25">
      <c r="B2903" s="42"/>
      <c r="AA2903" s="43"/>
    </row>
    <row r="2904" spans="2:27" x14ac:dyDescent="0.25">
      <c r="B2904" s="42"/>
      <c r="AA2904" s="43"/>
    </row>
    <row r="2905" spans="2:27" x14ac:dyDescent="0.25">
      <c r="B2905" s="42"/>
      <c r="AA2905" s="43"/>
    </row>
    <row r="2906" spans="2:27" x14ac:dyDescent="0.25">
      <c r="B2906" s="42"/>
      <c r="AA2906" s="43"/>
    </row>
    <row r="2907" spans="2:27" x14ac:dyDescent="0.25">
      <c r="B2907" s="42"/>
      <c r="AA2907" s="43"/>
    </row>
    <row r="2908" spans="2:27" x14ac:dyDescent="0.25">
      <c r="B2908" s="42"/>
      <c r="AA2908" s="43"/>
    </row>
    <row r="2909" spans="2:27" x14ac:dyDescent="0.25">
      <c r="B2909" s="42"/>
      <c r="AA2909" s="43"/>
    </row>
    <row r="2910" spans="2:27" x14ac:dyDescent="0.25">
      <c r="B2910" s="42"/>
      <c r="AA2910" s="43"/>
    </row>
    <row r="2911" spans="2:27" x14ac:dyDescent="0.25">
      <c r="B2911" s="42"/>
      <c r="AA2911" s="43"/>
    </row>
    <row r="2912" spans="2:27" x14ac:dyDescent="0.25">
      <c r="B2912" s="42"/>
      <c r="AA2912" s="43"/>
    </row>
    <row r="2913" spans="2:27" x14ac:dyDescent="0.25">
      <c r="B2913" s="42"/>
      <c r="AA2913" s="43"/>
    </row>
    <row r="2914" spans="2:27" x14ac:dyDescent="0.25">
      <c r="B2914" s="42"/>
      <c r="AA2914" s="43"/>
    </row>
    <row r="2915" spans="2:27" x14ac:dyDescent="0.25">
      <c r="B2915" s="42"/>
      <c r="AA2915" s="43"/>
    </row>
    <row r="2916" spans="2:27" x14ac:dyDescent="0.25">
      <c r="B2916" s="42"/>
      <c r="AA2916" s="43"/>
    </row>
    <row r="2917" spans="2:27" x14ac:dyDescent="0.25">
      <c r="B2917" s="42"/>
      <c r="AA2917" s="43"/>
    </row>
    <row r="2918" spans="2:27" x14ac:dyDescent="0.25">
      <c r="B2918" s="42"/>
      <c r="AA2918" s="43"/>
    </row>
    <row r="2919" spans="2:27" x14ac:dyDescent="0.25">
      <c r="B2919" s="42"/>
      <c r="AA2919" s="43"/>
    </row>
    <row r="2920" spans="2:27" x14ac:dyDescent="0.25">
      <c r="B2920" s="42"/>
      <c r="AA2920" s="43"/>
    </row>
    <row r="2921" spans="2:27" x14ac:dyDescent="0.25">
      <c r="B2921" s="42"/>
      <c r="AA2921" s="43"/>
    </row>
    <row r="2922" spans="2:27" x14ac:dyDescent="0.25">
      <c r="B2922" s="42"/>
      <c r="AA2922" s="43"/>
    </row>
    <row r="2923" spans="2:27" x14ac:dyDescent="0.25">
      <c r="B2923" s="42"/>
      <c r="AA2923" s="43"/>
    </row>
    <row r="2924" spans="2:27" x14ac:dyDescent="0.25">
      <c r="B2924" s="42"/>
      <c r="AA2924" s="43"/>
    </row>
    <row r="2925" spans="2:27" x14ac:dyDescent="0.25">
      <c r="B2925" s="42"/>
      <c r="AA2925" s="43"/>
    </row>
    <row r="2926" spans="2:27" x14ac:dyDescent="0.25">
      <c r="B2926" s="42"/>
      <c r="AA2926" s="43"/>
    </row>
    <row r="2927" spans="2:27" x14ac:dyDescent="0.25">
      <c r="B2927" s="42"/>
      <c r="AA2927" s="43"/>
    </row>
    <row r="2928" spans="2:27" x14ac:dyDescent="0.25">
      <c r="B2928" s="42"/>
      <c r="AA2928" s="43"/>
    </row>
    <row r="2929" spans="2:27" x14ac:dyDescent="0.25">
      <c r="B2929" s="42"/>
      <c r="AA2929" s="43"/>
    </row>
    <row r="2930" spans="2:27" x14ac:dyDescent="0.25">
      <c r="B2930" s="42"/>
      <c r="AA2930" s="43"/>
    </row>
    <row r="2931" spans="2:27" x14ac:dyDescent="0.25">
      <c r="B2931" s="42"/>
      <c r="AA2931" s="43"/>
    </row>
    <row r="2932" spans="2:27" x14ac:dyDescent="0.25">
      <c r="B2932" s="42"/>
      <c r="AA2932" s="43"/>
    </row>
    <row r="2933" spans="2:27" x14ac:dyDescent="0.25">
      <c r="B2933" s="42"/>
      <c r="AA2933" s="43"/>
    </row>
    <row r="2934" spans="2:27" x14ac:dyDescent="0.25">
      <c r="B2934" s="42"/>
      <c r="AA2934" s="43"/>
    </row>
    <row r="2935" spans="2:27" x14ac:dyDescent="0.25">
      <c r="B2935" s="42"/>
      <c r="AA2935" s="43"/>
    </row>
    <row r="2936" spans="2:27" x14ac:dyDescent="0.25">
      <c r="B2936" s="42"/>
      <c r="AA2936" s="43"/>
    </row>
    <row r="2937" spans="2:27" x14ac:dyDescent="0.25">
      <c r="B2937" s="42"/>
      <c r="AA2937" s="43"/>
    </row>
    <row r="2938" spans="2:27" x14ac:dyDescent="0.25">
      <c r="B2938" s="42"/>
      <c r="AA2938" s="43"/>
    </row>
    <row r="2939" spans="2:27" x14ac:dyDescent="0.25">
      <c r="B2939" s="42"/>
      <c r="AA2939" s="43"/>
    </row>
    <row r="2940" spans="2:27" x14ac:dyDescent="0.25">
      <c r="B2940" s="42"/>
      <c r="AA2940" s="43"/>
    </row>
    <row r="2941" spans="2:27" x14ac:dyDescent="0.25">
      <c r="B2941" s="42"/>
      <c r="AA2941" s="43"/>
    </row>
    <row r="2942" spans="2:27" x14ac:dyDescent="0.25">
      <c r="B2942" s="42"/>
      <c r="AA2942" s="43"/>
    </row>
    <row r="2943" spans="2:27" x14ac:dyDescent="0.25">
      <c r="B2943" s="42"/>
      <c r="AA2943" s="43"/>
    </row>
    <row r="2944" spans="2:27" x14ac:dyDescent="0.25">
      <c r="B2944" s="42"/>
      <c r="AA2944" s="43"/>
    </row>
    <row r="2945" spans="2:27" x14ac:dyDescent="0.25">
      <c r="B2945" s="42"/>
      <c r="AA2945" s="43"/>
    </row>
    <row r="2946" spans="2:27" x14ac:dyDescent="0.25">
      <c r="B2946" s="42"/>
      <c r="AA2946" s="43"/>
    </row>
    <row r="2947" spans="2:27" x14ac:dyDescent="0.25">
      <c r="B2947" s="42"/>
      <c r="AA2947" s="43"/>
    </row>
    <row r="2948" spans="2:27" x14ac:dyDescent="0.25">
      <c r="B2948" s="42"/>
      <c r="AA2948" s="43"/>
    </row>
    <row r="2949" spans="2:27" x14ac:dyDescent="0.25">
      <c r="B2949" s="42"/>
      <c r="AA2949" s="43"/>
    </row>
    <row r="2950" spans="2:27" x14ac:dyDescent="0.25">
      <c r="B2950" s="42"/>
      <c r="AA2950" s="43"/>
    </row>
    <row r="2951" spans="2:27" x14ac:dyDescent="0.25">
      <c r="B2951" s="42"/>
      <c r="AA2951" s="43"/>
    </row>
    <row r="2952" spans="2:27" x14ac:dyDescent="0.25">
      <c r="B2952" s="42"/>
      <c r="AA2952" s="43"/>
    </row>
    <row r="2953" spans="2:27" x14ac:dyDescent="0.25">
      <c r="B2953" s="42"/>
      <c r="AA2953" s="43"/>
    </row>
    <row r="2954" spans="2:27" x14ac:dyDescent="0.25">
      <c r="B2954" s="42"/>
      <c r="AA2954" s="43"/>
    </row>
    <row r="2955" spans="2:27" x14ac:dyDescent="0.25">
      <c r="B2955" s="42"/>
      <c r="AA2955" s="43"/>
    </row>
    <row r="2956" spans="2:27" x14ac:dyDescent="0.25">
      <c r="B2956" s="42"/>
      <c r="AA2956" s="43"/>
    </row>
    <row r="2957" spans="2:27" x14ac:dyDescent="0.25">
      <c r="B2957" s="42"/>
      <c r="AA2957" s="43"/>
    </row>
    <row r="2958" spans="2:27" x14ac:dyDescent="0.25">
      <c r="B2958" s="42"/>
      <c r="AA2958" s="43"/>
    </row>
    <row r="2959" spans="2:27" x14ac:dyDescent="0.25">
      <c r="B2959" s="42"/>
      <c r="AA2959" s="43"/>
    </row>
    <row r="2960" spans="2:27" x14ac:dyDescent="0.25">
      <c r="B2960" s="42"/>
      <c r="AA2960" s="43"/>
    </row>
    <row r="2961" spans="2:27" x14ac:dyDescent="0.25">
      <c r="B2961" s="42"/>
      <c r="AA2961" s="43"/>
    </row>
    <row r="2962" spans="2:27" x14ac:dyDescent="0.25">
      <c r="B2962" s="42"/>
      <c r="AA2962" s="43"/>
    </row>
    <row r="2963" spans="2:27" x14ac:dyDescent="0.25">
      <c r="B2963" s="42"/>
      <c r="AA2963" s="43"/>
    </row>
    <row r="2964" spans="2:27" x14ac:dyDescent="0.25">
      <c r="B2964" s="42"/>
      <c r="AA2964" s="43"/>
    </row>
    <row r="2965" spans="2:27" x14ac:dyDescent="0.25">
      <c r="B2965" s="42"/>
      <c r="AA2965" s="43"/>
    </row>
    <row r="2966" spans="2:27" x14ac:dyDescent="0.25">
      <c r="B2966" s="42"/>
      <c r="AA2966" s="43"/>
    </row>
    <row r="2967" spans="2:27" x14ac:dyDescent="0.25">
      <c r="B2967" s="42"/>
      <c r="AA2967" s="43"/>
    </row>
    <row r="2968" spans="2:27" x14ac:dyDescent="0.25">
      <c r="B2968" s="42"/>
      <c r="AA2968" s="43"/>
    </row>
    <row r="2969" spans="2:27" x14ac:dyDescent="0.25">
      <c r="B2969" s="42"/>
      <c r="AA2969" s="43"/>
    </row>
    <row r="2970" spans="2:27" x14ac:dyDescent="0.25">
      <c r="B2970" s="42"/>
      <c r="AA2970" s="43"/>
    </row>
    <row r="2971" spans="2:27" x14ac:dyDescent="0.25">
      <c r="B2971" s="42"/>
      <c r="AA2971" s="43"/>
    </row>
    <row r="2972" spans="2:27" x14ac:dyDescent="0.25">
      <c r="B2972" s="42"/>
      <c r="AA2972" s="43"/>
    </row>
    <row r="2973" spans="2:27" x14ac:dyDescent="0.25">
      <c r="B2973" s="42"/>
      <c r="AA2973" s="43"/>
    </row>
    <row r="2974" spans="2:27" x14ac:dyDescent="0.25">
      <c r="B2974" s="42"/>
      <c r="AA2974" s="43"/>
    </row>
    <row r="2975" spans="2:27" x14ac:dyDescent="0.25">
      <c r="B2975" s="42"/>
      <c r="AA2975" s="43"/>
    </row>
    <row r="2976" spans="2:27" x14ac:dyDescent="0.25">
      <c r="B2976" s="42"/>
      <c r="AA2976" s="43"/>
    </row>
    <row r="2977" spans="2:27" x14ac:dyDescent="0.25">
      <c r="B2977" s="42"/>
      <c r="AA2977" s="43"/>
    </row>
    <row r="2978" spans="2:27" x14ac:dyDescent="0.25">
      <c r="B2978" s="42"/>
      <c r="AA2978" s="43"/>
    </row>
    <row r="2979" spans="2:27" x14ac:dyDescent="0.25">
      <c r="B2979" s="42"/>
      <c r="AA2979" s="43"/>
    </row>
    <row r="2980" spans="2:27" x14ac:dyDescent="0.25">
      <c r="B2980" s="42"/>
      <c r="AA2980" s="43"/>
    </row>
    <row r="2981" spans="2:27" x14ac:dyDescent="0.25">
      <c r="B2981" s="42"/>
      <c r="AA2981" s="43"/>
    </row>
    <row r="2982" spans="2:27" x14ac:dyDescent="0.25">
      <c r="B2982" s="42"/>
      <c r="AA2982" s="43"/>
    </row>
    <row r="2983" spans="2:27" x14ac:dyDescent="0.25">
      <c r="B2983" s="42"/>
      <c r="AA2983" s="43"/>
    </row>
    <row r="2984" spans="2:27" x14ac:dyDescent="0.25">
      <c r="B2984" s="42"/>
      <c r="AA2984" s="43"/>
    </row>
    <row r="2985" spans="2:27" x14ac:dyDescent="0.25">
      <c r="B2985" s="42"/>
      <c r="AA2985" s="43"/>
    </row>
    <row r="2986" spans="2:27" x14ac:dyDescent="0.25">
      <c r="B2986" s="42"/>
      <c r="AA2986" s="43"/>
    </row>
    <row r="2987" spans="2:27" x14ac:dyDescent="0.25">
      <c r="B2987" s="42"/>
      <c r="AA2987" s="43"/>
    </row>
    <row r="2988" spans="2:27" x14ac:dyDescent="0.25">
      <c r="B2988" s="42"/>
      <c r="AA2988" s="43"/>
    </row>
    <row r="2989" spans="2:27" x14ac:dyDescent="0.25">
      <c r="B2989" s="42"/>
      <c r="AA2989" s="43"/>
    </row>
    <row r="2990" spans="2:27" x14ac:dyDescent="0.25">
      <c r="B2990" s="42"/>
      <c r="AA2990" s="43"/>
    </row>
    <row r="2991" spans="2:27" x14ac:dyDescent="0.25">
      <c r="B2991" s="42"/>
      <c r="AA2991" s="43"/>
    </row>
    <row r="2992" spans="2:27" x14ac:dyDescent="0.25">
      <c r="B2992" s="42"/>
      <c r="AA2992" s="43"/>
    </row>
    <row r="2993" spans="2:27" x14ac:dyDescent="0.25">
      <c r="B2993" s="42"/>
      <c r="AA2993" s="43"/>
    </row>
    <row r="2994" spans="2:27" x14ac:dyDescent="0.25">
      <c r="B2994" s="42"/>
      <c r="AA2994" s="43"/>
    </row>
    <row r="2995" spans="2:27" x14ac:dyDescent="0.25">
      <c r="B2995" s="42"/>
      <c r="AA2995" s="43"/>
    </row>
    <row r="2996" spans="2:27" x14ac:dyDescent="0.25">
      <c r="B2996" s="42"/>
      <c r="AA2996" s="43"/>
    </row>
    <row r="2997" spans="2:27" x14ac:dyDescent="0.25">
      <c r="B2997" s="42"/>
      <c r="AA2997" s="43"/>
    </row>
    <row r="2998" spans="2:27" x14ac:dyDescent="0.25">
      <c r="B2998" s="42"/>
      <c r="AA2998" s="43"/>
    </row>
    <row r="2999" spans="2:27" x14ac:dyDescent="0.25">
      <c r="B2999" s="42"/>
      <c r="AA2999" s="43"/>
    </row>
    <row r="3000" spans="2:27" x14ac:dyDescent="0.25">
      <c r="B3000" s="42"/>
      <c r="AA3000" s="43"/>
    </row>
    <row r="3001" spans="2:27" x14ac:dyDescent="0.25">
      <c r="B3001" s="42"/>
      <c r="AA3001" s="43"/>
    </row>
    <row r="3002" spans="2:27" x14ac:dyDescent="0.25">
      <c r="B3002" s="42"/>
      <c r="AA3002" s="43"/>
    </row>
    <row r="3003" spans="2:27" x14ac:dyDescent="0.25">
      <c r="B3003" s="42"/>
      <c r="AA3003" s="43"/>
    </row>
    <row r="3004" spans="2:27" x14ac:dyDescent="0.25">
      <c r="B3004" s="42"/>
      <c r="AA3004" s="43"/>
    </row>
    <row r="3005" spans="2:27" x14ac:dyDescent="0.25">
      <c r="B3005" s="42"/>
      <c r="AA3005" s="43"/>
    </row>
    <row r="3006" spans="2:27" x14ac:dyDescent="0.25">
      <c r="B3006" s="42"/>
      <c r="AA3006" s="43"/>
    </row>
    <row r="3007" spans="2:27" x14ac:dyDescent="0.25">
      <c r="B3007" s="42"/>
      <c r="AA3007" s="43"/>
    </row>
    <row r="3008" spans="2:27" x14ac:dyDescent="0.25">
      <c r="B3008" s="42"/>
      <c r="AA3008" s="43"/>
    </row>
    <row r="3009" spans="2:27" x14ac:dyDescent="0.25">
      <c r="B3009" s="42"/>
      <c r="AA3009" s="43"/>
    </row>
    <row r="3010" spans="2:27" x14ac:dyDescent="0.25">
      <c r="B3010" s="42"/>
      <c r="AA3010" s="43"/>
    </row>
    <row r="3011" spans="2:27" x14ac:dyDescent="0.25">
      <c r="B3011" s="42"/>
      <c r="AA3011" s="43"/>
    </row>
    <row r="3012" spans="2:27" x14ac:dyDescent="0.25">
      <c r="B3012" s="42"/>
      <c r="AA3012" s="43"/>
    </row>
    <row r="3013" spans="2:27" x14ac:dyDescent="0.25">
      <c r="B3013" s="42"/>
      <c r="AA3013" s="43"/>
    </row>
    <row r="3014" spans="2:27" x14ac:dyDescent="0.25">
      <c r="B3014" s="42"/>
      <c r="AA3014" s="43"/>
    </row>
    <row r="3015" spans="2:27" x14ac:dyDescent="0.25">
      <c r="B3015" s="42"/>
      <c r="AA3015" s="43"/>
    </row>
    <row r="3016" spans="2:27" x14ac:dyDescent="0.25">
      <c r="B3016" s="42"/>
      <c r="AA3016" s="43"/>
    </row>
    <row r="3017" spans="2:27" x14ac:dyDescent="0.25">
      <c r="B3017" s="42"/>
      <c r="AA3017" s="43"/>
    </row>
    <row r="3018" spans="2:27" x14ac:dyDescent="0.25">
      <c r="B3018" s="42"/>
      <c r="AA3018" s="43"/>
    </row>
    <row r="3019" spans="2:27" x14ac:dyDescent="0.25">
      <c r="B3019" s="42"/>
      <c r="AA3019" s="43"/>
    </row>
    <row r="3020" spans="2:27" x14ac:dyDescent="0.25">
      <c r="B3020" s="42"/>
      <c r="AA3020" s="43"/>
    </row>
    <row r="3021" spans="2:27" x14ac:dyDescent="0.25">
      <c r="B3021" s="42"/>
      <c r="AA3021" s="43"/>
    </row>
    <row r="3022" spans="2:27" x14ac:dyDescent="0.25">
      <c r="B3022" s="42"/>
      <c r="AA3022" s="43"/>
    </row>
    <row r="3023" spans="2:27" x14ac:dyDescent="0.25">
      <c r="B3023" s="42"/>
      <c r="AA3023" s="43"/>
    </row>
    <row r="3024" spans="2:27" x14ac:dyDescent="0.25">
      <c r="B3024" s="42"/>
      <c r="AA3024" s="43"/>
    </row>
    <row r="3025" spans="2:27" x14ac:dyDescent="0.25">
      <c r="B3025" s="42"/>
      <c r="AA3025" s="43"/>
    </row>
    <row r="3026" spans="2:27" x14ac:dyDescent="0.25">
      <c r="B3026" s="42"/>
      <c r="AA3026" s="43"/>
    </row>
    <row r="3027" spans="2:27" x14ac:dyDescent="0.25">
      <c r="B3027" s="42"/>
      <c r="AA3027" s="43"/>
    </row>
    <row r="3028" spans="2:27" x14ac:dyDescent="0.25">
      <c r="B3028" s="42"/>
      <c r="AA3028" s="43"/>
    </row>
    <row r="3029" spans="2:27" x14ac:dyDescent="0.25">
      <c r="B3029" s="42"/>
      <c r="AA3029" s="43"/>
    </row>
    <row r="3030" spans="2:27" x14ac:dyDescent="0.25">
      <c r="B3030" s="42"/>
      <c r="AA3030" s="43"/>
    </row>
    <row r="3031" spans="2:27" x14ac:dyDescent="0.25">
      <c r="B3031" s="42"/>
      <c r="AA3031" s="43"/>
    </row>
    <row r="3032" spans="2:27" x14ac:dyDescent="0.25">
      <c r="B3032" s="42"/>
      <c r="AA3032" s="43"/>
    </row>
    <row r="3033" spans="2:27" x14ac:dyDescent="0.25">
      <c r="B3033" s="42"/>
      <c r="AA3033" s="43"/>
    </row>
    <row r="3034" spans="2:27" x14ac:dyDescent="0.25">
      <c r="B3034" s="42"/>
      <c r="AA3034" s="43"/>
    </row>
    <row r="3035" spans="2:27" x14ac:dyDescent="0.25">
      <c r="B3035" s="42"/>
      <c r="AA3035" s="43"/>
    </row>
    <row r="3036" spans="2:27" x14ac:dyDescent="0.25">
      <c r="B3036" s="42"/>
      <c r="AA3036" s="43"/>
    </row>
    <row r="3037" spans="2:27" x14ac:dyDescent="0.25">
      <c r="B3037" s="42"/>
      <c r="AA3037" s="43"/>
    </row>
    <row r="3038" spans="2:27" x14ac:dyDescent="0.25">
      <c r="B3038" s="42"/>
      <c r="AA3038" s="43"/>
    </row>
    <row r="3039" spans="2:27" x14ac:dyDescent="0.25">
      <c r="B3039" s="42"/>
      <c r="AA3039" s="43"/>
    </row>
    <row r="3040" spans="2:27" x14ac:dyDescent="0.25">
      <c r="B3040" s="42"/>
      <c r="AA3040" s="43"/>
    </row>
    <row r="3041" spans="2:27" x14ac:dyDescent="0.25">
      <c r="B3041" s="42"/>
      <c r="AA3041" s="43"/>
    </row>
    <row r="3042" spans="2:27" x14ac:dyDescent="0.25">
      <c r="B3042" s="42"/>
      <c r="AA3042" s="43"/>
    </row>
    <row r="3043" spans="2:27" x14ac:dyDescent="0.25">
      <c r="B3043" s="42"/>
      <c r="AA3043" s="43"/>
    </row>
    <row r="3044" spans="2:27" x14ac:dyDescent="0.25">
      <c r="B3044" s="42"/>
      <c r="AA3044" s="43"/>
    </row>
    <row r="3045" spans="2:27" x14ac:dyDescent="0.25">
      <c r="B3045" s="42"/>
      <c r="AA3045" s="43"/>
    </row>
    <row r="3046" spans="2:27" x14ac:dyDescent="0.25">
      <c r="B3046" s="42"/>
      <c r="AA3046" s="43"/>
    </row>
    <row r="3047" spans="2:27" x14ac:dyDescent="0.25">
      <c r="B3047" s="42"/>
      <c r="AA3047" s="43"/>
    </row>
    <row r="3048" spans="2:27" x14ac:dyDescent="0.25">
      <c r="B3048" s="42"/>
      <c r="AA3048" s="43"/>
    </row>
    <row r="3049" spans="2:27" x14ac:dyDescent="0.25">
      <c r="B3049" s="42"/>
      <c r="AA3049" s="43"/>
    </row>
    <row r="3050" spans="2:27" x14ac:dyDescent="0.25">
      <c r="B3050" s="42"/>
      <c r="AA3050" s="43"/>
    </row>
    <row r="3051" spans="2:27" x14ac:dyDescent="0.25">
      <c r="B3051" s="42"/>
      <c r="AA3051" s="43"/>
    </row>
    <row r="3052" spans="2:27" x14ac:dyDescent="0.25">
      <c r="B3052" s="42"/>
      <c r="AA3052" s="43"/>
    </row>
    <row r="3053" spans="2:27" x14ac:dyDescent="0.25">
      <c r="B3053" s="42"/>
      <c r="AA3053" s="43"/>
    </row>
    <row r="3054" spans="2:27" x14ac:dyDescent="0.25">
      <c r="B3054" s="42"/>
      <c r="AA3054" s="43"/>
    </row>
    <row r="3055" spans="2:27" x14ac:dyDescent="0.25">
      <c r="B3055" s="42"/>
      <c r="AA3055" s="43"/>
    </row>
    <row r="3056" spans="2:27" x14ac:dyDescent="0.25">
      <c r="B3056" s="42"/>
      <c r="AA3056" s="43"/>
    </row>
    <row r="3057" spans="2:27" x14ac:dyDescent="0.25">
      <c r="B3057" s="42"/>
      <c r="AA3057" s="43"/>
    </row>
    <row r="3058" spans="2:27" x14ac:dyDescent="0.25">
      <c r="B3058" s="42"/>
      <c r="AA3058" s="43"/>
    </row>
    <row r="3059" spans="2:27" x14ac:dyDescent="0.25">
      <c r="B3059" s="42"/>
      <c r="AA3059" s="43"/>
    </row>
    <row r="3060" spans="2:27" x14ac:dyDescent="0.25">
      <c r="B3060" s="42"/>
      <c r="AA3060" s="43"/>
    </row>
    <row r="3061" spans="2:27" x14ac:dyDescent="0.25">
      <c r="B3061" s="42"/>
      <c r="AA3061" s="43"/>
    </row>
    <row r="3062" spans="2:27" x14ac:dyDescent="0.25">
      <c r="B3062" s="42"/>
      <c r="AA3062" s="43"/>
    </row>
    <row r="3063" spans="2:27" x14ac:dyDescent="0.25">
      <c r="B3063" s="42"/>
      <c r="AA3063" s="43"/>
    </row>
    <row r="3064" spans="2:27" x14ac:dyDescent="0.25">
      <c r="B3064" s="42"/>
      <c r="AA3064" s="43"/>
    </row>
    <row r="3065" spans="2:27" x14ac:dyDescent="0.25">
      <c r="B3065" s="42"/>
      <c r="AA3065" s="43"/>
    </row>
    <row r="3066" spans="2:27" x14ac:dyDescent="0.25">
      <c r="B3066" s="42"/>
      <c r="AA3066" s="43"/>
    </row>
    <row r="3067" spans="2:27" x14ac:dyDescent="0.25">
      <c r="B3067" s="42"/>
      <c r="AA3067" s="43"/>
    </row>
    <row r="3068" spans="2:27" x14ac:dyDescent="0.25">
      <c r="B3068" s="42"/>
      <c r="AA3068" s="43"/>
    </row>
    <row r="3069" spans="2:27" x14ac:dyDescent="0.25">
      <c r="B3069" s="42"/>
      <c r="AA3069" s="43"/>
    </row>
    <row r="3070" spans="2:27" x14ac:dyDescent="0.25">
      <c r="B3070" s="42"/>
      <c r="AA3070" s="43"/>
    </row>
    <row r="3071" spans="2:27" x14ac:dyDescent="0.25">
      <c r="B3071" s="42"/>
      <c r="AA3071" s="43"/>
    </row>
    <row r="3072" spans="2:27" x14ac:dyDescent="0.25">
      <c r="B3072" s="42"/>
      <c r="AA3072" s="43"/>
    </row>
    <row r="3073" spans="2:27" x14ac:dyDescent="0.25">
      <c r="B3073" s="42"/>
      <c r="AA3073" s="43"/>
    </row>
    <row r="3074" spans="2:27" x14ac:dyDescent="0.25">
      <c r="B3074" s="42"/>
      <c r="AA3074" s="43"/>
    </row>
    <row r="3075" spans="2:27" x14ac:dyDescent="0.25">
      <c r="B3075" s="42"/>
      <c r="AA3075" s="43"/>
    </row>
    <row r="3076" spans="2:27" x14ac:dyDescent="0.25">
      <c r="B3076" s="42"/>
      <c r="AA3076" s="43"/>
    </row>
    <row r="3077" spans="2:27" x14ac:dyDescent="0.25">
      <c r="B3077" s="42"/>
      <c r="AA3077" s="43"/>
    </row>
    <row r="3078" spans="2:27" x14ac:dyDescent="0.25">
      <c r="B3078" s="42"/>
      <c r="AA3078" s="43"/>
    </row>
    <row r="3079" spans="2:27" x14ac:dyDescent="0.25">
      <c r="B3079" s="42"/>
      <c r="AA3079" s="43"/>
    </row>
    <row r="3080" spans="2:27" x14ac:dyDescent="0.25">
      <c r="B3080" s="42"/>
      <c r="AA3080" s="43"/>
    </row>
    <row r="3081" spans="2:27" x14ac:dyDescent="0.25">
      <c r="B3081" s="42"/>
      <c r="AA3081" s="43"/>
    </row>
    <row r="3082" spans="2:27" x14ac:dyDescent="0.25">
      <c r="B3082" s="42"/>
      <c r="AA3082" s="43"/>
    </row>
    <row r="3083" spans="2:27" x14ac:dyDescent="0.25">
      <c r="B3083" s="42"/>
      <c r="AA3083" s="43"/>
    </row>
    <row r="3084" spans="2:27" x14ac:dyDescent="0.25">
      <c r="B3084" s="42"/>
      <c r="AA3084" s="43"/>
    </row>
    <row r="3085" spans="2:27" x14ac:dyDescent="0.25">
      <c r="B3085" s="42"/>
      <c r="AA3085" s="43"/>
    </row>
    <row r="3086" spans="2:27" x14ac:dyDescent="0.25">
      <c r="B3086" s="42"/>
      <c r="AA3086" s="43"/>
    </row>
    <row r="3087" spans="2:27" x14ac:dyDescent="0.25">
      <c r="B3087" s="42"/>
      <c r="AA3087" s="43"/>
    </row>
    <row r="3088" spans="2:27" x14ac:dyDescent="0.25">
      <c r="B3088" s="42"/>
      <c r="AA3088" s="43"/>
    </row>
    <row r="3089" spans="2:27" x14ac:dyDescent="0.25">
      <c r="B3089" s="42"/>
      <c r="AA3089" s="43"/>
    </row>
    <row r="3090" spans="2:27" x14ac:dyDescent="0.25">
      <c r="B3090" s="42"/>
      <c r="AA3090" s="43"/>
    </row>
    <row r="3091" spans="2:27" x14ac:dyDescent="0.25">
      <c r="B3091" s="42"/>
      <c r="AA3091" s="43"/>
    </row>
    <row r="3092" spans="2:27" x14ac:dyDescent="0.25">
      <c r="B3092" s="42"/>
      <c r="AA3092" s="43"/>
    </row>
    <row r="3093" spans="2:27" x14ac:dyDescent="0.25">
      <c r="B3093" s="42"/>
      <c r="AA3093" s="43"/>
    </row>
    <row r="3094" spans="2:27" x14ac:dyDescent="0.25">
      <c r="B3094" s="42"/>
      <c r="AA3094" s="43"/>
    </row>
    <row r="3095" spans="2:27" x14ac:dyDescent="0.25">
      <c r="B3095" s="42"/>
      <c r="AA3095" s="43"/>
    </row>
    <row r="3096" spans="2:27" x14ac:dyDescent="0.25">
      <c r="B3096" s="42"/>
      <c r="AA3096" s="43"/>
    </row>
    <row r="3097" spans="2:27" x14ac:dyDescent="0.25">
      <c r="B3097" s="42"/>
      <c r="AA3097" s="43"/>
    </row>
    <row r="3098" spans="2:27" x14ac:dyDescent="0.25">
      <c r="B3098" s="42"/>
      <c r="AA3098" s="43"/>
    </row>
    <row r="3099" spans="2:27" x14ac:dyDescent="0.25">
      <c r="B3099" s="42"/>
      <c r="AA3099" s="43"/>
    </row>
    <row r="3100" spans="2:27" x14ac:dyDescent="0.25">
      <c r="B3100" s="42"/>
      <c r="AA3100" s="43"/>
    </row>
    <row r="3101" spans="2:27" x14ac:dyDescent="0.25">
      <c r="B3101" s="42"/>
      <c r="AA3101" s="43"/>
    </row>
    <row r="3102" spans="2:27" x14ac:dyDescent="0.25">
      <c r="B3102" s="42"/>
      <c r="AA3102" s="43"/>
    </row>
    <row r="3103" spans="2:27" x14ac:dyDescent="0.25">
      <c r="B3103" s="42"/>
      <c r="AA3103" s="43"/>
    </row>
    <row r="3104" spans="2:27" x14ac:dyDescent="0.25">
      <c r="B3104" s="42"/>
      <c r="AA3104" s="43"/>
    </row>
    <row r="3105" spans="2:27" x14ac:dyDescent="0.25">
      <c r="B3105" s="42"/>
      <c r="AA3105" s="43"/>
    </row>
    <row r="3106" spans="2:27" x14ac:dyDescent="0.25">
      <c r="B3106" s="42"/>
      <c r="AA3106" s="43"/>
    </row>
    <row r="3107" spans="2:27" x14ac:dyDescent="0.25">
      <c r="B3107" s="42"/>
      <c r="AA3107" s="43"/>
    </row>
    <row r="3108" spans="2:27" x14ac:dyDescent="0.25">
      <c r="B3108" s="42"/>
      <c r="AA3108" s="43"/>
    </row>
    <row r="3109" spans="2:27" x14ac:dyDescent="0.25">
      <c r="B3109" s="42"/>
      <c r="AA3109" s="43"/>
    </row>
    <row r="3110" spans="2:27" x14ac:dyDescent="0.25">
      <c r="B3110" s="42"/>
      <c r="AA3110" s="43"/>
    </row>
    <row r="3111" spans="2:27" x14ac:dyDescent="0.25">
      <c r="B3111" s="42"/>
      <c r="AA3111" s="43"/>
    </row>
    <row r="3112" spans="2:27" x14ac:dyDescent="0.25">
      <c r="B3112" s="42"/>
      <c r="AA3112" s="43"/>
    </row>
    <row r="3113" spans="2:27" x14ac:dyDescent="0.25">
      <c r="B3113" s="42"/>
      <c r="AA3113" s="43"/>
    </row>
    <row r="3114" spans="2:27" x14ac:dyDescent="0.25">
      <c r="B3114" s="42"/>
      <c r="AA3114" s="43"/>
    </row>
    <row r="3115" spans="2:27" x14ac:dyDescent="0.25">
      <c r="B3115" s="42"/>
      <c r="AA3115" s="43"/>
    </row>
    <row r="3116" spans="2:27" x14ac:dyDescent="0.25">
      <c r="B3116" s="42"/>
      <c r="AA3116" s="43"/>
    </row>
    <row r="3117" spans="2:27" x14ac:dyDescent="0.25">
      <c r="B3117" s="42"/>
      <c r="AA3117" s="43"/>
    </row>
    <row r="3118" spans="2:27" x14ac:dyDescent="0.25">
      <c r="B3118" s="42"/>
      <c r="AA3118" s="43"/>
    </row>
    <row r="3119" spans="2:27" x14ac:dyDescent="0.25">
      <c r="B3119" s="42"/>
      <c r="AA3119" s="43"/>
    </row>
    <row r="3120" spans="2:27" x14ac:dyDescent="0.25">
      <c r="B3120" s="42"/>
      <c r="AA3120" s="43"/>
    </row>
    <row r="3121" spans="2:27" x14ac:dyDescent="0.25">
      <c r="B3121" s="42"/>
      <c r="AA3121" s="43"/>
    </row>
    <row r="3122" spans="2:27" x14ac:dyDescent="0.25">
      <c r="B3122" s="42"/>
      <c r="AA3122" s="43"/>
    </row>
    <row r="3123" spans="2:27" x14ac:dyDescent="0.25">
      <c r="B3123" s="42"/>
      <c r="AA3123" s="43"/>
    </row>
    <row r="3124" spans="2:27" x14ac:dyDescent="0.25">
      <c r="B3124" s="42"/>
      <c r="AA3124" s="43"/>
    </row>
    <row r="3125" spans="2:27" x14ac:dyDescent="0.25">
      <c r="B3125" s="42"/>
      <c r="AA3125" s="43"/>
    </row>
    <row r="3126" spans="2:27" x14ac:dyDescent="0.25">
      <c r="B3126" s="42"/>
      <c r="AA3126" s="43"/>
    </row>
    <row r="3127" spans="2:27" x14ac:dyDescent="0.25">
      <c r="B3127" s="42"/>
      <c r="AA3127" s="43"/>
    </row>
    <row r="3128" spans="2:27" x14ac:dyDescent="0.25">
      <c r="B3128" s="42"/>
      <c r="AA3128" s="43"/>
    </row>
    <row r="3129" spans="2:27" x14ac:dyDescent="0.25">
      <c r="B3129" s="42"/>
      <c r="AA3129" s="43"/>
    </row>
    <row r="3130" spans="2:27" x14ac:dyDescent="0.25">
      <c r="B3130" s="42"/>
      <c r="AA3130" s="43"/>
    </row>
    <row r="3131" spans="2:27" x14ac:dyDescent="0.25">
      <c r="B3131" s="42"/>
      <c r="AA3131" s="43"/>
    </row>
    <row r="3132" spans="2:27" x14ac:dyDescent="0.25">
      <c r="B3132" s="42"/>
      <c r="AA3132" s="43"/>
    </row>
    <row r="3133" spans="2:27" x14ac:dyDescent="0.25">
      <c r="B3133" s="42"/>
      <c r="AA3133" s="43"/>
    </row>
    <row r="3134" spans="2:27" x14ac:dyDescent="0.25">
      <c r="B3134" s="42"/>
      <c r="AA3134" s="43"/>
    </row>
    <row r="3135" spans="2:27" x14ac:dyDescent="0.25">
      <c r="B3135" s="42"/>
      <c r="AA3135" s="43"/>
    </row>
    <row r="3136" spans="2:27" x14ac:dyDescent="0.25">
      <c r="B3136" s="42"/>
      <c r="AA3136" s="43"/>
    </row>
    <row r="3137" spans="2:27" x14ac:dyDescent="0.25">
      <c r="B3137" s="42"/>
      <c r="AA3137" s="43"/>
    </row>
    <row r="3138" spans="2:27" x14ac:dyDescent="0.25">
      <c r="B3138" s="42"/>
      <c r="AA3138" s="43"/>
    </row>
    <row r="3139" spans="2:27" x14ac:dyDescent="0.25">
      <c r="B3139" s="42"/>
      <c r="AA3139" s="43"/>
    </row>
    <row r="3140" spans="2:27" x14ac:dyDescent="0.25">
      <c r="B3140" s="42"/>
      <c r="AA3140" s="43"/>
    </row>
    <row r="3141" spans="2:27" x14ac:dyDescent="0.25">
      <c r="B3141" s="42"/>
      <c r="AA3141" s="43"/>
    </row>
    <row r="3142" spans="2:27" x14ac:dyDescent="0.25">
      <c r="B3142" s="42"/>
      <c r="AA3142" s="43"/>
    </row>
    <row r="3143" spans="2:27" x14ac:dyDescent="0.25">
      <c r="B3143" s="42"/>
      <c r="AA3143" s="43"/>
    </row>
    <row r="3144" spans="2:27" x14ac:dyDescent="0.25">
      <c r="B3144" s="42"/>
      <c r="AA3144" s="43"/>
    </row>
    <row r="3145" spans="2:27" x14ac:dyDescent="0.25">
      <c r="B3145" s="42"/>
      <c r="AA3145" s="43"/>
    </row>
    <row r="3146" spans="2:27" x14ac:dyDescent="0.25">
      <c r="B3146" s="42"/>
      <c r="AA3146" s="43"/>
    </row>
    <row r="3147" spans="2:27" x14ac:dyDescent="0.25">
      <c r="B3147" s="42"/>
      <c r="AA3147" s="43"/>
    </row>
    <row r="3148" spans="2:27" x14ac:dyDescent="0.25">
      <c r="B3148" s="42"/>
      <c r="AA3148" s="43"/>
    </row>
    <row r="3149" spans="2:27" x14ac:dyDescent="0.25">
      <c r="B3149" s="42"/>
      <c r="AA3149" s="43"/>
    </row>
    <row r="3150" spans="2:27" x14ac:dyDescent="0.25">
      <c r="B3150" s="42"/>
      <c r="AA3150" s="43"/>
    </row>
    <row r="3151" spans="2:27" x14ac:dyDescent="0.25">
      <c r="B3151" s="42"/>
      <c r="AA3151" s="43"/>
    </row>
    <row r="3152" spans="2:27" x14ac:dyDescent="0.25">
      <c r="B3152" s="42"/>
      <c r="AA3152" s="43"/>
    </row>
    <row r="3153" spans="2:27" x14ac:dyDescent="0.25">
      <c r="B3153" s="42"/>
      <c r="AA3153" s="43"/>
    </row>
    <row r="3154" spans="2:27" x14ac:dyDescent="0.25">
      <c r="B3154" s="42"/>
      <c r="AA3154" s="43"/>
    </row>
    <row r="3155" spans="2:27" x14ac:dyDescent="0.25">
      <c r="B3155" s="42"/>
      <c r="AA3155" s="43"/>
    </row>
    <row r="3156" spans="2:27" x14ac:dyDescent="0.25">
      <c r="B3156" s="42"/>
      <c r="AA3156" s="43"/>
    </row>
    <row r="3157" spans="2:27" x14ac:dyDescent="0.25">
      <c r="B3157" s="42"/>
      <c r="AA3157" s="43"/>
    </row>
    <row r="3158" spans="2:27" x14ac:dyDescent="0.25">
      <c r="B3158" s="42"/>
      <c r="AA3158" s="43"/>
    </row>
    <row r="3159" spans="2:27" x14ac:dyDescent="0.25">
      <c r="B3159" s="42"/>
      <c r="AA3159" s="43"/>
    </row>
    <row r="3160" spans="2:27" x14ac:dyDescent="0.25">
      <c r="B3160" s="42"/>
      <c r="AA3160" s="43"/>
    </row>
    <row r="3161" spans="2:27" x14ac:dyDescent="0.25">
      <c r="B3161" s="42"/>
      <c r="AA3161" s="43"/>
    </row>
    <row r="3162" spans="2:27" x14ac:dyDescent="0.25">
      <c r="B3162" s="42"/>
      <c r="AA3162" s="43"/>
    </row>
    <row r="3163" spans="2:27" x14ac:dyDescent="0.25">
      <c r="B3163" s="42"/>
      <c r="AA3163" s="43"/>
    </row>
    <row r="3164" spans="2:27" x14ac:dyDescent="0.25">
      <c r="B3164" s="42"/>
      <c r="AA3164" s="43"/>
    </row>
    <row r="3165" spans="2:27" x14ac:dyDescent="0.25">
      <c r="B3165" s="42"/>
      <c r="AA3165" s="43"/>
    </row>
    <row r="3166" spans="2:27" x14ac:dyDescent="0.25">
      <c r="B3166" s="42"/>
      <c r="AA3166" s="43"/>
    </row>
    <row r="3167" spans="2:27" x14ac:dyDescent="0.25">
      <c r="B3167" s="42"/>
      <c r="AA3167" s="43"/>
    </row>
    <row r="3168" spans="2:27" x14ac:dyDescent="0.25">
      <c r="B3168" s="42"/>
      <c r="AA3168" s="43"/>
    </row>
    <row r="3169" spans="2:27" x14ac:dyDescent="0.25">
      <c r="B3169" s="42"/>
      <c r="AA3169" s="43"/>
    </row>
    <row r="3170" spans="2:27" x14ac:dyDescent="0.25">
      <c r="B3170" s="42"/>
      <c r="AA3170" s="43"/>
    </row>
    <row r="3171" spans="2:27" x14ac:dyDescent="0.25">
      <c r="B3171" s="42"/>
      <c r="AA3171" s="43"/>
    </row>
    <row r="3172" spans="2:27" x14ac:dyDescent="0.25">
      <c r="B3172" s="42"/>
      <c r="AA3172" s="43"/>
    </row>
    <row r="3173" spans="2:27" x14ac:dyDescent="0.25">
      <c r="B3173" s="42"/>
      <c r="AA3173" s="43"/>
    </row>
    <row r="3174" spans="2:27" x14ac:dyDescent="0.25">
      <c r="B3174" s="42"/>
      <c r="AA3174" s="43"/>
    </row>
    <row r="3175" spans="2:27" x14ac:dyDescent="0.25">
      <c r="B3175" s="42"/>
      <c r="AA3175" s="43"/>
    </row>
    <row r="3176" spans="2:27" x14ac:dyDescent="0.25">
      <c r="B3176" s="42"/>
      <c r="AA3176" s="43"/>
    </row>
    <row r="3177" spans="2:27" x14ac:dyDescent="0.25">
      <c r="B3177" s="42"/>
      <c r="AA3177" s="43"/>
    </row>
    <row r="3178" spans="2:27" x14ac:dyDescent="0.25">
      <c r="B3178" s="42"/>
      <c r="AA3178" s="43"/>
    </row>
    <row r="3179" spans="2:27" x14ac:dyDescent="0.25">
      <c r="B3179" s="42"/>
      <c r="AA3179" s="43"/>
    </row>
    <row r="3180" spans="2:27" x14ac:dyDescent="0.25">
      <c r="B3180" s="42"/>
      <c r="AA3180" s="43"/>
    </row>
    <row r="3181" spans="2:27" x14ac:dyDescent="0.25">
      <c r="B3181" s="42"/>
      <c r="AA3181" s="43"/>
    </row>
    <row r="3182" spans="2:27" x14ac:dyDescent="0.25">
      <c r="B3182" s="42"/>
      <c r="AA3182" s="43"/>
    </row>
    <row r="3183" spans="2:27" x14ac:dyDescent="0.25">
      <c r="B3183" s="42"/>
      <c r="AA3183" s="43"/>
    </row>
    <row r="3184" spans="2:27" x14ac:dyDescent="0.25">
      <c r="B3184" s="42"/>
      <c r="AA3184" s="43"/>
    </row>
    <row r="3185" spans="2:27" x14ac:dyDescent="0.25">
      <c r="B3185" s="42"/>
      <c r="AA3185" s="43"/>
    </row>
    <row r="3186" spans="2:27" x14ac:dyDescent="0.25">
      <c r="B3186" s="42"/>
      <c r="AA3186" s="43"/>
    </row>
    <row r="3187" spans="2:27" x14ac:dyDescent="0.25">
      <c r="B3187" s="42"/>
      <c r="AA3187" s="43"/>
    </row>
    <row r="3188" spans="2:27" x14ac:dyDescent="0.25">
      <c r="B3188" s="42"/>
      <c r="AA3188" s="43"/>
    </row>
    <row r="3189" spans="2:27" x14ac:dyDescent="0.25">
      <c r="B3189" s="42"/>
      <c r="AA3189" s="43"/>
    </row>
    <row r="3190" spans="2:27" x14ac:dyDescent="0.25">
      <c r="B3190" s="42"/>
      <c r="AA3190" s="43"/>
    </row>
    <row r="3191" spans="2:27" x14ac:dyDescent="0.25">
      <c r="B3191" s="42"/>
      <c r="AA3191" s="43"/>
    </row>
    <row r="3192" spans="2:27" x14ac:dyDescent="0.25">
      <c r="B3192" s="42"/>
      <c r="AA3192" s="43"/>
    </row>
    <row r="3193" spans="2:27" x14ac:dyDescent="0.25">
      <c r="B3193" s="42"/>
      <c r="AA3193" s="43"/>
    </row>
    <row r="3194" spans="2:27" x14ac:dyDescent="0.25">
      <c r="B3194" s="42"/>
      <c r="AA3194" s="43"/>
    </row>
    <row r="3195" spans="2:27" x14ac:dyDescent="0.25">
      <c r="B3195" s="42"/>
      <c r="AA3195" s="43"/>
    </row>
    <row r="3196" spans="2:27" x14ac:dyDescent="0.25">
      <c r="B3196" s="42"/>
      <c r="AA3196" s="43"/>
    </row>
    <row r="3197" spans="2:27" x14ac:dyDescent="0.25">
      <c r="B3197" s="42"/>
      <c r="AA3197" s="43"/>
    </row>
    <row r="3198" spans="2:27" x14ac:dyDescent="0.25">
      <c r="B3198" s="42"/>
      <c r="AA3198" s="43"/>
    </row>
    <row r="3199" spans="2:27" x14ac:dyDescent="0.25">
      <c r="B3199" s="42"/>
      <c r="AA3199" s="43"/>
    </row>
    <row r="3200" spans="2:27" x14ac:dyDescent="0.25">
      <c r="B3200" s="42"/>
      <c r="AA3200" s="43"/>
    </row>
    <row r="3201" spans="2:27" x14ac:dyDescent="0.25">
      <c r="B3201" s="42"/>
      <c r="AA3201" s="43"/>
    </row>
    <row r="3202" spans="2:27" x14ac:dyDescent="0.25">
      <c r="B3202" s="42"/>
      <c r="AA3202" s="43"/>
    </row>
    <row r="3203" spans="2:27" x14ac:dyDescent="0.25">
      <c r="B3203" s="42"/>
      <c r="AA3203" s="43"/>
    </row>
    <row r="3204" spans="2:27" x14ac:dyDescent="0.25">
      <c r="B3204" s="42"/>
      <c r="AA3204" s="43"/>
    </row>
    <row r="3205" spans="2:27" x14ac:dyDescent="0.25">
      <c r="B3205" s="42"/>
      <c r="AA3205" s="43"/>
    </row>
    <row r="3206" spans="2:27" x14ac:dyDescent="0.25">
      <c r="B3206" s="42"/>
      <c r="AA3206" s="43"/>
    </row>
    <row r="3207" spans="2:27" x14ac:dyDescent="0.25">
      <c r="B3207" s="42"/>
      <c r="AA3207" s="43"/>
    </row>
    <row r="3208" spans="2:27" x14ac:dyDescent="0.25">
      <c r="B3208" s="42"/>
      <c r="AA3208" s="43"/>
    </row>
    <row r="3209" spans="2:27" x14ac:dyDescent="0.25">
      <c r="B3209" s="42"/>
      <c r="AA3209" s="43"/>
    </row>
    <row r="3210" spans="2:27" x14ac:dyDescent="0.25">
      <c r="B3210" s="42"/>
      <c r="AA3210" s="43"/>
    </row>
    <row r="3211" spans="2:27" x14ac:dyDescent="0.25">
      <c r="B3211" s="42"/>
      <c r="AA3211" s="43"/>
    </row>
    <row r="3212" spans="2:27" x14ac:dyDescent="0.25">
      <c r="B3212" s="42"/>
      <c r="AA3212" s="43"/>
    </row>
    <row r="3213" spans="2:27" x14ac:dyDescent="0.25">
      <c r="B3213" s="42"/>
      <c r="AA3213" s="43"/>
    </row>
    <row r="3214" spans="2:27" x14ac:dyDescent="0.25">
      <c r="B3214" s="42"/>
      <c r="AA3214" s="43"/>
    </row>
    <row r="3215" spans="2:27" x14ac:dyDescent="0.25">
      <c r="B3215" s="42"/>
      <c r="AA3215" s="43"/>
    </row>
    <row r="3216" spans="2:27" x14ac:dyDescent="0.25">
      <c r="B3216" s="42"/>
      <c r="AA3216" s="43"/>
    </row>
    <row r="3217" spans="2:27" x14ac:dyDescent="0.25">
      <c r="B3217" s="42"/>
      <c r="AA3217" s="43"/>
    </row>
    <row r="3218" spans="2:27" x14ac:dyDescent="0.25">
      <c r="B3218" s="42"/>
      <c r="AA3218" s="43"/>
    </row>
    <row r="3219" spans="2:27" x14ac:dyDescent="0.25">
      <c r="B3219" s="42"/>
      <c r="AA3219" s="43"/>
    </row>
    <row r="3220" spans="2:27" x14ac:dyDescent="0.25">
      <c r="B3220" s="42"/>
      <c r="AA3220" s="43"/>
    </row>
    <row r="3221" spans="2:27" x14ac:dyDescent="0.25">
      <c r="B3221" s="42"/>
      <c r="AA3221" s="43"/>
    </row>
    <row r="3222" spans="2:27" x14ac:dyDescent="0.25">
      <c r="B3222" s="42"/>
      <c r="AA3222" s="43"/>
    </row>
    <row r="3223" spans="2:27" x14ac:dyDescent="0.25">
      <c r="B3223" s="42"/>
      <c r="AA3223" s="43"/>
    </row>
    <row r="3224" spans="2:27" x14ac:dyDescent="0.25">
      <c r="B3224" s="42"/>
      <c r="AA3224" s="43"/>
    </row>
    <row r="3225" spans="2:27" x14ac:dyDescent="0.25">
      <c r="B3225" s="42"/>
      <c r="AA3225" s="43"/>
    </row>
    <row r="3226" spans="2:27" x14ac:dyDescent="0.25">
      <c r="B3226" s="42"/>
      <c r="AA3226" s="43"/>
    </row>
    <row r="3227" spans="2:27" x14ac:dyDescent="0.25">
      <c r="B3227" s="42"/>
      <c r="AA3227" s="43"/>
    </row>
    <row r="3228" spans="2:27" x14ac:dyDescent="0.25">
      <c r="B3228" s="42"/>
      <c r="AA3228" s="43"/>
    </row>
    <row r="3229" spans="2:27" x14ac:dyDescent="0.25">
      <c r="B3229" s="42"/>
      <c r="AA3229" s="43"/>
    </row>
    <row r="3230" spans="2:27" x14ac:dyDescent="0.25">
      <c r="B3230" s="42"/>
      <c r="AA3230" s="43"/>
    </row>
    <row r="3231" spans="2:27" x14ac:dyDescent="0.25">
      <c r="B3231" s="42"/>
      <c r="AA3231" s="43"/>
    </row>
    <row r="3232" spans="2:27" x14ac:dyDescent="0.25">
      <c r="B3232" s="42"/>
      <c r="AA3232" s="43"/>
    </row>
    <row r="3233" spans="2:27" x14ac:dyDescent="0.25">
      <c r="B3233" s="42"/>
      <c r="AA3233" s="43"/>
    </row>
    <row r="3234" spans="2:27" x14ac:dyDescent="0.25">
      <c r="B3234" s="42"/>
      <c r="AA3234" s="43"/>
    </row>
    <row r="3235" spans="2:27" x14ac:dyDescent="0.25">
      <c r="B3235" s="42"/>
      <c r="AA3235" s="43"/>
    </row>
    <row r="3236" spans="2:27" x14ac:dyDescent="0.25">
      <c r="B3236" s="42"/>
      <c r="AA3236" s="43"/>
    </row>
    <row r="3237" spans="2:27" x14ac:dyDescent="0.25">
      <c r="B3237" s="42"/>
      <c r="AA3237" s="43"/>
    </row>
    <row r="3238" spans="2:27" x14ac:dyDescent="0.25">
      <c r="B3238" s="42"/>
      <c r="AA3238" s="43"/>
    </row>
    <row r="3239" spans="2:27" x14ac:dyDescent="0.25">
      <c r="B3239" s="42"/>
      <c r="AA3239" s="43"/>
    </row>
    <row r="3240" spans="2:27" x14ac:dyDescent="0.25">
      <c r="B3240" s="42"/>
      <c r="AA3240" s="43"/>
    </row>
    <row r="3241" spans="2:27" x14ac:dyDescent="0.25">
      <c r="B3241" s="42"/>
      <c r="AA3241" s="43"/>
    </row>
    <row r="3242" spans="2:27" x14ac:dyDescent="0.25">
      <c r="B3242" s="42"/>
      <c r="AA3242" s="43"/>
    </row>
    <row r="3243" spans="2:27" x14ac:dyDescent="0.25">
      <c r="B3243" s="42"/>
      <c r="AA3243" s="43"/>
    </row>
    <row r="3244" spans="2:27" x14ac:dyDescent="0.25">
      <c r="B3244" s="42"/>
      <c r="AA3244" s="43"/>
    </row>
    <row r="3245" spans="2:27" x14ac:dyDescent="0.25">
      <c r="B3245" s="42"/>
      <c r="AA3245" s="43"/>
    </row>
    <row r="3246" spans="2:27" x14ac:dyDescent="0.25">
      <c r="B3246" s="42"/>
      <c r="AA3246" s="43"/>
    </row>
    <row r="3247" spans="2:27" x14ac:dyDescent="0.25">
      <c r="B3247" s="42"/>
      <c r="AA3247" s="43"/>
    </row>
    <row r="3248" spans="2:27" x14ac:dyDescent="0.25">
      <c r="B3248" s="42"/>
      <c r="AA3248" s="43"/>
    </row>
    <row r="3249" spans="2:27" x14ac:dyDescent="0.25">
      <c r="B3249" s="42"/>
      <c r="AA3249" s="43"/>
    </row>
    <row r="3250" spans="2:27" x14ac:dyDescent="0.25">
      <c r="B3250" s="42"/>
      <c r="AA3250" s="43"/>
    </row>
    <row r="3251" spans="2:27" x14ac:dyDescent="0.25">
      <c r="B3251" s="42"/>
      <c r="AA3251" s="43"/>
    </row>
    <row r="3252" spans="2:27" x14ac:dyDescent="0.25">
      <c r="B3252" s="42"/>
      <c r="AA3252" s="43"/>
    </row>
    <row r="3253" spans="2:27" x14ac:dyDescent="0.25">
      <c r="B3253" s="42"/>
      <c r="AA3253" s="43"/>
    </row>
    <row r="3254" spans="2:27" x14ac:dyDescent="0.25">
      <c r="B3254" s="42"/>
      <c r="AA3254" s="43"/>
    </row>
    <row r="3255" spans="2:27" x14ac:dyDescent="0.25">
      <c r="B3255" s="42"/>
      <c r="AA3255" s="43"/>
    </row>
    <row r="3256" spans="2:27" x14ac:dyDescent="0.25">
      <c r="B3256" s="42"/>
      <c r="AA3256" s="43"/>
    </row>
    <row r="3257" spans="2:27" x14ac:dyDescent="0.25">
      <c r="B3257" s="42"/>
      <c r="AA3257" s="43"/>
    </row>
    <row r="3258" spans="2:27" x14ac:dyDescent="0.25">
      <c r="B3258" s="42"/>
      <c r="AA3258" s="43"/>
    </row>
    <row r="3259" spans="2:27" x14ac:dyDescent="0.25">
      <c r="B3259" s="42"/>
      <c r="AA3259" s="43"/>
    </row>
    <row r="3260" spans="2:27" x14ac:dyDescent="0.25">
      <c r="B3260" s="42"/>
      <c r="AA3260" s="43"/>
    </row>
    <row r="3261" spans="2:27" x14ac:dyDescent="0.25">
      <c r="B3261" s="42"/>
      <c r="AA3261" s="43"/>
    </row>
    <row r="3262" spans="2:27" x14ac:dyDescent="0.25">
      <c r="B3262" s="42"/>
      <c r="AA3262" s="43"/>
    </row>
    <row r="3263" spans="2:27" x14ac:dyDescent="0.25">
      <c r="B3263" s="42"/>
      <c r="AA3263" s="43"/>
    </row>
    <row r="3264" spans="2:27" x14ac:dyDescent="0.25">
      <c r="B3264" s="42"/>
      <c r="AA3264" s="43"/>
    </row>
    <row r="3265" spans="2:27" x14ac:dyDescent="0.25">
      <c r="B3265" s="42"/>
      <c r="AA3265" s="43"/>
    </row>
    <row r="3266" spans="2:27" x14ac:dyDescent="0.25">
      <c r="B3266" s="42"/>
      <c r="AA3266" s="43"/>
    </row>
    <row r="3267" spans="2:27" x14ac:dyDescent="0.25">
      <c r="B3267" s="42"/>
      <c r="AA3267" s="43"/>
    </row>
    <row r="3268" spans="2:27" x14ac:dyDescent="0.25">
      <c r="B3268" s="42"/>
      <c r="AA3268" s="43"/>
    </row>
    <row r="3269" spans="2:27" x14ac:dyDescent="0.25">
      <c r="B3269" s="42"/>
      <c r="AA3269" s="43"/>
    </row>
    <row r="3270" spans="2:27" x14ac:dyDescent="0.25">
      <c r="B3270" s="42"/>
      <c r="AA3270" s="43"/>
    </row>
    <row r="3271" spans="2:27" x14ac:dyDescent="0.25">
      <c r="B3271" s="42"/>
      <c r="AA3271" s="43"/>
    </row>
    <row r="3272" spans="2:27" x14ac:dyDescent="0.25">
      <c r="B3272" s="42"/>
      <c r="AA3272" s="43"/>
    </row>
    <row r="3273" spans="2:27" x14ac:dyDescent="0.25">
      <c r="B3273" s="42"/>
      <c r="AA3273" s="43"/>
    </row>
    <row r="3274" spans="2:27" x14ac:dyDescent="0.25">
      <c r="B3274" s="42"/>
      <c r="AA3274" s="43"/>
    </row>
    <row r="3275" spans="2:27" x14ac:dyDescent="0.25">
      <c r="B3275" s="42"/>
      <c r="AA3275" s="43"/>
    </row>
    <row r="3276" spans="2:27" x14ac:dyDescent="0.25">
      <c r="B3276" s="42"/>
      <c r="AA3276" s="43"/>
    </row>
    <row r="3277" spans="2:27" x14ac:dyDescent="0.25">
      <c r="B3277" s="42"/>
      <c r="AA3277" s="43"/>
    </row>
    <row r="3278" spans="2:27" x14ac:dyDescent="0.25">
      <c r="B3278" s="42"/>
      <c r="AA3278" s="43"/>
    </row>
    <row r="3279" spans="2:27" x14ac:dyDescent="0.25">
      <c r="B3279" s="42"/>
      <c r="AA3279" s="43"/>
    </row>
    <row r="3280" spans="2:27" x14ac:dyDescent="0.25">
      <c r="B3280" s="42"/>
      <c r="AA3280" s="43"/>
    </row>
    <row r="3281" spans="2:27" x14ac:dyDescent="0.25">
      <c r="B3281" s="42"/>
      <c r="AA3281" s="43"/>
    </row>
    <row r="3282" spans="2:27" x14ac:dyDescent="0.25">
      <c r="B3282" s="42"/>
      <c r="AA3282" s="43"/>
    </row>
    <row r="3283" spans="2:27" x14ac:dyDescent="0.25">
      <c r="B3283" s="42"/>
      <c r="AA3283" s="43"/>
    </row>
    <row r="3284" spans="2:27" x14ac:dyDescent="0.25">
      <c r="B3284" s="42"/>
      <c r="AA3284" s="43"/>
    </row>
    <row r="3285" spans="2:27" x14ac:dyDescent="0.25">
      <c r="B3285" s="42"/>
      <c r="AA3285" s="43"/>
    </row>
    <row r="3286" spans="2:27" x14ac:dyDescent="0.25">
      <c r="B3286" s="42"/>
      <c r="AA3286" s="43"/>
    </row>
    <row r="3287" spans="2:27" x14ac:dyDescent="0.25">
      <c r="B3287" s="42"/>
      <c r="AA3287" s="43"/>
    </row>
    <row r="3288" spans="2:27" x14ac:dyDescent="0.25">
      <c r="B3288" s="42"/>
      <c r="AA3288" s="43"/>
    </row>
    <row r="3289" spans="2:27" x14ac:dyDescent="0.25">
      <c r="B3289" s="42"/>
      <c r="AA3289" s="43"/>
    </row>
    <row r="3290" spans="2:27" x14ac:dyDescent="0.25">
      <c r="B3290" s="42"/>
      <c r="AA3290" s="43"/>
    </row>
    <row r="3291" spans="2:27" x14ac:dyDescent="0.25">
      <c r="B3291" s="42"/>
      <c r="AA3291" s="43"/>
    </row>
    <row r="3292" spans="2:27" x14ac:dyDescent="0.25">
      <c r="B3292" s="42"/>
      <c r="AA3292" s="43"/>
    </row>
    <row r="3293" spans="2:27" x14ac:dyDescent="0.25">
      <c r="B3293" s="42"/>
      <c r="AA3293" s="43"/>
    </row>
    <row r="3294" spans="2:27" x14ac:dyDescent="0.25">
      <c r="B3294" s="42"/>
      <c r="AA3294" s="43"/>
    </row>
    <row r="3295" spans="2:27" x14ac:dyDescent="0.25">
      <c r="B3295" s="42"/>
      <c r="AA3295" s="43"/>
    </row>
    <row r="3296" spans="2:27" x14ac:dyDescent="0.25">
      <c r="B3296" s="42"/>
      <c r="AA3296" s="43"/>
    </row>
    <row r="3297" spans="2:27" x14ac:dyDescent="0.25">
      <c r="B3297" s="42"/>
      <c r="AA3297" s="43"/>
    </row>
    <row r="3298" spans="2:27" x14ac:dyDescent="0.25">
      <c r="B3298" s="42"/>
      <c r="AA3298" s="43"/>
    </row>
    <row r="3299" spans="2:27" x14ac:dyDescent="0.25">
      <c r="B3299" s="42"/>
      <c r="AA3299" s="43"/>
    </row>
    <row r="3300" spans="2:27" x14ac:dyDescent="0.25">
      <c r="B3300" s="42"/>
      <c r="AA3300" s="43"/>
    </row>
    <row r="3301" spans="2:27" x14ac:dyDescent="0.25">
      <c r="B3301" s="42"/>
      <c r="AA3301" s="43"/>
    </row>
    <row r="3302" spans="2:27" x14ac:dyDescent="0.25">
      <c r="B3302" s="42"/>
      <c r="AA3302" s="43"/>
    </row>
    <row r="3303" spans="2:27" x14ac:dyDescent="0.25">
      <c r="B3303" s="42"/>
      <c r="AA3303" s="43"/>
    </row>
    <row r="3304" spans="2:27" x14ac:dyDescent="0.25">
      <c r="B3304" s="42"/>
      <c r="AA3304" s="43"/>
    </row>
    <row r="3305" spans="2:27" x14ac:dyDescent="0.25">
      <c r="B3305" s="42"/>
      <c r="AA3305" s="43"/>
    </row>
    <row r="3306" spans="2:27" x14ac:dyDescent="0.25">
      <c r="B3306" s="42"/>
      <c r="AA3306" s="43"/>
    </row>
    <row r="3307" spans="2:27" x14ac:dyDescent="0.25">
      <c r="B3307" s="42"/>
      <c r="AA3307" s="43"/>
    </row>
    <row r="3308" spans="2:27" x14ac:dyDescent="0.25">
      <c r="B3308" s="42"/>
      <c r="AA3308" s="43"/>
    </row>
    <row r="3309" spans="2:27" x14ac:dyDescent="0.25">
      <c r="B3309" s="42"/>
      <c r="AA3309" s="43"/>
    </row>
    <row r="3310" spans="2:27" x14ac:dyDescent="0.25">
      <c r="B3310" s="42"/>
      <c r="AA3310" s="43"/>
    </row>
    <row r="3311" spans="2:27" x14ac:dyDescent="0.25">
      <c r="B3311" s="42"/>
      <c r="AA3311" s="43"/>
    </row>
    <row r="3312" spans="2:27" x14ac:dyDescent="0.25">
      <c r="B3312" s="42"/>
      <c r="AA3312" s="43"/>
    </row>
    <row r="3313" spans="2:27" x14ac:dyDescent="0.25">
      <c r="B3313" s="42"/>
      <c r="AA3313" s="43"/>
    </row>
    <row r="3314" spans="2:27" x14ac:dyDescent="0.25">
      <c r="B3314" s="42"/>
      <c r="AA3314" s="43"/>
    </row>
    <row r="3315" spans="2:27" x14ac:dyDescent="0.25">
      <c r="B3315" s="42"/>
      <c r="AA3315" s="43"/>
    </row>
    <row r="3316" spans="2:27" x14ac:dyDescent="0.25">
      <c r="B3316" s="42"/>
      <c r="AA3316" s="43"/>
    </row>
    <row r="3317" spans="2:27" x14ac:dyDescent="0.25">
      <c r="B3317" s="42"/>
      <c r="AA3317" s="43"/>
    </row>
    <row r="3318" spans="2:27" x14ac:dyDescent="0.25">
      <c r="B3318" s="42"/>
      <c r="AA3318" s="43"/>
    </row>
    <row r="3319" spans="2:27" x14ac:dyDescent="0.25">
      <c r="B3319" s="42"/>
      <c r="AA3319" s="43"/>
    </row>
    <row r="3320" spans="2:27" x14ac:dyDescent="0.25">
      <c r="B3320" s="42"/>
      <c r="AA3320" s="43"/>
    </row>
    <row r="3321" spans="2:27" x14ac:dyDescent="0.25">
      <c r="B3321" s="42"/>
      <c r="AA3321" s="43"/>
    </row>
    <row r="3322" spans="2:27" x14ac:dyDescent="0.25">
      <c r="B3322" s="42"/>
      <c r="AA3322" s="43"/>
    </row>
    <row r="3323" spans="2:27" x14ac:dyDescent="0.25">
      <c r="B3323" s="42"/>
      <c r="AA3323" s="43"/>
    </row>
    <row r="3324" spans="2:27" x14ac:dyDescent="0.25">
      <c r="B3324" s="42"/>
      <c r="AA3324" s="43"/>
    </row>
    <row r="3325" spans="2:27" x14ac:dyDescent="0.25">
      <c r="B3325" s="42"/>
      <c r="AA3325" s="43"/>
    </row>
    <row r="3326" spans="2:27" x14ac:dyDescent="0.25">
      <c r="B3326" s="42"/>
      <c r="AA3326" s="43"/>
    </row>
    <row r="3327" spans="2:27" x14ac:dyDescent="0.25">
      <c r="B3327" s="42"/>
      <c r="AA3327" s="43"/>
    </row>
    <row r="3328" spans="2:27" x14ac:dyDescent="0.25">
      <c r="B3328" s="42"/>
      <c r="AA3328" s="43"/>
    </row>
    <row r="3329" spans="2:27" x14ac:dyDescent="0.25">
      <c r="B3329" s="42"/>
      <c r="AA3329" s="43"/>
    </row>
    <row r="3330" spans="2:27" x14ac:dyDescent="0.25">
      <c r="B3330" s="42"/>
      <c r="AA3330" s="43"/>
    </row>
    <row r="3331" spans="2:27" x14ac:dyDescent="0.25">
      <c r="B3331" s="42"/>
      <c r="AA3331" s="43"/>
    </row>
    <row r="3332" spans="2:27" x14ac:dyDescent="0.25">
      <c r="B3332" s="42"/>
      <c r="AA3332" s="43"/>
    </row>
    <row r="3333" spans="2:27" x14ac:dyDescent="0.25">
      <c r="B3333" s="42"/>
      <c r="AA3333" s="43"/>
    </row>
    <row r="3334" spans="2:27" x14ac:dyDescent="0.25">
      <c r="B3334" s="42"/>
      <c r="AA3334" s="43"/>
    </row>
    <row r="3335" spans="2:27" x14ac:dyDescent="0.25">
      <c r="B3335" s="42"/>
      <c r="AA3335" s="43"/>
    </row>
    <row r="3336" spans="2:27" x14ac:dyDescent="0.25">
      <c r="B3336" s="42"/>
      <c r="AA3336" s="43"/>
    </row>
    <row r="3337" spans="2:27" x14ac:dyDescent="0.25">
      <c r="B3337" s="42"/>
      <c r="AA3337" s="43"/>
    </row>
    <row r="3338" spans="2:27" x14ac:dyDescent="0.25">
      <c r="B3338" s="42"/>
      <c r="AA3338" s="43"/>
    </row>
    <row r="3339" spans="2:27" x14ac:dyDescent="0.25">
      <c r="B3339" s="42"/>
      <c r="AA3339" s="43"/>
    </row>
    <row r="3340" spans="2:27" x14ac:dyDescent="0.25">
      <c r="B3340" s="42"/>
      <c r="AA3340" s="43"/>
    </row>
    <row r="3341" spans="2:27" x14ac:dyDescent="0.25">
      <c r="B3341" s="42"/>
      <c r="AA3341" s="43"/>
    </row>
    <row r="3342" spans="2:27" x14ac:dyDescent="0.25">
      <c r="B3342" s="42"/>
      <c r="AA3342" s="43"/>
    </row>
    <row r="3343" spans="2:27" x14ac:dyDescent="0.25">
      <c r="B3343" s="42"/>
      <c r="AA3343" s="43"/>
    </row>
    <row r="3344" spans="2:27" x14ac:dyDescent="0.25">
      <c r="B3344" s="42"/>
      <c r="AA3344" s="43"/>
    </row>
    <row r="3345" spans="2:27" x14ac:dyDescent="0.25">
      <c r="B3345" s="42"/>
      <c r="AA3345" s="43"/>
    </row>
    <row r="3346" spans="2:27" x14ac:dyDescent="0.25">
      <c r="B3346" s="42"/>
      <c r="AA3346" s="43"/>
    </row>
    <row r="3347" spans="2:27" x14ac:dyDescent="0.25">
      <c r="B3347" s="42"/>
      <c r="AA3347" s="43"/>
    </row>
    <row r="3348" spans="2:27" x14ac:dyDescent="0.25">
      <c r="B3348" s="42"/>
      <c r="AA3348" s="43"/>
    </row>
    <row r="3349" spans="2:27" x14ac:dyDescent="0.25">
      <c r="B3349" s="42"/>
      <c r="AA3349" s="43"/>
    </row>
    <row r="3350" spans="2:27" x14ac:dyDescent="0.25">
      <c r="B3350" s="42"/>
      <c r="AA3350" s="43"/>
    </row>
    <row r="3351" spans="2:27" x14ac:dyDescent="0.25">
      <c r="B3351" s="42"/>
      <c r="AA3351" s="43"/>
    </row>
    <row r="3352" spans="2:27" x14ac:dyDescent="0.25">
      <c r="B3352" s="42"/>
      <c r="AA3352" s="43"/>
    </row>
    <row r="3353" spans="2:27" x14ac:dyDescent="0.25">
      <c r="B3353" s="42"/>
      <c r="AA3353" s="43"/>
    </row>
    <row r="3354" spans="2:27" x14ac:dyDescent="0.25">
      <c r="B3354" s="42"/>
      <c r="AA3354" s="43"/>
    </row>
    <row r="3355" spans="2:27" x14ac:dyDescent="0.25">
      <c r="B3355" s="42"/>
      <c r="AA3355" s="43"/>
    </row>
    <row r="3356" spans="2:27" x14ac:dyDescent="0.25">
      <c r="B3356" s="42"/>
      <c r="AA3356" s="43"/>
    </row>
    <row r="3357" spans="2:27" x14ac:dyDescent="0.25">
      <c r="B3357" s="42"/>
      <c r="AA3357" s="43"/>
    </row>
    <row r="3358" spans="2:27" x14ac:dyDescent="0.25">
      <c r="B3358" s="42"/>
      <c r="AA3358" s="43"/>
    </row>
    <row r="3359" spans="2:27" x14ac:dyDescent="0.25">
      <c r="B3359" s="42"/>
      <c r="AA3359" s="43"/>
    </row>
    <row r="3360" spans="2:27" x14ac:dyDescent="0.25">
      <c r="B3360" s="42"/>
      <c r="AA3360" s="43"/>
    </row>
    <row r="3361" spans="2:27" x14ac:dyDescent="0.25">
      <c r="B3361" s="42"/>
      <c r="AA3361" s="43"/>
    </row>
    <row r="3362" spans="2:27" x14ac:dyDescent="0.25">
      <c r="B3362" s="42"/>
      <c r="AA3362" s="43"/>
    </row>
    <row r="3363" spans="2:27" x14ac:dyDescent="0.25">
      <c r="B3363" s="42"/>
      <c r="AA3363" s="43"/>
    </row>
    <row r="3364" spans="2:27" x14ac:dyDescent="0.25">
      <c r="B3364" s="42"/>
      <c r="AA3364" s="43"/>
    </row>
    <row r="3365" spans="2:27" x14ac:dyDescent="0.25">
      <c r="B3365" s="42"/>
      <c r="AA3365" s="43"/>
    </row>
    <row r="3366" spans="2:27" x14ac:dyDescent="0.25">
      <c r="B3366" s="42"/>
      <c r="AA3366" s="43"/>
    </row>
    <row r="3367" spans="2:27" x14ac:dyDescent="0.25">
      <c r="B3367" s="42"/>
      <c r="AA3367" s="43"/>
    </row>
    <row r="3368" spans="2:27" x14ac:dyDescent="0.25">
      <c r="B3368" s="42"/>
      <c r="AA3368" s="43"/>
    </row>
    <row r="3369" spans="2:27" x14ac:dyDescent="0.25">
      <c r="B3369" s="42"/>
      <c r="AA3369" s="43"/>
    </row>
    <row r="3370" spans="2:27" x14ac:dyDescent="0.25">
      <c r="B3370" s="42"/>
      <c r="AA3370" s="43"/>
    </row>
    <row r="3371" spans="2:27" x14ac:dyDescent="0.25">
      <c r="B3371" s="42"/>
      <c r="AA3371" s="43"/>
    </row>
    <row r="3372" spans="2:27" x14ac:dyDescent="0.25">
      <c r="B3372" s="42"/>
      <c r="AA3372" s="43"/>
    </row>
    <row r="3373" spans="2:27" x14ac:dyDescent="0.25">
      <c r="B3373" s="42"/>
      <c r="AA3373" s="43"/>
    </row>
    <row r="3374" spans="2:27" x14ac:dyDescent="0.25">
      <c r="B3374" s="42"/>
      <c r="AA3374" s="43"/>
    </row>
    <row r="3375" spans="2:27" x14ac:dyDescent="0.25">
      <c r="B3375" s="42"/>
      <c r="AA3375" s="43"/>
    </row>
    <row r="3376" spans="2:27" x14ac:dyDescent="0.25">
      <c r="B3376" s="42"/>
      <c r="AA3376" s="43"/>
    </row>
    <row r="3377" spans="2:27" x14ac:dyDescent="0.25">
      <c r="B3377" s="42"/>
      <c r="AA3377" s="43"/>
    </row>
    <row r="3378" spans="2:27" x14ac:dyDescent="0.25">
      <c r="B3378" s="42"/>
      <c r="AA3378" s="43"/>
    </row>
    <row r="3379" spans="2:27" x14ac:dyDescent="0.25">
      <c r="B3379" s="42"/>
      <c r="AA3379" s="43"/>
    </row>
    <row r="3380" spans="2:27" x14ac:dyDescent="0.25">
      <c r="B3380" s="42"/>
      <c r="AA3380" s="43"/>
    </row>
    <row r="3381" spans="2:27" x14ac:dyDescent="0.25">
      <c r="B3381" s="42"/>
      <c r="AA3381" s="43"/>
    </row>
    <row r="3382" spans="2:27" x14ac:dyDescent="0.25">
      <c r="B3382" s="42"/>
      <c r="AA3382" s="43"/>
    </row>
    <row r="3383" spans="2:27" x14ac:dyDescent="0.25">
      <c r="B3383" s="42"/>
      <c r="AA3383" s="43"/>
    </row>
    <row r="3384" spans="2:27" x14ac:dyDescent="0.25">
      <c r="B3384" s="42"/>
      <c r="AA3384" s="43"/>
    </row>
    <row r="3385" spans="2:27" x14ac:dyDescent="0.25">
      <c r="B3385" s="42"/>
      <c r="AA3385" s="43"/>
    </row>
    <row r="3386" spans="2:27" x14ac:dyDescent="0.25">
      <c r="B3386" s="42"/>
      <c r="AA3386" s="43"/>
    </row>
    <row r="3387" spans="2:27" x14ac:dyDescent="0.25">
      <c r="B3387" s="42"/>
      <c r="AA3387" s="43"/>
    </row>
    <row r="3388" spans="2:27" x14ac:dyDescent="0.25">
      <c r="B3388" s="42"/>
      <c r="AA3388" s="43"/>
    </row>
    <row r="3389" spans="2:27" x14ac:dyDescent="0.25">
      <c r="B3389" s="42"/>
      <c r="AA3389" s="43"/>
    </row>
    <row r="3390" spans="2:27" x14ac:dyDescent="0.25">
      <c r="B3390" s="42"/>
      <c r="AA3390" s="43"/>
    </row>
    <row r="3391" spans="2:27" x14ac:dyDescent="0.25">
      <c r="B3391" s="42"/>
      <c r="AA3391" s="43"/>
    </row>
    <row r="3392" spans="2:27" x14ac:dyDescent="0.25">
      <c r="B3392" s="42"/>
      <c r="AA3392" s="43"/>
    </row>
    <row r="3393" spans="2:27" x14ac:dyDescent="0.25">
      <c r="B3393" s="42"/>
      <c r="AA3393" s="43"/>
    </row>
    <row r="3394" spans="2:27" x14ac:dyDescent="0.25">
      <c r="B3394" s="42"/>
      <c r="AA3394" s="43"/>
    </row>
    <row r="3395" spans="2:27" x14ac:dyDescent="0.25">
      <c r="B3395" s="42"/>
      <c r="AA3395" s="43"/>
    </row>
    <row r="3396" spans="2:27" x14ac:dyDescent="0.25">
      <c r="B3396" s="42"/>
      <c r="AA3396" s="43"/>
    </row>
    <row r="3397" spans="2:27" x14ac:dyDescent="0.25">
      <c r="B3397" s="42"/>
      <c r="AA3397" s="43"/>
    </row>
    <row r="3398" spans="2:27" x14ac:dyDescent="0.25">
      <c r="B3398" s="42"/>
      <c r="AA3398" s="43"/>
    </row>
    <row r="3399" spans="2:27" x14ac:dyDescent="0.25">
      <c r="B3399" s="42"/>
      <c r="AA3399" s="43"/>
    </row>
    <row r="3400" spans="2:27" x14ac:dyDescent="0.25">
      <c r="B3400" s="42"/>
      <c r="AA3400" s="43"/>
    </row>
    <row r="3401" spans="2:27" x14ac:dyDescent="0.25">
      <c r="B3401" s="42"/>
      <c r="AA3401" s="43"/>
    </row>
    <row r="3402" spans="2:27" x14ac:dyDescent="0.25">
      <c r="B3402" s="42"/>
      <c r="AA3402" s="43"/>
    </row>
    <row r="3403" spans="2:27" x14ac:dyDescent="0.25">
      <c r="B3403" s="42"/>
      <c r="AA3403" s="43"/>
    </row>
    <row r="3404" spans="2:27" x14ac:dyDescent="0.25">
      <c r="B3404" s="42"/>
      <c r="AA3404" s="43"/>
    </row>
    <row r="3405" spans="2:27" x14ac:dyDescent="0.25">
      <c r="B3405" s="42"/>
      <c r="AA3405" s="43"/>
    </row>
    <row r="3406" spans="2:27" x14ac:dyDescent="0.25">
      <c r="B3406" s="42"/>
      <c r="AA3406" s="43"/>
    </row>
    <row r="3407" spans="2:27" x14ac:dyDescent="0.25">
      <c r="B3407" s="42"/>
      <c r="AA3407" s="43"/>
    </row>
    <row r="3408" spans="2:27" x14ac:dyDescent="0.25">
      <c r="B3408" s="42"/>
      <c r="AA3408" s="43"/>
    </row>
    <row r="3409" spans="2:27" x14ac:dyDescent="0.25">
      <c r="B3409" s="42"/>
      <c r="AA3409" s="43"/>
    </row>
    <row r="3410" spans="2:27" x14ac:dyDescent="0.25">
      <c r="B3410" s="42"/>
      <c r="AA3410" s="43"/>
    </row>
    <row r="3411" spans="2:27" x14ac:dyDescent="0.25">
      <c r="B3411" s="42"/>
      <c r="AA3411" s="43"/>
    </row>
    <row r="3412" spans="2:27" x14ac:dyDescent="0.25">
      <c r="B3412" s="42"/>
      <c r="AA3412" s="43"/>
    </row>
    <row r="3413" spans="2:27" x14ac:dyDescent="0.25">
      <c r="B3413" s="42"/>
      <c r="AA3413" s="43"/>
    </row>
    <row r="3414" spans="2:27" x14ac:dyDescent="0.25">
      <c r="B3414" s="42"/>
      <c r="AA3414" s="43"/>
    </row>
    <row r="3415" spans="2:27" x14ac:dyDescent="0.25">
      <c r="B3415" s="42"/>
      <c r="AA3415" s="43"/>
    </row>
    <row r="3416" spans="2:27" x14ac:dyDescent="0.25">
      <c r="B3416" s="42"/>
      <c r="AA3416" s="43"/>
    </row>
    <row r="3417" spans="2:27" x14ac:dyDescent="0.25">
      <c r="B3417" s="42"/>
      <c r="AA3417" s="43"/>
    </row>
    <row r="3418" spans="2:27" x14ac:dyDescent="0.25">
      <c r="B3418" s="42"/>
      <c r="AA3418" s="43"/>
    </row>
    <row r="3419" spans="2:27" x14ac:dyDescent="0.25">
      <c r="B3419" s="42"/>
      <c r="AA3419" s="43"/>
    </row>
    <row r="3420" spans="2:27" x14ac:dyDescent="0.25">
      <c r="B3420" s="42"/>
      <c r="AA3420" s="43"/>
    </row>
    <row r="3421" spans="2:27" x14ac:dyDescent="0.25">
      <c r="B3421" s="42"/>
      <c r="AA3421" s="43"/>
    </row>
    <row r="3422" spans="2:27" x14ac:dyDescent="0.25">
      <c r="B3422" s="42"/>
      <c r="AA3422" s="43"/>
    </row>
    <row r="3423" spans="2:27" x14ac:dyDescent="0.25">
      <c r="B3423" s="42"/>
      <c r="AA3423" s="43"/>
    </row>
    <row r="3424" spans="2:27" x14ac:dyDescent="0.25">
      <c r="B3424" s="42"/>
      <c r="AA3424" s="43"/>
    </row>
    <row r="3425" spans="2:27" x14ac:dyDescent="0.25">
      <c r="B3425" s="42"/>
      <c r="AA3425" s="43"/>
    </row>
    <row r="3426" spans="2:27" x14ac:dyDescent="0.25">
      <c r="B3426" s="42"/>
      <c r="AA3426" s="43"/>
    </row>
    <row r="3427" spans="2:27" x14ac:dyDescent="0.25">
      <c r="B3427" s="42"/>
      <c r="AA3427" s="43"/>
    </row>
    <row r="3428" spans="2:27" x14ac:dyDescent="0.25">
      <c r="B3428" s="42"/>
      <c r="AA3428" s="43"/>
    </row>
    <row r="3429" spans="2:27" x14ac:dyDescent="0.25">
      <c r="B3429" s="42"/>
      <c r="AA3429" s="43"/>
    </row>
    <row r="3430" spans="2:27" x14ac:dyDescent="0.25">
      <c r="B3430" s="42"/>
      <c r="AA3430" s="43"/>
    </row>
    <row r="3431" spans="2:27" x14ac:dyDescent="0.25">
      <c r="B3431" s="42"/>
      <c r="AA3431" s="43"/>
    </row>
    <row r="3432" spans="2:27" x14ac:dyDescent="0.25">
      <c r="B3432" s="42"/>
      <c r="AA3432" s="43"/>
    </row>
    <row r="3433" spans="2:27" x14ac:dyDescent="0.25">
      <c r="B3433" s="42"/>
      <c r="AA3433" s="43"/>
    </row>
    <row r="3434" spans="2:27" x14ac:dyDescent="0.25">
      <c r="B3434" s="42"/>
      <c r="AA3434" s="43"/>
    </row>
    <row r="3435" spans="2:27" x14ac:dyDescent="0.25">
      <c r="B3435" s="42"/>
      <c r="AA3435" s="43"/>
    </row>
    <row r="3436" spans="2:27" x14ac:dyDescent="0.25">
      <c r="B3436" s="42"/>
      <c r="AA3436" s="43"/>
    </row>
    <row r="3437" spans="2:27" x14ac:dyDescent="0.25">
      <c r="B3437" s="42"/>
      <c r="AA3437" s="43"/>
    </row>
    <row r="3438" spans="2:27" x14ac:dyDescent="0.25">
      <c r="B3438" s="42"/>
      <c r="AA3438" s="43"/>
    </row>
    <row r="3439" spans="2:27" x14ac:dyDescent="0.25">
      <c r="B3439" s="42"/>
      <c r="AA3439" s="43"/>
    </row>
    <row r="3440" spans="2:27" x14ac:dyDescent="0.25">
      <c r="B3440" s="42"/>
      <c r="AA3440" s="43"/>
    </row>
    <row r="3441" spans="2:27" x14ac:dyDescent="0.25">
      <c r="B3441" s="42"/>
      <c r="AA3441" s="43"/>
    </row>
    <row r="3442" spans="2:27" x14ac:dyDescent="0.25">
      <c r="B3442" s="42"/>
      <c r="AA3442" s="43"/>
    </row>
    <row r="3443" spans="2:27" x14ac:dyDescent="0.25">
      <c r="B3443" s="42"/>
      <c r="AA3443" s="43"/>
    </row>
    <row r="3444" spans="2:27" x14ac:dyDescent="0.25">
      <c r="B3444" s="42"/>
      <c r="AA3444" s="43"/>
    </row>
    <row r="3445" spans="2:27" x14ac:dyDescent="0.25">
      <c r="B3445" s="42"/>
      <c r="AA3445" s="43"/>
    </row>
    <row r="3446" spans="2:27" x14ac:dyDescent="0.25">
      <c r="B3446" s="42"/>
      <c r="AA3446" s="43"/>
    </row>
    <row r="3447" spans="2:27" x14ac:dyDescent="0.25">
      <c r="B3447" s="42"/>
      <c r="AA3447" s="43"/>
    </row>
    <row r="3448" spans="2:27" x14ac:dyDescent="0.25">
      <c r="B3448" s="42"/>
      <c r="AA3448" s="43"/>
    </row>
    <row r="3449" spans="2:27" x14ac:dyDescent="0.25">
      <c r="B3449" s="42"/>
      <c r="AA3449" s="43"/>
    </row>
    <row r="3450" spans="2:27" x14ac:dyDescent="0.25">
      <c r="B3450" s="42"/>
      <c r="AA3450" s="43"/>
    </row>
    <row r="3451" spans="2:27" x14ac:dyDescent="0.25">
      <c r="B3451" s="42"/>
      <c r="AA3451" s="43"/>
    </row>
    <row r="3452" spans="2:27" x14ac:dyDescent="0.25">
      <c r="B3452" s="42"/>
      <c r="AA3452" s="43"/>
    </row>
    <row r="3453" spans="2:27" x14ac:dyDescent="0.25">
      <c r="B3453" s="42"/>
      <c r="AA3453" s="43"/>
    </row>
    <row r="3454" spans="2:27" x14ac:dyDescent="0.25">
      <c r="B3454" s="42"/>
      <c r="AA3454" s="43"/>
    </row>
    <row r="3455" spans="2:27" x14ac:dyDescent="0.25">
      <c r="B3455" s="42"/>
      <c r="AA3455" s="43"/>
    </row>
    <row r="3456" spans="2:27" x14ac:dyDescent="0.25">
      <c r="B3456" s="42"/>
      <c r="AA3456" s="43"/>
    </row>
    <row r="3457" spans="2:27" x14ac:dyDescent="0.25">
      <c r="B3457" s="42"/>
      <c r="AA3457" s="43"/>
    </row>
    <row r="3458" spans="2:27" x14ac:dyDescent="0.25">
      <c r="B3458" s="42"/>
      <c r="AA3458" s="43"/>
    </row>
    <row r="3459" spans="2:27" x14ac:dyDescent="0.25">
      <c r="B3459" s="42"/>
      <c r="AA3459" s="43"/>
    </row>
    <row r="3460" spans="2:27" x14ac:dyDescent="0.25">
      <c r="B3460" s="42"/>
      <c r="AA3460" s="43"/>
    </row>
    <row r="3461" spans="2:27" x14ac:dyDescent="0.25">
      <c r="B3461" s="42"/>
      <c r="AA3461" s="43"/>
    </row>
    <row r="3462" spans="2:27" x14ac:dyDescent="0.25">
      <c r="B3462" s="42"/>
      <c r="AA3462" s="43"/>
    </row>
    <row r="3463" spans="2:27" x14ac:dyDescent="0.25">
      <c r="B3463" s="42"/>
      <c r="AA3463" s="43"/>
    </row>
    <row r="3464" spans="2:27" x14ac:dyDescent="0.25">
      <c r="B3464" s="42"/>
      <c r="AA3464" s="43"/>
    </row>
    <row r="3465" spans="2:27" x14ac:dyDescent="0.25">
      <c r="B3465" s="42"/>
      <c r="AA3465" s="43"/>
    </row>
    <row r="3466" spans="2:27" x14ac:dyDescent="0.25">
      <c r="B3466" s="42"/>
      <c r="AA3466" s="43"/>
    </row>
    <row r="3467" spans="2:27" x14ac:dyDescent="0.25">
      <c r="B3467" s="42"/>
      <c r="AA3467" s="43"/>
    </row>
    <row r="3468" spans="2:27" x14ac:dyDescent="0.25">
      <c r="B3468" s="42"/>
      <c r="AA3468" s="43"/>
    </row>
    <row r="3469" spans="2:27" x14ac:dyDescent="0.25">
      <c r="B3469" s="42"/>
      <c r="AA3469" s="43"/>
    </row>
    <row r="3470" spans="2:27" x14ac:dyDescent="0.25">
      <c r="B3470" s="42"/>
      <c r="AA3470" s="43"/>
    </row>
    <row r="3471" spans="2:27" x14ac:dyDescent="0.25">
      <c r="B3471" s="42"/>
      <c r="AA3471" s="43"/>
    </row>
    <row r="3472" spans="2:27" x14ac:dyDescent="0.25">
      <c r="B3472" s="42"/>
      <c r="AA3472" s="43"/>
    </row>
    <row r="3473" spans="2:27" x14ac:dyDescent="0.25">
      <c r="B3473" s="42"/>
      <c r="AA3473" s="43"/>
    </row>
    <row r="3474" spans="2:27" x14ac:dyDescent="0.25">
      <c r="B3474" s="42"/>
      <c r="AA3474" s="43"/>
    </row>
    <row r="3475" spans="2:27" x14ac:dyDescent="0.25">
      <c r="B3475" s="42"/>
      <c r="AA3475" s="43"/>
    </row>
    <row r="3476" spans="2:27" x14ac:dyDescent="0.25">
      <c r="B3476" s="42"/>
      <c r="AA3476" s="43"/>
    </row>
    <row r="3477" spans="2:27" x14ac:dyDescent="0.25">
      <c r="B3477" s="42"/>
      <c r="AA3477" s="43"/>
    </row>
    <row r="3478" spans="2:27" x14ac:dyDescent="0.25">
      <c r="B3478" s="42"/>
      <c r="AA3478" s="43"/>
    </row>
    <row r="3479" spans="2:27" x14ac:dyDescent="0.25">
      <c r="B3479" s="42"/>
      <c r="AA3479" s="43"/>
    </row>
    <row r="3480" spans="2:27" x14ac:dyDescent="0.25">
      <c r="B3480" s="42"/>
      <c r="AA3480" s="43"/>
    </row>
    <row r="3481" spans="2:27" x14ac:dyDescent="0.25">
      <c r="B3481" s="42"/>
      <c r="AA3481" s="43"/>
    </row>
    <row r="3482" spans="2:27" x14ac:dyDescent="0.25">
      <c r="B3482" s="42"/>
      <c r="AA3482" s="43"/>
    </row>
    <row r="3483" spans="2:27" x14ac:dyDescent="0.25">
      <c r="B3483" s="42"/>
      <c r="AA3483" s="43"/>
    </row>
    <row r="3484" spans="2:27" x14ac:dyDescent="0.25">
      <c r="B3484" s="42"/>
      <c r="AA3484" s="43"/>
    </row>
    <row r="3485" spans="2:27" x14ac:dyDescent="0.25">
      <c r="B3485" s="42"/>
      <c r="AA3485" s="43"/>
    </row>
    <row r="3486" spans="2:27" x14ac:dyDescent="0.25">
      <c r="B3486" s="42"/>
      <c r="AA3486" s="43"/>
    </row>
    <row r="3487" spans="2:27" x14ac:dyDescent="0.25">
      <c r="B3487" s="42"/>
      <c r="AA3487" s="43"/>
    </row>
    <row r="3488" spans="2:27" x14ac:dyDescent="0.25">
      <c r="B3488" s="42"/>
      <c r="AA3488" s="43"/>
    </row>
    <row r="3489" spans="2:27" x14ac:dyDescent="0.25">
      <c r="B3489" s="42"/>
      <c r="AA3489" s="43"/>
    </row>
    <row r="3490" spans="2:27" x14ac:dyDescent="0.25">
      <c r="B3490" s="42"/>
      <c r="AA3490" s="43"/>
    </row>
    <row r="3491" spans="2:27" x14ac:dyDescent="0.25">
      <c r="B3491" s="42"/>
      <c r="AA3491" s="43"/>
    </row>
    <row r="3492" spans="2:27" x14ac:dyDescent="0.25">
      <c r="B3492" s="42"/>
      <c r="AA3492" s="43"/>
    </row>
    <row r="3493" spans="2:27" x14ac:dyDescent="0.25">
      <c r="B3493" s="42"/>
      <c r="AA3493" s="43"/>
    </row>
    <row r="3494" spans="2:27" x14ac:dyDescent="0.25">
      <c r="B3494" s="42"/>
      <c r="AA3494" s="43"/>
    </row>
    <row r="3495" spans="2:27" x14ac:dyDescent="0.25">
      <c r="B3495" s="42"/>
      <c r="AA3495" s="43"/>
    </row>
    <row r="3496" spans="2:27" x14ac:dyDescent="0.25">
      <c r="B3496" s="42"/>
      <c r="AA3496" s="43"/>
    </row>
    <row r="3497" spans="2:27" x14ac:dyDescent="0.25">
      <c r="B3497" s="42"/>
      <c r="AA3497" s="43"/>
    </row>
    <row r="3498" spans="2:27" x14ac:dyDescent="0.25">
      <c r="B3498" s="42"/>
      <c r="AA3498" s="43"/>
    </row>
    <row r="3499" spans="2:27" x14ac:dyDescent="0.25">
      <c r="B3499" s="42"/>
      <c r="AA3499" s="43"/>
    </row>
    <row r="3500" spans="2:27" x14ac:dyDescent="0.25">
      <c r="B3500" s="42"/>
      <c r="AA3500" s="43"/>
    </row>
    <row r="3501" spans="2:27" x14ac:dyDescent="0.25">
      <c r="B3501" s="42"/>
      <c r="AA3501" s="43"/>
    </row>
    <row r="3502" spans="2:27" x14ac:dyDescent="0.25">
      <c r="B3502" s="42"/>
      <c r="AA3502" s="43"/>
    </row>
    <row r="3503" spans="2:27" x14ac:dyDescent="0.25">
      <c r="B3503" s="42"/>
      <c r="AA3503" s="43"/>
    </row>
    <row r="3504" spans="2:27" x14ac:dyDescent="0.25">
      <c r="B3504" s="42"/>
      <c r="AA3504" s="43"/>
    </row>
    <row r="3505" spans="2:27" x14ac:dyDescent="0.25">
      <c r="B3505" s="42"/>
      <c r="AA3505" s="43"/>
    </row>
    <row r="3506" spans="2:27" x14ac:dyDescent="0.25">
      <c r="B3506" s="42"/>
      <c r="AA3506" s="43"/>
    </row>
    <row r="3507" spans="2:27" x14ac:dyDescent="0.25">
      <c r="B3507" s="42"/>
      <c r="AA3507" s="43"/>
    </row>
    <row r="3508" spans="2:27" x14ac:dyDescent="0.25">
      <c r="B3508" s="42"/>
      <c r="AA3508" s="43"/>
    </row>
    <row r="3509" spans="2:27" x14ac:dyDescent="0.25">
      <c r="B3509" s="42"/>
      <c r="AA3509" s="43"/>
    </row>
    <row r="3510" spans="2:27" x14ac:dyDescent="0.25">
      <c r="B3510" s="42"/>
      <c r="AA3510" s="43"/>
    </row>
    <row r="3511" spans="2:27" x14ac:dyDescent="0.25">
      <c r="B3511" s="42"/>
      <c r="AA3511" s="43"/>
    </row>
    <row r="3512" spans="2:27" x14ac:dyDescent="0.25">
      <c r="B3512" s="42"/>
      <c r="AA3512" s="43"/>
    </row>
    <row r="3513" spans="2:27" x14ac:dyDescent="0.25">
      <c r="B3513" s="42"/>
      <c r="AA3513" s="43"/>
    </row>
    <row r="3514" spans="2:27" x14ac:dyDescent="0.25">
      <c r="B3514" s="42"/>
      <c r="AA3514" s="43"/>
    </row>
    <row r="3515" spans="2:27" x14ac:dyDescent="0.25">
      <c r="B3515" s="42"/>
      <c r="AA3515" s="43"/>
    </row>
    <row r="3516" spans="2:27" x14ac:dyDescent="0.25">
      <c r="B3516" s="42"/>
      <c r="AA3516" s="43"/>
    </row>
    <row r="3517" spans="2:27" x14ac:dyDescent="0.25">
      <c r="B3517" s="42"/>
      <c r="AA3517" s="43"/>
    </row>
    <row r="3518" spans="2:27" x14ac:dyDescent="0.25">
      <c r="B3518" s="42"/>
      <c r="AA3518" s="43"/>
    </row>
    <row r="3519" spans="2:27" x14ac:dyDescent="0.25">
      <c r="B3519" s="42"/>
      <c r="AA3519" s="43"/>
    </row>
    <row r="3520" spans="2:27" x14ac:dyDescent="0.25">
      <c r="B3520" s="42"/>
      <c r="AA3520" s="43"/>
    </row>
    <row r="3521" spans="2:27" x14ac:dyDescent="0.25">
      <c r="B3521" s="42"/>
      <c r="AA3521" s="43"/>
    </row>
    <row r="3522" spans="2:27" x14ac:dyDescent="0.25">
      <c r="B3522" s="42"/>
      <c r="AA3522" s="43"/>
    </row>
    <row r="3523" spans="2:27" x14ac:dyDescent="0.25">
      <c r="B3523" s="42"/>
      <c r="AA3523" s="43"/>
    </row>
    <row r="3524" spans="2:27" x14ac:dyDescent="0.25">
      <c r="B3524" s="42"/>
      <c r="AA3524" s="43"/>
    </row>
    <row r="3525" spans="2:27" x14ac:dyDescent="0.25">
      <c r="B3525" s="42"/>
      <c r="AA3525" s="43"/>
    </row>
    <row r="3526" spans="2:27" x14ac:dyDescent="0.25">
      <c r="B3526" s="42"/>
      <c r="AA3526" s="43"/>
    </row>
    <row r="3527" spans="2:27" x14ac:dyDescent="0.25">
      <c r="B3527" s="42"/>
      <c r="AA3527" s="43"/>
    </row>
    <row r="3528" spans="2:27" x14ac:dyDescent="0.25">
      <c r="B3528" s="42"/>
      <c r="AA3528" s="43"/>
    </row>
    <row r="3529" spans="2:27" x14ac:dyDescent="0.25">
      <c r="B3529" s="42"/>
      <c r="AA3529" s="43"/>
    </row>
    <row r="3530" spans="2:27" x14ac:dyDescent="0.25">
      <c r="B3530" s="42"/>
      <c r="AA3530" s="43"/>
    </row>
    <row r="3531" spans="2:27" x14ac:dyDescent="0.25">
      <c r="B3531" s="42"/>
      <c r="AA3531" s="43"/>
    </row>
    <row r="3532" spans="2:27" x14ac:dyDescent="0.25">
      <c r="B3532" s="42"/>
      <c r="AA3532" s="43"/>
    </row>
    <row r="3533" spans="2:27" x14ac:dyDescent="0.25">
      <c r="B3533" s="42"/>
      <c r="AA3533" s="43"/>
    </row>
    <row r="3534" spans="2:27" x14ac:dyDescent="0.25">
      <c r="B3534" s="42"/>
      <c r="AA3534" s="43"/>
    </row>
    <row r="3535" spans="2:27" x14ac:dyDescent="0.25">
      <c r="B3535" s="42"/>
      <c r="AA3535" s="43"/>
    </row>
    <row r="3536" spans="2:27" x14ac:dyDescent="0.25">
      <c r="B3536" s="42"/>
      <c r="AA3536" s="43"/>
    </row>
    <row r="3537" spans="2:27" x14ac:dyDescent="0.25">
      <c r="B3537" s="42"/>
      <c r="AA3537" s="43"/>
    </row>
    <row r="3538" spans="2:27" x14ac:dyDescent="0.25">
      <c r="B3538" s="42"/>
      <c r="AA3538" s="43"/>
    </row>
    <row r="3539" spans="2:27" x14ac:dyDescent="0.25">
      <c r="B3539" s="42"/>
      <c r="AA3539" s="43"/>
    </row>
    <row r="3540" spans="2:27" x14ac:dyDescent="0.25">
      <c r="B3540" s="42"/>
      <c r="AA3540" s="43"/>
    </row>
    <row r="3541" spans="2:27" x14ac:dyDescent="0.25">
      <c r="B3541" s="42"/>
      <c r="AA3541" s="43"/>
    </row>
    <row r="3542" spans="2:27" x14ac:dyDescent="0.25">
      <c r="B3542" s="42"/>
      <c r="AA3542" s="43"/>
    </row>
    <row r="3543" spans="2:27" x14ac:dyDescent="0.25">
      <c r="B3543" s="42"/>
      <c r="AA3543" s="43"/>
    </row>
    <row r="3544" spans="2:27" x14ac:dyDescent="0.25">
      <c r="B3544" s="42"/>
      <c r="AA3544" s="43"/>
    </row>
    <row r="3545" spans="2:27" x14ac:dyDescent="0.25">
      <c r="B3545" s="42"/>
      <c r="AA3545" s="43"/>
    </row>
    <row r="3546" spans="2:27" x14ac:dyDescent="0.25">
      <c r="B3546" s="42"/>
      <c r="AA3546" s="43"/>
    </row>
    <row r="3547" spans="2:27" x14ac:dyDescent="0.25">
      <c r="B3547" s="42"/>
      <c r="AA3547" s="43"/>
    </row>
    <row r="3548" spans="2:27" x14ac:dyDescent="0.25">
      <c r="B3548" s="42"/>
      <c r="AA3548" s="43"/>
    </row>
    <row r="3549" spans="2:27" x14ac:dyDescent="0.25">
      <c r="B3549" s="42"/>
      <c r="AA3549" s="43"/>
    </row>
    <row r="3550" spans="2:27" x14ac:dyDescent="0.25">
      <c r="B3550" s="42"/>
      <c r="AA3550" s="43"/>
    </row>
    <row r="3551" spans="2:27" x14ac:dyDescent="0.25">
      <c r="B3551" s="42"/>
      <c r="AA3551" s="43"/>
    </row>
    <row r="3552" spans="2:27" x14ac:dyDescent="0.25">
      <c r="B3552" s="42"/>
      <c r="AA3552" s="43"/>
    </row>
    <row r="3553" spans="2:27" x14ac:dyDescent="0.25">
      <c r="B3553" s="42"/>
      <c r="AA3553" s="43"/>
    </row>
    <row r="3554" spans="2:27" x14ac:dyDescent="0.25">
      <c r="B3554" s="42"/>
      <c r="AA3554" s="43"/>
    </row>
    <row r="3555" spans="2:27" x14ac:dyDescent="0.25">
      <c r="B3555" s="42"/>
      <c r="AA3555" s="43"/>
    </row>
    <row r="3556" spans="2:27" x14ac:dyDescent="0.25">
      <c r="B3556" s="42"/>
      <c r="AA3556" s="43"/>
    </row>
    <row r="3557" spans="2:27" x14ac:dyDescent="0.25">
      <c r="B3557" s="42"/>
      <c r="AA3557" s="43"/>
    </row>
    <row r="3558" spans="2:27" x14ac:dyDescent="0.25">
      <c r="B3558" s="42"/>
      <c r="AA3558" s="43"/>
    </row>
    <row r="3559" spans="2:27" x14ac:dyDescent="0.25">
      <c r="B3559" s="42"/>
      <c r="AA3559" s="43"/>
    </row>
    <row r="3560" spans="2:27" x14ac:dyDescent="0.25">
      <c r="B3560" s="42"/>
      <c r="AA3560" s="43"/>
    </row>
    <row r="3561" spans="2:27" x14ac:dyDescent="0.25">
      <c r="B3561" s="42"/>
      <c r="AA3561" s="43"/>
    </row>
    <row r="3562" spans="2:27" x14ac:dyDescent="0.25">
      <c r="B3562" s="42"/>
      <c r="AA3562" s="43"/>
    </row>
    <row r="3563" spans="2:27" x14ac:dyDescent="0.25">
      <c r="B3563" s="42"/>
      <c r="AA3563" s="43"/>
    </row>
    <row r="3564" spans="2:27" x14ac:dyDescent="0.25">
      <c r="B3564" s="42"/>
      <c r="AA3564" s="43"/>
    </row>
    <row r="3565" spans="2:27" x14ac:dyDescent="0.25">
      <c r="B3565" s="42"/>
      <c r="AA3565" s="43"/>
    </row>
    <row r="3566" spans="2:27" x14ac:dyDescent="0.25">
      <c r="B3566" s="42"/>
      <c r="AA3566" s="43"/>
    </row>
    <row r="3567" spans="2:27" x14ac:dyDescent="0.25">
      <c r="B3567" s="42"/>
      <c r="AA3567" s="43"/>
    </row>
    <row r="3568" spans="2:27" x14ac:dyDescent="0.25">
      <c r="B3568" s="42"/>
      <c r="AA3568" s="43"/>
    </row>
    <row r="3569" spans="2:27" x14ac:dyDescent="0.25">
      <c r="B3569" s="42"/>
      <c r="AA3569" s="43"/>
    </row>
    <row r="3570" spans="2:27" x14ac:dyDescent="0.25">
      <c r="B3570" s="42"/>
      <c r="AA3570" s="43"/>
    </row>
    <row r="3571" spans="2:27" x14ac:dyDescent="0.25">
      <c r="B3571" s="42"/>
      <c r="AA3571" s="43"/>
    </row>
    <row r="3572" spans="2:27" x14ac:dyDescent="0.25">
      <c r="B3572" s="42"/>
      <c r="AA3572" s="43"/>
    </row>
    <row r="3573" spans="2:27" x14ac:dyDescent="0.25">
      <c r="B3573" s="42"/>
      <c r="AA3573" s="43"/>
    </row>
    <row r="3574" spans="2:27" x14ac:dyDescent="0.25">
      <c r="B3574" s="42"/>
      <c r="AA3574" s="43"/>
    </row>
    <row r="3575" spans="2:27" x14ac:dyDescent="0.25">
      <c r="B3575" s="42"/>
      <c r="AA3575" s="43"/>
    </row>
    <row r="3576" spans="2:27" x14ac:dyDescent="0.25">
      <c r="B3576" s="42"/>
      <c r="AA3576" s="43"/>
    </row>
    <row r="3577" spans="2:27" x14ac:dyDescent="0.25">
      <c r="B3577" s="42"/>
      <c r="AA3577" s="43"/>
    </row>
    <row r="3578" spans="2:27" x14ac:dyDescent="0.25">
      <c r="B3578" s="42"/>
      <c r="AA3578" s="43"/>
    </row>
    <row r="3579" spans="2:27" x14ac:dyDescent="0.25">
      <c r="B3579" s="42"/>
      <c r="AA3579" s="43"/>
    </row>
    <row r="3580" spans="2:27" x14ac:dyDescent="0.25">
      <c r="B3580" s="42"/>
      <c r="AA3580" s="43"/>
    </row>
    <row r="3581" spans="2:27" x14ac:dyDescent="0.25">
      <c r="B3581" s="42"/>
      <c r="AA3581" s="43"/>
    </row>
    <row r="3582" spans="2:27" x14ac:dyDescent="0.25">
      <c r="B3582" s="42"/>
      <c r="AA3582" s="43"/>
    </row>
    <row r="3583" spans="2:27" x14ac:dyDescent="0.25">
      <c r="B3583" s="42"/>
      <c r="AA3583" s="43"/>
    </row>
    <row r="3584" spans="2:27" x14ac:dyDescent="0.25">
      <c r="B3584" s="42"/>
      <c r="AA3584" s="43"/>
    </row>
    <row r="3585" spans="2:27" x14ac:dyDescent="0.25">
      <c r="B3585" s="42"/>
      <c r="AA3585" s="43"/>
    </row>
    <row r="3586" spans="2:27" x14ac:dyDescent="0.25">
      <c r="B3586" s="42"/>
      <c r="AA3586" s="43"/>
    </row>
    <row r="3587" spans="2:27" x14ac:dyDescent="0.25">
      <c r="B3587" s="42"/>
      <c r="AA3587" s="43"/>
    </row>
    <row r="3588" spans="2:27" x14ac:dyDescent="0.25">
      <c r="B3588" s="42"/>
      <c r="AA3588" s="43"/>
    </row>
    <row r="3589" spans="2:27" x14ac:dyDescent="0.25">
      <c r="B3589" s="42"/>
      <c r="AA3589" s="43"/>
    </row>
    <row r="3590" spans="2:27" x14ac:dyDescent="0.25">
      <c r="B3590" s="42"/>
      <c r="AA3590" s="43"/>
    </row>
    <row r="3591" spans="2:27" x14ac:dyDescent="0.25">
      <c r="B3591" s="42"/>
      <c r="AA3591" s="43"/>
    </row>
    <row r="3592" spans="2:27" x14ac:dyDescent="0.25">
      <c r="B3592" s="42"/>
      <c r="AA3592" s="43"/>
    </row>
    <row r="3593" spans="2:27" x14ac:dyDescent="0.25">
      <c r="B3593" s="42"/>
      <c r="AA3593" s="43"/>
    </row>
    <row r="3594" spans="2:27" x14ac:dyDescent="0.25">
      <c r="B3594" s="42"/>
      <c r="AA3594" s="43"/>
    </row>
    <row r="3595" spans="2:27" x14ac:dyDescent="0.25">
      <c r="B3595" s="42"/>
      <c r="AA3595" s="43"/>
    </row>
    <row r="3596" spans="2:27" x14ac:dyDescent="0.25">
      <c r="B3596" s="42"/>
      <c r="AA3596" s="43"/>
    </row>
    <row r="3597" spans="2:27" x14ac:dyDescent="0.25">
      <c r="B3597" s="42"/>
      <c r="AA3597" s="43"/>
    </row>
    <row r="3598" spans="2:27" x14ac:dyDescent="0.25">
      <c r="B3598" s="42"/>
      <c r="AA3598" s="43"/>
    </row>
    <row r="3599" spans="2:27" x14ac:dyDescent="0.25">
      <c r="B3599" s="42"/>
      <c r="AA3599" s="43"/>
    </row>
    <row r="3600" spans="2:27" x14ac:dyDescent="0.25">
      <c r="B3600" s="42"/>
      <c r="AA3600" s="43"/>
    </row>
    <row r="3601" spans="2:27" x14ac:dyDescent="0.25">
      <c r="B3601" s="42"/>
      <c r="AA3601" s="43"/>
    </row>
    <row r="3602" spans="2:27" x14ac:dyDescent="0.25">
      <c r="B3602" s="42"/>
      <c r="AA3602" s="43"/>
    </row>
    <row r="3603" spans="2:27" x14ac:dyDescent="0.25">
      <c r="B3603" s="42"/>
      <c r="AA3603" s="43"/>
    </row>
    <row r="3604" spans="2:27" x14ac:dyDescent="0.25">
      <c r="B3604" s="42"/>
      <c r="AA3604" s="43"/>
    </row>
    <row r="3605" spans="2:27" x14ac:dyDescent="0.25">
      <c r="B3605" s="42"/>
      <c r="AA3605" s="43"/>
    </row>
    <row r="3606" spans="2:27" x14ac:dyDescent="0.25">
      <c r="B3606" s="42"/>
      <c r="AA3606" s="43"/>
    </row>
    <row r="3607" spans="2:27" x14ac:dyDescent="0.25">
      <c r="B3607" s="42"/>
      <c r="AA3607" s="43"/>
    </row>
    <row r="3608" spans="2:27" x14ac:dyDescent="0.25">
      <c r="B3608" s="42"/>
      <c r="AA3608" s="43"/>
    </row>
    <row r="3609" spans="2:27" x14ac:dyDescent="0.25">
      <c r="B3609" s="42"/>
      <c r="AA3609" s="43"/>
    </row>
    <row r="3610" spans="2:27" x14ac:dyDescent="0.25">
      <c r="B3610" s="42"/>
      <c r="AA3610" s="43"/>
    </row>
    <row r="3611" spans="2:27" x14ac:dyDescent="0.25">
      <c r="B3611" s="42"/>
      <c r="AA3611" s="43"/>
    </row>
    <row r="3612" spans="2:27" x14ac:dyDescent="0.25">
      <c r="B3612" s="42"/>
      <c r="AA3612" s="43"/>
    </row>
    <row r="3613" spans="2:27" x14ac:dyDescent="0.25">
      <c r="B3613" s="42"/>
      <c r="AA3613" s="43"/>
    </row>
    <row r="3614" spans="2:27" x14ac:dyDescent="0.25">
      <c r="B3614" s="42"/>
      <c r="AA3614" s="43"/>
    </row>
    <row r="3615" spans="2:27" x14ac:dyDescent="0.25">
      <c r="B3615" s="42"/>
      <c r="AA3615" s="43"/>
    </row>
    <row r="3616" spans="2:27" x14ac:dyDescent="0.25">
      <c r="B3616" s="42"/>
      <c r="AA3616" s="43"/>
    </row>
    <row r="3617" spans="2:27" x14ac:dyDescent="0.25">
      <c r="B3617" s="42"/>
      <c r="AA3617" s="43"/>
    </row>
    <row r="3618" spans="2:27" x14ac:dyDescent="0.25">
      <c r="B3618" s="42"/>
      <c r="AA3618" s="43"/>
    </row>
    <row r="3619" spans="2:27" x14ac:dyDescent="0.25">
      <c r="B3619" s="42"/>
      <c r="AA3619" s="43"/>
    </row>
    <row r="3620" spans="2:27" x14ac:dyDescent="0.25">
      <c r="B3620" s="42"/>
      <c r="AA3620" s="43"/>
    </row>
    <row r="3621" spans="2:27" x14ac:dyDescent="0.25">
      <c r="B3621" s="42"/>
      <c r="AA3621" s="43"/>
    </row>
    <row r="3622" spans="2:27" x14ac:dyDescent="0.25">
      <c r="B3622" s="42"/>
      <c r="AA3622" s="43"/>
    </row>
    <row r="3623" spans="2:27" x14ac:dyDescent="0.25">
      <c r="B3623" s="42"/>
      <c r="AA3623" s="43"/>
    </row>
    <row r="3624" spans="2:27" x14ac:dyDescent="0.25">
      <c r="B3624" s="42"/>
      <c r="AA3624" s="43"/>
    </row>
    <row r="3625" spans="2:27" x14ac:dyDescent="0.25">
      <c r="B3625" s="42"/>
      <c r="AA3625" s="43"/>
    </row>
    <row r="3626" spans="2:27" x14ac:dyDescent="0.25">
      <c r="B3626" s="42"/>
      <c r="AA3626" s="43"/>
    </row>
    <row r="3627" spans="2:27" x14ac:dyDescent="0.25">
      <c r="B3627" s="42"/>
      <c r="AA3627" s="43"/>
    </row>
    <row r="3628" spans="2:27" x14ac:dyDescent="0.25">
      <c r="B3628" s="42"/>
      <c r="AA3628" s="43"/>
    </row>
    <row r="3629" spans="2:27" x14ac:dyDescent="0.25">
      <c r="B3629" s="42"/>
      <c r="AA3629" s="43"/>
    </row>
    <row r="3630" spans="2:27" x14ac:dyDescent="0.25">
      <c r="B3630" s="42"/>
      <c r="AA3630" s="43"/>
    </row>
    <row r="3631" spans="2:27" x14ac:dyDescent="0.25">
      <c r="B3631" s="42"/>
      <c r="AA3631" s="43"/>
    </row>
    <row r="3632" spans="2:27" x14ac:dyDescent="0.25">
      <c r="B3632" s="42"/>
      <c r="AA3632" s="43"/>
    </row>
    <row r="3633" spans="2:27" x14ac:dyDescent="0.25">
      <c r="B3633" s="42"/>
      <c r="AA3633" s="43"/>
    </row>
    <row r="3634" spans="2:27" x14ac:dyDescent="0.25">
      <c r="B3634" s="42"/>
      <c r="AA3634" s="43"/>
    </row>
    <row r="3635" spans="2:27" x14ac:dyDescent="0.25">
      <c r="B3635" s="42"/>
      <c r="AA3635" s="43"/>
    </row>
    <row r="3636" spans="2:27" x14ac:dyDescent="0.25">
      <c r="B3636" s="42"/>
      <c r="AA3636" s="43"/>
    </row>
    <row r="3637" spans="2:27" x14ac:dyDescent="0.25">
      <c r="B3637" s="42"/>
      <c r="AA3637" s="43"/>
    </row>
    <row r="3638" spans="2:27" x14ac:dyDescent="0.25">
      <c r="B3638" s="42"/>
      <c r="AA3638" s="43"/>
    </row>
    <row r="3639" spans="2:27" x14ac:dyDescent="0.25">
      <c r="B3639" s="42"/>
      <c r="AA3639" s="43"/>
    </row>
    <row r="3640" spans="2:27" x14ac:dyDescent="0.25">
      <c r="B3640" s="42"/>
      <c r="AA3640" s="43"/>
    </row>
    <row r="3641" spans="2:27" x14ac:dyDescent="0.25">
      <c r="B3641" s="42"/>
      <c r="AA3641" s="43"/>
    </row>
    <row r="3642" spans="2:27" x14ac:dyDescent="0.25">
      <c r="B3642" s="42"/>
      <c r="AA3642" s="43"/>
    </row>
    <row r="3643" spans="2:27" x14ac:dyDescent="0.25">
      <c r="B3643" s="42"/>
      <c r="AA3643" s="43"/>
    </row>
    <row r="3644" spans="2:27" x14ac:dyDescent="0.25">
      <c r="B3644" s="42"/>
      <c r="AA3644" s="43"/>
    </row>
    <row r="3645" spans="2:27" x14ac:dyDescent="0.25">
      <c r="B3645" s="42"/>
      <c r="AA3645" s="43"/>
    </row>
    <row r="3646" spans="2:27" x14ac:dyDescent="0.25">
      <c r="B3646" s="42"/>
      <c r="AA3646" s="43"/>
    </row>
    <row r="3647" spans="2:27" x14ac:dyDescent="0.25">
      <c r="B3647" s="42"/>
      <c r="AA3647" s="43"/>
    </row>
    <row r="3648" spans="2:27" x14ac:dyDescent="0.25">
      <c r="B3648" s="42"/>
      <c r="AA3648" s="43"/>
    </row>
    <row r="3649" spans="2:27" x14ac:dyDescent="0.25">
      <c r="B3649" s="42"/>
      <c r="AA3649" s="43"/>
    </row>
    <row r="3650" spans="2:27" x14ac:dyDescent="0.25">
      <c r="B3650" s="42"/>
      <c r="AA3650" s="43"/>
    </row>
    <row r="3651" spans="2:27" x14ac:dyDescent="0.25">
      <c r="B3651" s="42"/>
      <c r="AA3651" s="43"/>
    </row>
    <row r="3652" spans="2:27" x14ac:dyDescent="0.25">
      <c r="B3652" s="42"/>
      <c r="AA3652" s="43"/>
    </row>
    <row r="3653" spans="2:27" x14ac:dyDescent="0.25">
      <c r="B3653" s="42"/>
      <c r="AA3653" s="43"/>
    </row>
    <row r="3654" spans="2:27" x14ac:dyDescent="0.25">
      <c r="B3654" s="42"/>
      <c r="AA3654" s="43"/>
    </row>
    <row r="3655" spans="2:27" x14ac:dyDescent="0.25">
      <c r="B3655" s="42"/>
      <c r="AA3655" s="43"/>
    </row>
    <row r="3656" spans="2:27" x14ac:dyDescent="0.25">
      <c r="B3656" s="42"/>
      <c r="AA3656" s="43"/>
    </row>
    <row r="3657" spans="2:27" x14ac:dyDescent="0.25">
      <c r="B3657" s="42"/>
      <c r="AA3657" s="43"/>
    </row>
    <row r="3658" spans="2:27" x14ac:dyDescent="0.25">
      <c r="B3658" s="42"/>
      <c r="AA3658" s="43"/>
    </row>
    <row r="3659" spans="2:27" x14ac:dyDescent="0.25">
      <c r="B3659" s="42"/>
      <c r="AA3659" s="43"/>
    </row>
    <row r="3660" spans="2:27" x14ac:dyDescent="0.25">
      <c r="B3660" s="42"/>
      <c r="AA3660" s="43"/>
    </row>
    <row r="3661" spans="2:27" x14ac:dyDescent="0.25">
      <c r="B3661" s="42"/>
      <c r="AA3661" s="43"/>
    </row>
    <row r="3662" spans="2:27" x14ac:dyDescent="0.25">
      <c r="B3662" s="42"/>
      <c r="AA3662" s="43"/>
    </row>
    <row r="3663" spans="2:27" x14ac:dyDescent="0.25">
      <c r="B3663" s="42"/>
      <c r="AA3663" s="43"/>
    </row>
    <row r="3664" spans="2:27" x14ac:dyDescent="0.25">
      <c r="B3664" s="42"/>
      <c r="AA3664" s="43"/>
    </row>
    <row r="3665" spans="2:27" x14ac:dyDescent="0.25">
      <c r="B3665" s="42"/>
      <c r="AA3665" s="43"/>
    </row>
    <row r="3666" spans="2:27" x14ac:dyDescent="0.25">
      <c r="B3666" s="42"/>
      <c r="AA3666" s="43"/>
    </row>
    <row r="3667" spans="2:27" x14ac:dyDescent="0.25">
      <c r="B3667" s="42"/>
      <c r="AA3667" s="43"/>
    </row>
    <row r="3668" spans="2:27" x14ac:dyDescent="0.25">
      <c r="B3668" s="42"/>
      <c r="AA3668" s="43"/>
    </row>
    <row r="3669" spans="2:27" x14ac:dyDescent="0.25">
      <c r="B3669" s="42"/>
      <c r="AA3669" s="43"/>
    </row>
    <row r="3670" spans="2:27" x14ac:dyDescent="0.25">
      <c r="B3670" s="42"/>
      <c r="AA3670" s="43"/>
    </row>
    <row r="3671" spans="2:27" x14ac:dyDescent="0.25">
      <c r="B3671" s="42"/>
      <c r="AA3671" s="43"/>
    </row>
    <row r="3672" spans="2:27" x14ac:dyDescent="0.25">
      <c r="B3672" s="42"/>
      <c r="AA3672" s="43"/>
    </row>
    <row r="3673" spans="2:27" x14ac:dyDescent="0.25">
      <c r="B3673" s="42"/>
      <c r="AA3673" s="43"/>
    </row>
    <row r="3674" spans="2:27" x14ac:dyDescent="0.25">
      <c r="B3674" s="42"/>
      <c r="AA3674" s="43"/>
    </row>
    <row r="3675" spans="2:27" x14ac:dyDescent="0.25">
      <c r="B3675" s="42"/>
      <c r="AA3675" s="43"/>
    </row>
    <row r="3676" spans="2:27" x14ac:dyDescent="0.25">
      <c r="B3676" s="42"/>
      <c r="AA3676" s="43"/>
    </row>
    <row r="3677" spans="2:27" x14ac:dyDescent="0.25">
      <c r="B3677" s="42"/>
      <c r="AA3677" s="43"/>
    </row>
    <row r="3678" spans="2:27" x14ac:dyDescent="0.25">
      <c r="B3678" s="42"/>
      <c r="AA3678" s="43"/>
    </row>
    <row r="3679" spans="2:27" x14ac:dyDescent="0.25">
      <c r="B3679" s="42"/>
      <c r="AA3679" s="43"/>
    </row>
    <row r="3680" spans="2:27" x14ac:dyDescent="0.25">
      <c r="B3680" s="42"/>
      <c r="AA3680" s="43"/>
    </row>
    <row r="3681" spans="2:27" x14ac:dyDescent="0.25">
      <c r="B3681" s="42"/>
      <c r="AA3681" s="43"/>
    </row>
    <row r="3682" spans="2:27" x14ac:dyDescent="0.25">
      <c r="B3682" s="42"/>
      <c r="AA3682" s="43"/>
    </row>
    <row r="3683" spans="2:27" x14ac:dyDescent="0.25">
      <c r="B3683" s="42"/>
      <c r="AA3683" s="43"/>
    </row>
    <row r="3684" spans="2:27" x14ac:dyDescent="0.25">
      <c r="B3684" s="42"/>
      <c r="AA3684" s="43"/>
    </row>
    <row r="3685" spans="2:27" x14ac:dyDescent="0.25">
      <c r="B3685" s="42"/>
      <c r="AA3685" s="43"/>
    </row>
    <row r="3686" spans="2:27" x14ac:dyDescent="0.25">
      <c r="B3686" s="42"/>
      <c r="AA3686" s="43"/>
    </row>
    <row r="3687" spans="2:27" x14ac:dyDescent="0.25">
      <c r="B3687" s="42"/>
      <c r="AA3687" s="43"/>
    </row>
    <row r="3688" spans="2:27" x14ac:dyDescent="0.25">
      <c r="B3688" s="42"/>
      <c r="AA3688" s="43"/>
    </row>
    <row r="3689" spans="2:27" x14ac:dyDescent="0.25">
      <c r="B3689" s="42"/>
      <c r="AA3689" s="43"/>
    </row>
    <row r="3690" spans="2:27" x14ac:dyDescent="0.25">
      <c r="B3690" s="42"/>
      <c r="AA3690" s="43"/>
    </row>
    <row r="3691" spans="2:27" x14ac:dyDescent="0.25">
      <c r="B3691" s="42"/>
      <c r="AA3691" s="43"/>
    </row>
    <row r="3692" spans="2:27" x14ac:dyDescent="0.25">
      <c r="B3692" s="42"/>
      <c r="AA3692" s="43"/>
    </row>
    <row r="3693" spans="2:27" x14ac:dyDescent="0.25">
      <c r="B3693" s="42"/>
      <c r="AA3693" s="43"/>
    </row>
    <row r="3694" spans="2:27" x14ac:dyDescent="0.25">
      <c r="B3694" s="42"/>
      <c r="AA3694" s="43"/>
    </row>
    <row r="3695" spans="2:27" x14ac:dyDescent="0.25">
      <c r="B3695" s="42"/>
      <c r="AA3695" s="43"/>
    </row>
    <row r="3696" spans="2:27" x14ac:dyDescent="0.25">
      <c r="B3696" s="42"/>
      <c r="AA3696" s="43"/>
    </row>
    <row r="3697" spans="2:27" x14ac:dyDescent="0.25">
      <c r="B3697" s="42"/>
      <c r="AA3697" s="43"/>
    </row>
    <row r="3698" spans="2:27" x14ac:dyDescent="0.25">
      <c r="B3698" s="42"/>
      <c r="AA3698" s="43"/>
    </row>
    <row r="3699" spans="2:27" x14ac:dyDescent="0.25">
      <c r="B3699" s="42"/>
      <c r="AA3699" s="43"/>
    </row>
    <row r="3700" spans="2:27" x14ac:dyDescent="0.25">
      <c r="B3700" s="42"/>
      <c r="AA3700" s="43"/>
    </row>
    <row r="3701" spans="2:27" x14ac:dyDescent="0.25">
      <c r="B3701" s="42"/>
      <c r="AA3701" s="43"/>
    </row>
    <row r="3702" spans="2:27" x14ac:dyDescent="0.25">
      <c r="B3702" s="42"/>
      <c r="AA3702" s="43"/>
    </row>
    <row r="3703" spans="2:27" x14ac:dyDescent="0.25">
      <c r="B3703" s="42"/>
      <c r="AA3703" s="43"/>
    </row>
    <row r="3704" spans="2:27" x14ac:dyDescent="0.25">
      <c r="B3704" s="42"/>
      <c r="AA3704" s="43"/>
    </row>
    <row r="3705" spans="2:27" x14ac:dyDescent="0.25">
      <c r="B3705" s="42"/>
      <c r="AA3705" s="43"/>
    </row>
    <row r="3706" spans="2:27" x14ac:dyDescent="0.25">
      <c r="B3706" s="42"/>
      <c r="AA3706" s="43"/>
    </row>
    <row r="3707" spans="2:27" x14ac:dyDescent="0.25">
      <c r="B3707" s="42"/>
      <c r="AA3707" s="43"/>
    </row>
    <row r="3708" spans="2:27" x14ac:dyDescent="0.25">
      <c r="B3708" s="42"/>
      <c r="AA3708" s="43"/>
    </row>
    <row r="3709" spans="2:27" x14ac:dyDescent="0.25">
      <c r="B3709" s="42"/>
      <c r="AA3709" s="43"/>
    </row>
    <row r="3710" spans="2:27" x14ac:dyDescent="0.25">
      <c r="B3710" s="42"/>
      <c r="AA3710" s="43"/>
    </row>
    <row r="3711" spans="2:27" x14ac:dyDescent="0.25">
      <c r="B3711" s="42"/>
      <c r="AA3711" s="43"/>
    </row>
    <row r="3712" spans="2:27" x14ac:dyDescent="0.25">
      <c r="B3712" s="42"/>
      <c r="AA3712" s="43"/>
    </row>
    <row r="3713" spans="2:27" x14ac:dyDescent="0.25">
      <c r="B3713" s="42"/>
      <c r="AA3713" s="43"/>
    </row>
    <row r="3714" spans="2:27" x14ac:dyDescent="0.25">
      <c r="B3714" s="42"/>
      <c r="AA3714" s="43"/>
    </row>
    <row r="3715" spans="2:27" x14ac:dyDescent="0.25">
      <c r="B3715" s="42"/>
      <c r="AA3715" s="43"/>
    </row>
    <row r="3716" spans="2:27" x14ac:dyDescent="0.25">
      <c r="B3716" s="42"/>
      <c r="AA3716" s="43"/>
    </row>
    <row r="3717" spans="2:27" x14ac:dyDescent="0.25">
      <c r="B3717" s="42"/>
      <c r="AA3717" s="43"/>
    </row>
    <row r="3718" spans="2:27" x14ac:dyDescent="0.25">
      <c r="B3718" s="42"/>
      <c r="AA3718" s="43"/>
    </row>
    <row r="3719" spans="2:27" x14ac:dyDescent="0.25">
      <c r="B3719" s="42"/>
      <c r="AA3719" s="43"/>
    </row>
    <row r="3720" spans="2:27" x14ac:dyDescent="0.25">
      <c r="B3720" s="42"/>
      <c r="AA3720" s="43"/>
    </row>
    <row r="3721" spans="2:27" x14ac:dyDescent="0.25">
      <c r="B3721" s="42"/>
      <c r="AA3721" s="43"/>
    </row>
    <row r="3722" spans="2:27" x14ac:dyDescent="0.25">
      <c r="B3722" s="42"/>
      <c r="AA3722" s="43"/>
    </row>
    <row r="3723" spans="2:27" x14ac:dyDescent="0.25">
      <c r="B3723" s="42"/>
      <c r="AA3723" s="43"/>
    </row>
    <row r="3724" spans="2:27" x14ac:dyDescent="0.25">
      <c r="B3724" s="42"/>
      <c r="AA3724" s="43"/>
    </row>
    <row r="3725" spans="2:27" x14ac:dyDescent="0.25">
      <c r="B3725" s="42"/>
      <c r="AA3725" s="43"/>
    </row>
    <row r="3726" spans="2:27" x14ac:dyDescent="0.25">
      <c r="B3726" s="42"/>
      <c r="AA3726" s="43"/>
    </row>
    <row r="3727" spans="2:27" x14ac:dyDescent="0.25">
      <c r="B3727" s="42"/>
      <c r="AA3727" s="43"/>
    </row>
    <row r="3728" spans="2:27" x14ac:dyDescent="0.25">
      <c r="B3728" s="42"/>
      <c r="AA3728" s="43"/>
    </row>
    <row r="3729" spans="2:27" x14ac:dyDescent="0.25">
      <c r="B3729" s="42"/>
      <c r="AA3729" s="43"/>
    </row>
    <row r="3730" spans="2:27" x14ac:dyDescent="0.25">
      <c r="B3730" s="42"/>
      <c r="AA3730" s="43"/>
    </row>
    <row r="3731" spans="2:27" x14ac:dyDescent="0.25">
      <c r="B3731" s="42"/>
      <c r="AA3731" s="43"/>
    </row>
    <row r="3732" spans="2:27" x14ac:dyDescent="0.25">
      <c r="B3732" s="42"/>
      <c r="AA3732" s="43"/>
    </row>
    <row r="3733" spans="2:27" x14ac:dyDescent="0.25">
      <c r="B3733" s="42"/>
      <c r="AA3733" s="43"/>
    </row>
    <row r="3734" spans="2:27" x14ac:dyDescent="0.25">
      <c r="B3734" s="42"/>
      <c r="AA3734" s="43"/>
    </row>
    <row r="3735" spans="2:27" x14ac:dyDescent="0.25">
      <c r="B3735" s="42"/>
      <c r="AA3735" s="43"/>
    </row>
    <row r="3736" spans="2:27" x14ac:dyDescent="0.25">
      <c r="B3736" s="42"/>
      <c r="AA3736" s="43"/>
    </row>
    <row r="3737" spans="2:27" x14ac:dyDescent="0.25">
      <c r="B3737" s="42"/>
      <c r="AA3737" s="43"/>
    </row>
    <row r="3738" spans="2:27" x14ac:dyDescent="0.25">
      <c r="B3738" s="42"/>
      <c r="AA3738" s="43"/>
    </row>
    <row r="3739" spans="2:27" x14ac:dyDescent="0.25">
      <c r="B3739" s="42"/>
      <c r="AA3739" s="43"/>
    </row>
    <row r="3740" spans="2:27" x14ac:dyDescent="0.25">
      <c r="B3740" s="42"/>
      <c r="AA3740" s="43"/>
    </row>
    <row r="3741" spans="2:27" x14ac:dyDescent="0.25">
      <c r="B3741" s="42"/>
      <c r="AA3741" s="43"/>
    </row>
    <row r="3742" spans="2:27" x14ac:dyDescent="0.25">
      <c r="B3742" s="42"/>
      <c r="AA3742" s="43"/>
    </row>
    <row r="3743" spans="2:27" x14ac:dyDescent="0.25">
      <c r="B3743" s="42"/>
      <c r="AA3743" s="43"/>
    </row>
    <row r="3744" spans="2:27" x14ac:dyDescent="0.25">
      <c r="B3744" s="42"/>
      <c r="AA3744" s="43"/>
    </row>
    <row r="3745" spans="2:27" x14ac:dyDescent="0.25">
      <c r="B3745" s="42"/>
      <c r="AA3745" s="43"/>
    </row>
    <row r="3746" spans="2:27" x14ac:dyDescent="0.25">
      <c r="B3746" s="42"/>
      <c r="AA3746" s="43"/>
    </row>
    <row r="3747" spans="2:27" x14ac:dyDescent="0.25">
      <c r="B3747" s="42"/>
      <c r="AA3747" s="43"/>
    </row>
    <row r="3748" spans="2:27" x14ac:dyDescent="0.25">
      <c r="B3748" s="42"/>
      <c r="AA3748" s="43"/>
    </row>
    <row r="3749" spans="2:27" x14ac:dyDescent="0.25">
      <c r="B3749" s="42"/>
      <c r="AA3749" s="43"/>
    </row>
    <row r="3750" spans="2:27" x14ac:dyDescent="0.25">
      <c r="B3750" s="42"/>
      <c r="AA3750" s="43"/>
    </row>
    <row r="3751" spans="2:27" x14ac:dyDescent="0.25">
      <c r="B3751" s="42"/>
      <c r="AA3751" s="43"/>
    </row>
    <row r="3752" spans="2:27" x14ac:dyDescent="0.25">
      <c r="B3752" s="42"/>
      <c r="AA3752" s="43"/>
    </row>
    <row r="3753" spans="2:27" x14ac:dyDescent="0.25">
      <c r="B3753" s="42"/>
      <c r="AA3753" s="43"/>
    </row>
    <row r="3754" spans="2:27" x14ac:dyDescent="0.25">
      <c r="B3754" s="42"/>
      <c r="AA3754" s="43"/>
    </row>
    <row r="3755" spans="2:27" x14ac:dyDescent="0.25">
      <c r="B3755" s="42"/>
      <c r="AA3755" s="43"/>
    </row>
    <row r="3756" spans="2:27" x14ac:dyDescent="0.25">
      <c r="B3756" s="42"/>
      <c r="AA3756" s="43"/>
    </row>
    <row r="3757" spans="2:27" x14ac:dyDescent="0.25">
      <c r="B3757" s="42"/>
      <c r="AA3757" s="43"/>
    </row>
    <row r="3758" spans="2:27" x14ac:dyDescent="0.25">
      <c r="B3758" s="42"/>
      <c r="AA3758" s="43"/>
    </row>
    <row r="3759" spans="2:27" x14ac:dyDescent="0.25">
      <c r="B3759" s="42"/>
      <c r="AA3759" s="43"/>
    </row>
    <row r="3760" spans="2:27" x14ac:dyDescent="0.25">
      <c r="B3760" s="42"/>
      <c r="AA3760" s="43"/>
    </row>
    <row r="3761" spans="2:27" x14ac:dyDescent="0.25">
      <c r="B3761" s="42"/>
      <c r="AA3761" s="43"/>
    </row>
    <row r="3762" spans="2:27" x14ac:dyDescent="0.25">
      <c r="B3762" s="42"/>
      <c r="AA3762" s="43"/>
    </row>
    <row r="3763" spans="2:27" x14ac:dyDescent="0.25">
      <c r="B3763" s="42"/>
      <c r="AA3763" s="43"/>
    </row>
    <row r="3764" spans="2:27" x14ac:dyDescent="0.25">
      <c r="B3764" s="42"/>
      <c r="AA3764" s="43"/>
    </row>
    <row r="3765" spans="2:27" x14ac:dyDescent="0.25">
      <c r="B3765" s="42"/>
      <c r="AA3765" s="43"/>
    </row>
    <row r="3766" spans="2:27" x14ac:dyDescent="0.25">
      <c r="B3766" s="42"/>
      <c r="AA3766" s="43"/>
    </row>
    <row r="3767" spans="2:27" x14ac:dyDescent="0.25">
      <c r="B3767" s="42"/>
      <c r="AA3767" s="43"/>
    </row>
    <row r="3768" spans="2:27" x14ac:dyDescent="0.25">
      <c r="B3768" s="42"/>
      <c r="AA3768" s="43"/>
    </row>
    <row r="3769" spans="2:27" x14ac:dyDescent="0.25">
      <c r="B3769" s="42"/>
      <c r="AA3769" s="43"/>
    </row>
    <row r="3770" spans="2:27" x14ac:dyDescent="0.25">
      <c r="B3770" s="42"/>
      <c r="AA3770" s="43"/>
    </row>
    <row r="3771" spans="2:27" x14ac:dyDescent="0.25">
      <c r="B3771" s="42"/>
      <c r="AA3771" s="43"/>
    </row>
    <row r="3772" spans="2:27" x14ac:dyDescent="0.25">
      <c r="B3772" s="42"/>
      <c r="AA3772" s="43"/>
    </row>
    <row r="3773" spans="2:27" x14ac:dyDescent="0.25">
      <c r="B3773" s="42"/>
      <c r="AA3773" s="43"/>
    </row>
    <row r="3774" spans="2:27" x14ac:dyDescent="0.25">
      <c r="B3774" s="42"/>
      <c r="AA3774" s="43"/>
    </row>
    <row r="3775" spans="2:27" x14ac:dyDescent="0.25">
      <c r="B3775" s="42"/>
      <c r="AA3775" s="43"/>
    </row>
    <row r="3776" spans="2:27" x14ac:dyDescent="0.25">
      <c r="B3776" s="42"/>
      <c r="AA3776" s="43"/>
    </row>
    <row r="3777" spans="2:27" x14ac:dyDescent="0.25">
      <c r="B3777" s="42"/>
      <c r="AA3777" s="43"/>
    </row>
    <row r="3778" spans="2:27" x14ac:dyDescent="0.25">
      <c r="B3778" s="42"/>
      <c r="AA3778" s="43"/>
    </row>
    <row r="3779" spans="2:27" x14ac:dyDescent="0.25">
      <c r="B3779" s="42"/>
      <c r="AA3779" s="43"/>
    </row>
    <row r="3780" spans="2:27" x14ac:dyDescent="0.25">
      <c r="B3780" s="42"/>
      <c r="AA3780" s="43"/>
    </row>
    <row r="3781" spans="2:27" x14ac:dyDescent="0.25">
      <c r="B3781" s="42"/>
      <c r="AA3781" s="43"/>
    </row>
    <row r="3782" spans="2:27" x14ac:dyDescent="0.25">
      <c r="B3782" s="42"/>
      <c r="AA3782" s="43"/>
    </row>
    <row r="3783" spans="2:27" x14ac:dyDescent="0.25">
      <c r="B3783" s="42"/>
      <c r="AA3783" s="43"/>
    </row>
    <row r="3784" spans="2:27" x14ac:dyDescent="0.25">
      <c r="B3784" s="42"/>
      <c r="AA3784" s="43"/>
    </row>
    <row r="3785" spans="2:27" x14ac:dyDescent="0.25">
      <c r="B3785" s="42"/>
      <c r="AA3785" s="43"/>
    </row>
    <row r="3786" spans="2:27" x14ac:dyDescent="0.25">
      <c r="B3786" s="42"/>
      <c r="AA3786" s="43"/>
    </row>
    <row r="3787" spans="2:27" x14ac:dyDescent="0.25">
      <c r="B3787" s="42"/>
      <c r="AA3787" s="43"/>
    </row>
    <row r="3788" spans="2:27" x14ac:dyDescent="0.25">
      <c r="B3788" s="42"/>
      <c r="AA3788" s="43"/>
    </row>
    <row r="3789" spans="2:27" x14ac:dyDescent="0.25">
      <c r="B3789" s="42"/>
      <c r="AA3789" s="43"/>
    </row>
    <row r="3790" spans="2:27" x14ac:dyDescent="0.25">
      <c r="B3790" s="42"/>
      <c r="AA3790" s="43"/>
    </row>
    <row r="3791" spans="2:27" x14ac:dyDescent="0.25">
      <c r="B3791" s="42"/>
      <c r="AA3791" s="43"/>
    </row>
    <row r="3792" spans="2:27" x14ac:dyDescent="0.25">
      <c r="B3792" s="42"/>
      <c r="AA3792" s="43"/>
    </row>
    <row r="3793" spans="2:27" x14ac:dyDescent="0.25">
      <c r="B3793" s="42"/>
      <c r="AA3793" s="43"/>
    </row>
    <row r="3794" spans="2:27" x14ac:dyDescent="0.25">
      <c r="B3794" s="42"/>
      <c r="AA3794" s="43"/>
    </row>
    <row r="3795" spans="2:27" x14ac:dyDescent="0.25">
      <c r="B3795" s="42"/>
      <c r="AA3795" s="43"/>
    </row>
    <row r="3796" spans="2:27" x14ac:dyDescent="0.25">
      <c r="B3796" s="42"/>
      <c r="AA3796" s="43"/>
    </row>
    <row r="3797" spans="2:27" x14ac:dyDescent="0.25">
      <c r="B3797" s="42"/>
      <c r="AA3797" s="43"/>
    </row>
    <row r="3798" spans="2:27" x14ac:dyDescent="0.25">
      <c r="B3798" s="42"/>
      <c r="AA3798" s="43"/>
    </row>
    <row r="3799" spans="2:27" x14ac:dyDescent="0.25">
      <c r="B3799" s="42"/>
      <c r="AA3799" s="43"/>
    </row>
    <row r="3800" spans="2:27" x14ac:dyDescent="0.25">
      <c r="B3800" s="42"/>
      <c r="AA3800" s="43"/>
    </row>
    <row r="3801" spans="2:27" x14ac:dyDescent="0.25">
      <c r="B3801" s="42"/>
      <c r="AA3801" s="43"/>
    </row>
    <row r="3802" spans="2:27" x14ac:dyDescent="0.25">
      <c r="B3802" s="42"/>
      <c r="AA3802" s="43"/>
    </row>
    <row r="3803" spans="2:27" x14ac:dyDescent="0.25">
      <c r="B3803" s="42"/>
      <c r="AA3803" s="43"/>
    </row>
    <row r="3804" spans="2:27" x14ac:dyDescent="0.25">
      <c r="B3804" s="42"/>
      <c r="AA3804" s="43"/>
    </row>
    <row r="3805" spans="2:27" x14ac:dyDescent="0.25">
      <c r="B3805" s="42"/>
      <c r="AA3805" s="43"/>
    </row>
    <row r="3806" spans="2:27" x14ac:dyDescent="0.25">
      <c r="B3806" s="42"/>
      <c r="AA3806" s="43"/>
    </row>
    <row r="3807" spans="2:27" x14ac:dyDescent="0.25">
      <c r="B3807" s="42"/>
      <c r="AA3807" s="43"/>
    </row>
    <row r="3808" spans="2:27" x14ac:dyDescent="0.25">
      <c r="B3808" s="42"/>
      <c r="AA3808" s="43"/>
    </row>
    <row r="3809" spans="2:27" x14ac:dyDescent="0.25">
      <c r="B3809" s="42"/>
      <c r="AA3809" s="43"/>
    </row>
    <row r="3810" spans="2:27" x14ac:dyDescent="0.25">
      <c r="B3810" s="42"/>
      <c r="AA3810" s="43"/>
    </row>
    <row r="3811" spans="2:27" x14ac:dyDescent="0.25">
      <c r="B3811" s="42"/>
      <c r="AA3811" s="43"/>
    </row>
    <row r="3812" spans="2:27" x14ac:dyDescent="0.25">
      <c r="B3812" s="42"/>
      <c r="AA3812" s="43"/>
    </row>
    <row r="3813" spans="2:27" x14ac:dyDescent="0.25">
      <c r="B3813" s="42"/>
      <c r="AA3813" s="43"/>
    </row>
    <row r="3814" spans="2:27" x14ac:dyDescent="0.25">
      <c r="B3814" s="42"/>
      <c r="AA3814" s="43"/>
    </row>
    <row r="3815" spans="2:27" x14ac:dyDescent="0.25">
      <c r="B3815" s="42"/>
      <c r="AA3815" s="43"/>
    </row>
    <row r="3816" spans="2:27" x14ac:dyDescent="0.25">
      <c r="B3816" s="42"/>
      <c r="AA3816" s="43"/>
    </row>
    <row r="3817" spans="2:27" x14ac:dyDescent="0.25">
      <c r="B3817" s="42"/>
      <c r="AA3817" s="43"/>
    </row>
    <row r="3818" spans="2:27" x14ac:dyDescent="0.25">
      <c r="B3818" s="42"/>
      <c r="AA3818" s="43"/>
    </row>
    <row r="3819" spans="2:27" x14ac:dyDescent="0.25">
      <c r="B3819" s="42"/>
      <c r="AA3819" s="43"/>
    </row>
    <row r="3820" spans="2:27" x14ac:dyDescent="0.25">
      <c r="B3820" s="42"/>
      <c r="AA3820" s="43"/>
    </row>
    <row r="3821" spans="2:27" x14ac:dyDescent="0.25">
      <c r="B3821" s="42"/>
      <c r="AA3821" s="43"/>
    </row>
    <row r="3822" spans="2:27" x14ac:dyDescent="0.25">
      <c r="B3822" s="42"/>
      <c r="AA3822" s="43"/>
    </row>
    <row r="3823" spans="2:27" x14ac:dyDescent="0.25">
      <c r="B3823" s="42"/>
      <c r="AA3823" s="43"/>
    </row>
    <row r="3824" spans="2:27" x14ac:dyDescent="0.25">
      <c r="B3824" s="42"/>
      <c r="AA3824" s="43"/>
    </row>
    <row r="3825" spans="2:27" x14ac:dyDescent="0.25">
      <c r="B3825" s="42"/>
      <c r="AA3825" s="43"/>
    </row>
    <row r="3826" spans="2:27" x14ac:dyDescent="0.25">
      <c r="B3826" s="42"/>
      <c r="AA3826" s="43"/>
    </row>
    <row r="3827" spans="2:27" x14ac:dyDescent="0.25">
      <c r="B3827" s="42"/>
      <c r="AA3827" s="43"/>
    </row>
    <row r="3828" spans="2:27" x14ac:dyDescent="0.25">
      <c r="B3828" s="42"/>
      <c r="AA3828" s="43"/>
    </row>
    <row r="3829" spans="2:27" x14ac:dyDescent="0.25">
      <c r="B3829" s="42"/>
      <c r="AA3829" s="43"/>
    </row>
    <row r="3830" spans="2:27" x14ac:dyDescent="0.25">
      <c r="B3830" s="42"/>
      <c r="AA3830" s="43"/>
    </row>
    <row r="3831" spans="2:27" x14ac:dyDescent="0.25">
      <c r="B3831" s="42"/>
      <c r="AA3831" s="43"/>
    </row>
    <row r="3832" spans="2:27" x14ac:dyDescent="0.25">
      <c r="B3832" s="42"/>
      <c r="AA3832" s="43"/>
    </row>
    <row r="3833" spans="2:27" x14ac:dyDescent="0.25">
      <c r="B3833" s="42"/>
      <c r="AA3833" s="43"/>
    </row>
    <row r="3834" spans="2:27" x14ac:dyDescent="0.25">
      <c r="B3834" s="42"/>
      <c r="AA3834" s="43"/>
    </row>
    <row r="3835" spans="2:27" x14ac:dyDescent="0.25">
      <c r="B3835" s="42"/>
      <c r="AA3835" s="43"/>
    </row>
    <row r="3836" spans="2:27" x14ac:dyDescent="0.25">
      <c r="B3836" s="42"/>
      <c r="AA3836" s="43"/>
    </row>
    <row r="3837" spans="2:27" x14ac:dyDescent="0.25">
      <c r="B3837" s="42"/>
      <c r="AA3837" s="43"/>
    </row>
    <row r="3838" spans="2:27" x14ac:dyDescent="0.25">
      <c r="B3838" s="42"/>
      <c r="AA3838" s="43"/>
    </row>
    <row r="3839" spans="2:27" x14ac:dyDescent="0.25">
      <c r="B3839" s="42"/>
      <c r="AA3839" s="43"/>
    </row>
    <row r="3840" spans="2:27" x14ac:dyDescent="0.25">
      <c r="B3840" s="42"/>
      <c r="AA3840" s="43"/>
    </row>
    <row r="3841" spans="2:27" x14ac:dyDescent="0.25">
      <c r="B3841" s="42"/>
      <c r="AA3841" s="43"/>
    </row>
    <row r="3842" spans="2:27" x14ac:dyDescent="0.25">
      <c r="B3842" s="42"/>
      <c r="AA3842" s="43"/>
    </row>
    <row r="3843" spans="2:27" x14ac:dyDescent="0.25">
      <c r="B3843" s="42"/>
      <c r="AA3843" s="43"/>
    </row>
    <row r="3844" spans="2:27" x14ac:dyDescent="0.25">
      <c r="B3844" s="42"/>
      <c r="AA3844" s="43"/>
    </row>
    <row r="3845" spans="2:27" x14ac:dyDescent="0.25">
      <c r="B3845" s="42"/>
      <c r="AA3845" s="43"/>
    </row>
    <row r="3846" spans="2:27" x14ac:dyDescent="0.25">
      <c r="B3846" s="42"/>
      <c r="AA3846" s="43"/>
    </row>
    <row r="3847" spans="2:27" x14ac:dyDescent="0.25">
      <c r="B3847" s="42"/>
      <c r="AA3847" s="43"/>
    </row>
    <row r="3848" spans="2:27" x14ac:dyDescent="0.25">
      <c r="B3848" s="42"/>
      <c r="AA3848" s="43"/>
    </row>
    <row r="3849" spans="2:27" x14ac:dyDescent="0.25">
      <c r="B3849" s="42"/>
      <c r="AA3849" s="43"/>
    </row>
    <row r="3850" spans="2:27" x14ac:dyDescent="0.25">
      <c r="B3850" s="42"/>
      <c r="AA3850" s="43"/>
    </row>
    <row r="3851" spans="2:27" x14ac:dyDescent="0.25">
      <c r="B3851" s="42"/>
      <c r="AA3851" s="43"/>
    </row>
    <row r="3852" spans="2:27" x14ac:dyDescent="0.25">
      <c r="B3852" s="42"/>
      <c r="AA3852" s="43"/>
    </row>
    <row r="3853" spans="2:27" x14ac:dyDescent="0.25">
      <c r="B3853" s="42"/>
      <c r="AA3853" s="43"/>
    </row>
    <row r="3854" spans="2:27" x14ac:dyDescent="0.25">
      <c r="B3854" s="42"/>
      <c r="AA3854" s="43"/>
    </row>
    <row r="3855" spans="2:27" x14ac:dyDescent="0.25">
      <c r="B3855" s="42"/>
      <c r="AA3855" s="43"/>
    </row>
    <row r="3856" spans="2:27" x14ac:dyDescent="0.25">
      <c r="B3856" s="42"/>
      <c r="AA3856" s="43"/>
    </row>
    <row r="3857" spans="2:27" x14ac:dyDescent="0.25">
      <c r="B3857" s="42"/>
      <c r="AA3857" s="43"/>
    </row>
    <row r="3858" spans="2:27" x14ac:dyDescent="0.25">
      <c r="B3858" s="42"/>
      <c r="AA3858" s="43"/>
    </row>
    <row r="3859" spans="2:27" x14ac:dyDescent="0.25">
      <c r="B3859" s="42"/>
      <c r="AA3859" s="43"/>
    </row>
    <row r="3860" spans="2:27" x14ac:dyDescent="0.25">
      <c r="B3860" s="42"/>
      <c r="AA3860" s="43"/>
    </row>
    <row r="3861" spans="2:27" x14ac:dyDescent="0.25">
      <c r="B3861" s="42"/>
      <c r="AA3861" s="43"/>
    </row>
    <row r="3862" spans="2:27" x14ac:dyDescent="0.25">
      <c r="B3862" s="42"/>
      <c r="AA3862" s="43"/>
    </row>
    <row r="3863" spans="2:27" x14ac:dyDescent="0.25">
      <c r="B3863" s="42"/>
      <c r="AA3863" s="43"/>
    </row>
    <row r="3864" spans="2:27" x14ac:dyDescent="0.25">
      <c r="B3864" s="42"/>
      <c r="AA3864" s="43"/>
    </row>
    <row r="3865" spans="2:27" x14ac:dyDescent="0.25">
      <c r="B3865" s="42"/>
      <c r="AA3865" s="43"/>
    </row>
    <row r="3866" spans="2:27" x14ac:dyDescent="0.25">
      <c r="B3866" s="42"/>
      <c r="AA3866" s="43"/>
    </row>
    <row r="3867" spans="2:27" x14ac:dyDescent="0.25">
      <c r="B3867" s="42"/>
      <c r="AA3867" s="43"/>
    </row>
    <row r="3868" spans="2:27" x14ac:dyDescent="0.25">
      <c r="B3868" s="42"/>
      <c r="AA3868" s="43"/>
    </row>
    <row r="3869" spans="2:27" x14ac:dyDescent="0.25">
      <c r="B3869" s="42"/>
      <c r="AA3869" s="43"/>
    </row>
    <row r="3870" spans="2:27" x14ac:dyDescent="0.25">
      <c r="B3870" s="42"/>
      <c r="AA3870" s="43"/>
    </row>
    <row r="3871" spans="2:27" x14ac:dyDescent="0.25">
      <c r="B3871" s="42"/>
      <c r="AA3871" s="43"/>
    </row>
    <row r="3872" spans="2:27" x14ac:dyDescent="0.25">
      <c r="B3872" s="42"/>
      <c r="AA3872" s="43"/>
    </row>
    <row r="3873" spans="2:27" x14ac:dyDescent="0.25">
      <c r="B3873" s="42"/>
      <c r="AA3873" s="43"/>
    </row>
    <row r="3874" spans="2:27" x14ac:dyDescent="0.25">
      <c r="B3874" s="42"/>
      <c r="AA3874" s="43"/>
    </row>
    <row r="3875" spans="2:27" x14ac:dyDescent="0.25">
      <c r="B3875" s="42"/>
      <c r="AA3875" s="43"/>
    </row>
    <row r="3876" spans="2:27" x14ac:dyDescent="0.25">
      <c r="B3876" s="42"/>
      <c r="AA3876" s="43"/>
    </row>
    <row r="3877" spans="2:27" x14ac:dyDescent="0.25">
      <c r="B3877" s="42"/>
      <c r="AA3877" s="43"/>
    </row>
    <row r="3878" spans="2:27" x14ac:dyDescent="0.25">
      <c r="B3878" s="42"/>
      <c r="AA3878" s="43"/>
    </row>
    <row r="3879" spans="2:27" x14ac:dyDescent="0.25">
      <c r="B3879" s="42"/>
      <c r="AA3879" s="43"/>
    </row>
    <row r="3880" spans="2:27" x14ac:dyDescent="0.25">
      <c r="B3880" s="42"/>
      <c r="AA3880" s="43"/>
    </row>
    <row r="3881" spans="2:27" x14ac:dyDescent="0.25">
      <c r="B3881" s="42"/>
      <c r="AA3881" s="43"/>
    </row>
    <row r="3882" spans="2:27" x14ac:dyDescent="0.25">
      <c r="B3882" s="42"/>
      <c r="AA3882" s="43"/>
    </row>
    <row r="3883" spans="2:27" x14ac:dyDescent="0.25">
      <c r="B3883" s="42"/>
      <c r="AA3883" s="43"/>
    </row>
    <row r="3884" spans="2:27" x14ac:dyDescent="0.25">
      <c r="B3884" s="42"/>
      <c r="AA3884" s="43"/>
    </row>
    <row r="3885" spans="2:27" x14ac:dyDescent="0.25">
      <c r="B3885" s="42"/>
      <c r="AA3885" s="43"/>
    </row>
    <row r="3886" spans="2:27" x14ac:dyDescent="0.25">
      <c r="B3886" s="42"/>
      <c r="AA3886" s="43"/>
    </row>
    <row r="3887" spans="2:27" x14ac:dyDescent="0.25">
      <c r="B3887" s="42"/>
      <c r="AA3887" s="43"/>
    </row>
    <row r="3888" spans="2:27" x14ac:dyDescent="0.25">
      <c r="B3888" s="42"/>
      <c r="AA3888" s="43"/>
    </row>
    <row r="3889" spans="2:27" x14ac:dyDescent="0.25">
      <c r="B3889" s="42"/>
      <c r="AA3889" s="43"/>
    </row>
    <row r="3890" spans="2:27" x14ac:dyDescent="0.25">
      <c r="B3890" s="42"/>
      <c r="AA3890" s="43"/>
    </row>
    <row r="3891" spans="2:27" x14ac:dyDescent="0.25">
      <c r="B3891" s="42"/>
      <c r="AA3891" s="43"/>
    </row>
    <row r="3892" spans="2:27" x14ac:dyDescent="0.25">
      <c r="B3892" s="42"/>
      <c r="AA3892" s="43"/>
    </row>
    <row r="3893" spans="2:27" x14ac:dyDescent="0.25">
      <c r="B3893" s="42"/>
      <c r="AA3893" s="43"/>
    </row>
    <row r="3894" spans="2:27" x14ac:dyDescent="0.25">
      <c r="B3894" s="42"/>
      <c r="AA3894" s="43"/>
    </row>
    <row r="3895" spans="2:27" x14ac:dyDescent="0.25">
      <c r="B3895" s="42"/>
      <c r="AA3895" s="43"/>
    </row>
    <row r="3896" spans="2:27" x14ac:dyDescent="0.25">
      <c r="B3896" s="42"/>
      <c r="AA3896" s="43"/>
    </row>
    <row r="3897" spans="2:27" x14ac:dyDescent="0.25">
      <c r="B3897" s="42"/>
      <c r="AA3897" s="43"/>
    </row>
    <row r="3898" spans="2:27" x14ac:dyDescent="0.25">
      <c r="B3898" s="42"/>
      <c r="AA3898" s="43"/>
    </row>
    <row r="3899" spans="2:27" x14ac:dyDescent="0.25">
      <c r="B3899" s="42"/>
      <c r="AA3899" s="43"/>
    </row>
    <row r="3900" spans="2:27" x14ac:dyDescent="0.25">
      <c r="B3900" s="42"/>
      <c r="AA3900" s="43"/>
    </row>
    <row r="3901" spans="2:27" x14ac:dyDescent="0.25">
      <c r="B3901" s="42"/>
      <c r="AA3901" s="43"/>
    </row>
    <row r="3902" spans="2:27" x14ac:dyDescent="0.25">
      <c r="B3902" s="42"/>
      <c r="AA3902" s="43"/>
    </row>
    <row r="3903" spans="2:27" x14ac:dyDescent="0.25">
      <c r="B3903" s="42"/>
      <c r="AA3903" s="43"/>
    </row>
    <row r="3904" spans="2:27" x14ac:dyDescent="0.25">
      <c r="B3904" s="42"/>
      <c r="AA3904" s="43"/>
    </row>
    <row r="3905" spans="2:27" x14ac:dyDescent="0.25">
      <c r="B3905" s="42"/>
      <c r="AA3905" s="43"/>
    </row>
    <row r="3906" spans="2:27" x14ac:dyDescent="0.25">
      <c r="B3906" s="42"/>
      <c r="AA3906" s="43"/>
    </row>
    <row r="3907" spans="2:27" x14ac:dyDescent="0.25">
      <c r="B3907" s="42"/>
      <c r="AA3907" s="43"/>
    </row>
    <row r="3908" spans="2:27" x14ac:dyDescent="0.25">
      <c r="B3908" s="42"/>
      <c r="AA3908" s="43"/>
    </row>
    <row r="3909" spans="2:27" x14ac:dyDescent="0.25">
      <c r="B3909" s="42"/>
      <c r="AA3909" s="43"/>
    </row>
    <row r="3910" spans="2:27" x14ac:dyDescent="0.25">
      <c r="B3910" s="42"/>
      <c r="AA3910" s="43"/>
    </row>
    <row r="3911" spans="2:27" x14ac:dyDescent="0.25">
      <c r="B3911" s="42"/>
      <c r="AA3911" s="43"/>
    </row>
    <row r="3912" spans="2:27" x14ac:dyDescent="0.25">
      <c r="B3912" s="42"/>
      <c r="AA3912" s="43"/>
    </row>
    <row r="3913" spans="2:27" x14ac:dyDescent="0.25">
      <c r="B3913" s="42"/>
      <c r="AA3913" s="43"/>
    </row>
    <row r="3914" spans="2:27" x14ac:dyDescent="0.25">
      <c r="B3914" s="42"/>
      <c r="AA3914" s="43"/>
    </row>
    <row r="3915" spans="2:27" x14ac:dyDescent="0.25">
      <c r="B3915" s="42"/>
      <c r="AA3915" s="43"/>
    </row>
    <row r="3916" spans="2:27" x14ac:dyDescent="0.25">
      <c r="B3916" s="42"/>
      <c r="AA3916" s="43"/>
    </row>
    <row r="3917" spans="2:27" x14ac:dyDescent="0.25">
      <c r="B3917" s="42"/>
      <c r="AA3917" s="43"/>
    </row>
    <row r="3918" spans="2:27" x14ac:dyDescent="0.25">
      <c r="B3918" s="42"/>
      <c r="AA3918" s="43"/>
    </row>
    <row r="3919" spans="2:27" x14ac:dyDescent="0.25">
      <c r="B3919" s="42"/>
      <c r="AA3919" s="43"/>
    </row>
    <row r="3920" spans="2:27" x14ac:dyDescent="0.25">
      <c r="B3920" s="42"/>
      <c r="AA3920" s="43"/>
    </row>
    <row r="3921" spans="2:27" x14ac:dyDescent="0.25">
      <c r="B3921" s="42"/>
      <c r="AA3921" s="43"/>
    </row>
    <row r="3922" spans="2:27" x14ac:dyDescent="0.25">
      <c r="B3922" s="42"/>
      <c r="AA3922" s="43"/>
    </row>
    <row r="3923" spans="2:27" x14ac:dyDescent="0.25">
      <c r="B3923" s="42"/>
      <c r="AA3923" s="43"/>
    </row>
    <row r="3924" spans="2:27" x14ac:dyDescent="0.25">
      <c r="B3924" s="42"/>
      <c r="AA3924" s="43"/>
    </row>
    <row r="3925" spans="2:27" x14ac:dyDescent="0.25">
      <c r="B3925" s="42"/>
      <c r="AA3925" s="43"/>
    </row>
    <row r="3926" spans="2:27" x14ac:dyDescent="0.25">
      <c r="B3926" s="42"/>
      <c r="AA3926" s="43"/>
    </row>
    <row r="3927" spans="2:27" x14ac:dyDescent="0.25">
      <c r="B3927" s="42"/>
      <c r="AA3927" s="43"/>
    </row>
    <row r="3928" spans="2:27" x14ac:dyDescent="0.25">
      <c r="B3928" s="42"/>
      <c r="AA3928" s="43"/>
    </row>
    <row r="3929" spans="2:27" x14ac:dyDescent="0.25">
      <c r="B3929" s="42"/>
      <c r="AA3929" s="43"/>
    </row>
    <row r="3930" spans="2:27" x14ac:dyDescent="0.25">
      <c r="B3930" s="42"/>
      <c r="AA3930" s="43"/>
    </row>
    <row r="3931" spans="2:27" x14ac:dyDescent="0.25">
      <c r="B3931" s="42"/>
      <c r="AA3931" s="43"/>
    </row>
    <row r="3932" spans="2:27" x14ac:dyDescent="0.25">
      <c r="B3932" s="42"/>
      <c r="AA3932" s="43"/>
    </row>
    <row r="3933" spans="2:27" x14ac:dyDescent="0.25">
      <c r="B3933" s="42"/>
      <c r="AA3933" s="43"/>
    </row>
    <row r="3934" spans="2:27" x14ac:dyDescent="0.25">
      <c r="B3934" s="42"/>
      <c r="AA3934" s="43"/>
    </row>
    <row r="3935" spans="2:27" x14ac:dyDescent="0.25">
      <c r="B3935" s="42"/>
      <c r="AA3935" s="43"/>
    </row>
    <row r="3936" spans="2:27" x14ac:dyDescent="0.25">
      <c r="B3936" s="42"/>
      <c r="AA3936" s="43"/>
    </row>
    <row r="3937" spans="2:27" x14ac:dyDescent="0.25">
      <c r="B3937" s="42"/>
      <c r="AA3937" s="43"/>
    </row>
    <row r="3938" spans="2:27" x14ac:dyDescent="0.25">
      <c r="B3938" s="42"/>
      <c r="AA3938" s="43"/>
    </row>
    <row r="3939" spans="2:27" x14ac:dyDescent="0.25">
      <c r="B3939" s="42"/>
      <c r="AA3939" s="43"/>
    </row>
    <row r="3940" spans="2:27" x14ac:dyDescent="0.25">
      <c r="B3940" s="42"/>
      <c r="AA3940" s="43"/>
    </row>
    <row r="3941" spans="2:27" x14ac:dyDescent="0.25">
      <c r="B3941" s="42"/>
      <c r="AA3941" s="43"/>
    </row>
    <row r="3942" spans="2:27" x14ac:dyDescent="0.25">
      <c r="B3942" s="42"/>
      <c r="AA3942" s="43"/>
    </row>
    <row r="3943" spans="2:27" x14ac:dyDescent="0.25">
      <c r="B3943" s="42"/>
      <c r="AA3943" s="43"/>
    </row>
    <row r="3944" spans="2:27" x14ac:dyDescent="0.25">
      <c r="B3944" s="42"/>
      <c r="AA3944" s="43"/>
    </row>
    <row r="3945" spans="2:27" x14ac:dyDescent="0.25">
      <c r="B3945" s="42"/>
      <c r="AA3945" s="43"/>
    </row>
    <row r="3946" spans="2:27" x14ac:dyDescent="0.25">
      <c r="B3946" s="42"/>
      <c r="AA3946" s="43"/>
    </row>
    <row r="3947" spans="2:27" x14ac:dyDescent="0.25">
      <c r="B3947" s="42"/>
      <c r="AA3947" s="43"/>
    </row>
    <row r="3948" spans="2:27" x14ac:dyDescent="0.25">
      <c r="B3948" s="42"/>
      <c r="AA3948" s="43"/>
    </row>
    <row r="3949" spans="2:27" x14ac:dyDescent="0.25">
      <c r="B3949" s="42"/>
      <c r="AA3949" s="43"/>
    </row>
    <row r="3950" spans="2:27" x14ac:dyDescent="0.25">
      <c r="B3950" s="42"/>
      <c r="AA3950" s="43"/>
    </row>
    <row r="3951" spans="2:27" x14ac:dyDescent="0.25">
      <c r="B3951" s="42"/>
      <c r="AA3951" s="43"/>
    </row>
    <row r="3952" spans="2:27" x14ac:dyDescent="0.25">
      <c r="B3952" s="42"/>
      <c r="AA3952" s="43"/>
    </row>
    <row r="3953" spans="2:27" x14ac:dyDescent="0.25">
      <c r="B3953" s="42"/>
      <c r="AA3953" s="43"/>
    </row>
    <row r="3954" spans="2:27" x14ac:dyDescent="0.25">
      <c r="B3954" s="42"/>
      <c r="AA3954" s="43"/>
    </row>
    <row r="3955" spans="2:27" x14ac:dyDescent="0.25">
      <c r="B3955" s="42"/>
      <c r="AA3955" s="43"/>
    </row>
    <row r="3956" spans="2:27" x14ac:dyDescent="0.25">
      <c r="B3956" s="42"/>
      <c r="AA3956" s="43"/>
    </row>
    <row r="3957" spans="2:27" x14ac:dyDescent="0.25">
      <c r="B3957" s="42"/>
      <c r="AA3957" s="43"/>
    </row>
    <row r="3958" spans="2:27" x14ac:dyDescent="0.25">
      <c r="B3958" s="42"/>
      <c r="AA3958" s="43"/>
    </row>
    <row r="3959" spans="2:27" x14ac:dyDescent="0.25">
      <c r="B3959" s="42"/>
      <c r="AA3959" s="43"/>
    </row>
    <row r="3960" spans="2:27" x14ac:dyDescent="0.25">
      <c r="B3960" s="42"/>
      <c r="AA3960" s="43"/>
    </row>
    <row r="3961" spans="2:27" x14ac:dyDescent="0.25">
      <c r="B3961" s="42"/>
      <c r="AA3961" s="43"/>
    </row>
    <row r="3962" spans="2:27" x14ac:dyDescent="0.25">
      <c r="B3962" s="42"/>
      <c r="AA3962" s="43"/>
    </row>
    <row r="3963" spans="2:27" x14ac:dyDescent="0.25">
      <c r="B3963" s="42"/>
      <c r="AA3963" s="43"/>
    </row>
    <row r="3964" spans="2:27" x14ac:dyDescent="0.25">
      <c r="B3964" s="42"/>
      <c r="AA3964" s="43"/>
    </row>
    <row r="3965" spans="2:27" x14ac:dyDescent="0.25">
      <c r="B3965" s="42"/>
      <c r="AA3965" s="43"/>
    </row>
    <row r="3966" spans="2:27" x14ac:dyDescent="0.25">
      <c r="B3966" s="42"/>
      <c r="AA3966" s="43"/>
    </row>
    <row r="3967" spans="2:27" x14ac:dyDescent="0.25">
      <c r="B3967" s="42"/>
      <c r="AA3967" s="43"/>
    </row>
    <row r="3968" spans="2:27" x14ac:dyDescent="0.25">
      <c r="B3968" s="42"/>
      <c r="AA3968" s="43"/>
    </row>
    <row r="3969" spans="2:27" x14ac:dyDescent="0.25">
      <c r="B3969" s="42"/>
      <c r="AA3969" s="43"/>
    </row>
    <row r="3970" spans="2:27" x14ac:dyDescent="0.25">
      <c r="B3970" s="42"/>
      <c r="AA3970" s="43"/>
    </row>
    <row r="3971" spans="2:27" x14ac:dyDescent="0.25">
      <c r="B3971" s="42"/>
      <c r="AA3971" s="43"/>
    </row>
    <row r="3972" spans="2:27" x14ac:dyDescent="0.25">
      <c r="B3972" s="42"/>
      <c r="AA3972" s="43"/>
    </row>
    <row r="3973" spans="2:27" x14ac:dyDescent="0.25">
      <c r="B3973" s="42"/>
      <c r="AA3973" s="43"/>
    </row>
    <row r="3974" spans="2:27" x14ac:dyDescent="0.25">
      <c r="B3974" s="42"/>
      <c r="AA3974" s="43"/>
    </row>
    <row r="3975" spans="2:27" x14ac:dyDescent="0.25">
      <c r="B3975" s="42"/>
      <c r="AA3975" s="43"/>
    </row>
    <row r="3976" spans="2:27" x14ac:dyDescent="0.25">
      <c r="B3976" s="42"/>
      <c r="AA3976" s="43"/>
    </row>
    <row r="3977" spans="2:27" x14ac:dyDescent="0.25">
      <c r="B3977" s="42"/>
      <c r="AA3977" s="43"/>
    </row>
    <row r="3978" spans="2:27" x14ac:dyDescent="0.25">
      <c r="B3978" s="42"/>
      <c r="AA3978" s="43"/>
    </row>
    <row r="3979" spans="2:27" x14ac:dyDescent="0.25">
      <c r="B3979" s="42"/>
      <c r="AA3979" s="43"/>
    </row>
    <row r="3980" spans="2:27" x14ac:dyDescent="0.25">
      <c r="B3980" s="42"/>
      <c r="AA3980" s="43"/>
    </row>
    <row r="3981" spans="2:27" x14ac:dyDescent="0.25">
      <c r="B3981" s="42"/>
      <c r="AA3981" s="43"/>
    </row>
    <row r="3982" spans="2:27" x14ac:dyDescent="0.25">
      <c r="B3982" s="42"/>
      <c r="AA3982" s="43"/>
    </row>
    <row r="3983" spans="2:27" x14ac:dyDescent="0.25">
      <c r="B3983" s="42"/>
      <c r="AA3983" s="43"/>
    </row>
    <row r="3984" spans="2:27" x14ac:dyDescent="0.25">
      <c r="B3984" s="42"/>
      <c r="AA3984" s="43"/>
    </row>
    <row r="3985" spans="2:27" x14ac:dyDescent="0.25">
      <c r="B3985" s="42"/>
      <c r="AA3985" s="43"/>
    </row>
    <row r="3986" spans="2:27" x14ac:dyDescent="0.25">
      <c r="B3986" s="42"/>
      <c r="AA3986" s="43"/>
    </row>
    <row r="3987" spans="2:27" x14ac:dyDescent="0.25">
      <c r="B3987" s="42"/>
      <c r="AA3987" s="43"/>
    </row>
    <row r="3988" spans="2:27" x14ac:dyDescent="0.25">
      <c r="B3988" s="42"/>
      <c r="AA3988" s="43"/>
    </row>
    <row r="3989" spans="2:27" x14ac:dyDescent="0.25">
      <c r="B3989" s="42"/>
      <c r="AA3989" s="43"/>
    </row>
    <row r="3990" spans="2:27" x14ac:dyDescent="0.25">
      <c r="B3990" s="42"/>
      <c r="AA3990" s="43"/>
    </row>
    <row r="3991" spans="2:27" x14ac:dyDescent="0.25">
      <c r="B3991" s="42"/>
      <c r="AA3991" s="43"/>
    </row>
    <row r="3992" spans="2:27" x14ac:dyDescent="0.25">
      <c r="B3992" s="42"/>
      <c r="AA3992" s="43"/>
    </row>
    <row r="3993" spans="2:27" x14ac:dyDescent="0.25">
      <c r="B3993" s="42"/>
      <c r="AA3993" s="43"/>
    </row>
    <row r="3994" spans="2:27" x14ac:dyDescent="0.25">
      <c r="B3994" s="42"/>
      <c r="AA3994" s="43"/>
    </row>
    <row r="3995" spans="2:27" x14ac:dyDescent="0.25">
      <c r="B3995" s="42"/>
      <c r="AA3995" s="43"/>
    </row>
    <row r="3996" spans="2:27" x14ac:dyDescent="0.25">
      <c r="B3996" s="42"/>
      <c r="AA3996" s="43"/>
    </row>
    <row r="3997" spans="2:27" x14ac:dyDescent="0.25">
      <c r="B3997" s="42"/>
      <c r="AA3997" s="43"/>
    </row>
    <row r="3998" spans="2:27" x14ac:dyDescent="0.25">
      <c r="B3998" s="42"/>
      <c r="AA3998" s="43"/>
    </row>
    <row r="3999" spans="2:27" x14ac:dyDescent="0.25">
      <c r="B3999" s="42"/>
      <c r="AA3999" s="43"/>
    </row>
    <row r="4000" spans="2:27" x14ac:dyDescent="0.25">
      <c r="B4000" s="42"/>
      <c r="AA4000" s="43"/>
    </row>
    <row r="4001" spans="2:27" x14ac:dyDescent="0.25">
      <c r="B4001" s="42"/>
      <c r="AA4001" s="43"/>
    </row>
    <row r="4002" spans="2:27" x14ac:dyDescent="0.25">
      <c r="B4002" s="42"/>
      <c r="AA4002" s="43"/>
    </row>
    <row r="4003" spans="2:27" x14ac:dyDescent="0.25">
      <c r="B4003" s="42"/>
      <c r="AA4003" s="43"/>
    </row>
    <row r="4004" spans="2:27" x14ac:dyDescent="0.25">
      <c r="B4004" s="42"/>
      <c r="AA4004" s="43"/>
    </row>
    <row r="4005" spans="2:27" x14ac:dyDescent="0.25">
      <c r="B4005" s="42"/>
      <c r="AA4005" s="43"/>
    </row>
    <row r="4006" spans="2:27" x14ac:dyDescent="0.25">
      <c r="B4006" s="42"/>
      <c r="AA4006" s="43"/>
    </row>
    <row r="4007" spans="2:27" x14ac:dyDescent="0.25">
      <c r="B4007" s="42"/>
      <c r="AA4007" s="43"/>
    </row>
    <row r="4008" spans="2:27" x14ac:dyDescent="0.25">
      <c r="B4008" s="42"/>
      <c r="AA4008" s="43"/>
    </row>
    <row r="4009" spans="2:27" x14ac:dyDescent="0.25">
      <c r="B4009" s="42"/>
      <c r="AA4009" s="43"/>
    </row>
    <row r="4010" spans="2:27" x14ac:dyDescent="0.25">
      <c r="B4010" s="42"/>
      <c r="AA4010" s="43"/>
    </row>
    <row r="4011" spans="2:27" x14ac:dyDescent="0.25">
      <c r="B4011" s="42"/>
      <c r="AA4011" s="43"/>
    </row>
    <row r="4012" spans="2:27" x14ac:dyDescent="0.25">
      <c r="B4012" s="42"/>
      <c r="AA4012" s="43"/>
    </row>
    <row r="4013" spans="2:27" x14ac:dyDescent="0.25">
      <c r="B4013" s="42"/>
      <c r="AA4013" s="43"/>
    </row>
    <row r="4014" spans="2:27" x14ac:dyDescent="0.25">
      <c r="B4014" s="42"/>
      <c r="AA4014" s="43"/>
    </row>
    <row r="4015" spans="2:27" x14ac:dyDescent="0.25">
      <c r="B4015" s="42"/>
      <c r="AA4015" s="43"/>
    </row>
    <row r="4016" spans="2:27" x14ac:dyDescent="0.25">
      <c r="B4016" s="42"/>
      <c r="AA4016" s="43"/>
    </row>
    <row r="4017" spans="2:27" x14ac:dyDescent="0.25">
      <c r="B4017" s="42"/>
      <c r="AA4017" s="43"/>
    </row>
    <row r="4018" spans="2:27" x14ac:dyDescent="0.25">
      <c r="B4018" s="42"/>
      <c r="AA4018" s="43"/>
    </row>
    <row r="4019" spans="2:27" x14ac:dyDescent="0.25">
      <c r="B4019" s="42"/>
      <c r="AA4019" s="43"/>
    </row>
    <row r="4020" spans="2:27" x14ac:dyDescent="0.25">
      <c r="B4020" s="42"/>
      <c r="AA4020" s="43"/>
    </row>
    <row r="4021" spans="2:27" x14ac:dyDescent="0.25">
      <c r="B4021" s="42"/>
      <c r="AA4021" s="43"/>
    </row>
    <row r="4022" spans="2:27" x14ac:dyDescent="0.25">
      <c r="B4022" s="42"/>
      <c r="AA4022" s="43"/>
    </row>
    <row r="4023" spans="2:27" x14ac:dyDescent="0.25">
      <c r="B4023" s="42"/>
      <c r="AA4023" s="43"/>
    </row>
    <row r="4024" spans="2:27" x14ac:dyDescent="0.25">
      <c r="B4024" s="42"/>
      <c r="AA4024" s="43"/>
    </row>
    <row r="4025" spans="2:27" x14ac:dyDescent="0.25">
      <c r="B4025" s="42"/>
      <c r="AA4025" s="43"/>
    </row>
    <row r="4026" spans="2:27" x14ac:dyDescent="0.25">
      <c r="B4026" s="42"/>
      <c r="AA4026" s="43"/>
    </row>
    <row r="4027" spans="2:27" x14ac:dyDescent="0.25">
      <c r="B4027" s="42"/>
      <c r="AA4027" s="43"/>
    </row>
    <row r="4028" spans="2:27" x14ac:dyDescent="0.25">
      <c r="B4028" s="42"/>
      <c r="AA4028" s="43"/>
    </row>
    <row r="4029" spans="2:27" x14ac:dyDescent="0.25">
      <c r="B4029" s="42"/>
      <c r="AA4029" s="43"/>
    </row>
    <row r="4030" spans="2:27" x14ac:dyDescent="0.25">
      <c r="B4030" s="42"/>
      <c r="AA4030" s="43"/>
    </row>
    <row r="4031" spans="2:27" x14ac:dyDescent="0.25">
      <c r="B4031" s="42"/>
      <c r="AA4031" s="43"/>
    </row>
    <row r="4032" spans="2:27" x14ac:dyDescent="0.25">
      <c r="B4032" s="42"/>
      <c r="AA4032" s="43"/>
    </row>
    <row r="4033" spans="2:27" x14ac:dyDescent="0.25">
      <c r="B4033" s="42"/>
      <c r="AA4033" s="43"/>
    </row>
    <row r="4034" spans="2:27" x14ac:dyDescent="0.25">
      <c r="B4034" s="42"/>
      <c r="AA4034" s="43"/>
    </row>
    <row r="4035" spans="2:27" x14ac:dyDescent="0.25">
      <c r="B4035" s="42"/>
      <c r="AA4035" s="43"/>
    </row>
    <row r="4036" spans="2:27" x14ac:dyDescent="0.25">
      <c r="B4036" s="42"/>
      <c r="AA4036" s="43"/>
    </row>
    <row r="4037" spans="2:27" x14ac:dyDescent="0.25">
      <c r="B4037" s="42"/>
      <c r="AA4037" s="43"/>
    </row>
    <row r="4038" spans="2:27" x14ac:dyDescent="0.25">
      <c r="B4038" s="42"/>
      <c r="AA4038" s="43"/>
    </row>
    <row r="4039" spans="2:27" x14ac:dyDescent="0.25">
      <c r="B4039" s="42"/>
      <c r="AA4039" s="43"/>
    </row>
    <row r="4040" spans="2:27" x14ac:dyDescent="0.25">
      <c r="B4040" s="42"/>
      <c r="AA4040" s="43"/>
    </row>
    <row r="4041" spans="2:27" x14ac:dyDescent="0.25">
      <c r="B4041" s="42"/>
      <c r="AA4041" s="43"/>
    </row>
    <row r="4042" spans="2:27" x14ac:dyDescent="0.25">
      <c r="B4042" s="42"/>
      <c r="AA4042" s="43"/>
    </row>
    <row r="4043" spans="2:27" x14ac:dyDescent="0.25">
      <c r="B4043" s="42"/>
      <c r="AA4043" s="43"/>
    </row>
    <row r="4044" spans="2:27" x14ac:dyDescent="0.25">
      <c r="B4044" s="42"/>
      <c r="AA4044" s="43"/>
    </row>
    <row r="4045" spans="2:27" x14ac:dyDescent="0.25">
      <c r="B4045" s="42"/>
      <c r="AA4045" s="43"/>
    </row>
    <row r="4046" spans="2:27" x14ac:dyDescent="0.25">
      <c r="B4046" s="42"/>
      <c r="AA4046" s="43"/>
    </row>
    <row r="4047" spans="2:27" x14ac:dyDescent="0.25">
      <c r="B4047" s="42"/>
      <c r="AA4047" s="43"/>
    </row>
    <row r="4048" spans="2:27" x14ac:dyDescent="0.25">
      <c r="B4048" s="42"/>
      <c r="AA4048" s="43"/>
    </row>
    <row r="4049" spans="2:27" x14ac:dyDescent="0.25">
      <c r="B4049" s="42"/>
      <c r="AA4049" s="43"/>
    </row>
    <row r="4050" spans="2:27" x14ac:dyDescent="0.25">
      <c r="B4050" s="42"/>
      <c r="AA4050" s="43"/>
    </row>
    <row r="4051" spans="2:27" x14ac:dyDescent="0.25">
      <c r="B4051" s="42"/>
      <c r="AA4051" s="43"/>
    </row>
    <row r="4052" spans="2:27" x14ac:dyDescent="0.25">
      <c r="B4052" s="42"/>
      <c r="AA4052" s="43"/>
    </row>
    <row r="4053" spans="2:27" x14ac:dyDescent="0.25">
      <c r="B4053" s="42"/>
      <c r="AA4053" s="43"/>
    </row>
    <row r="4054" spans="2:27" x14ac:dyDescent="0.25">
      <c r="B4054" s="42"/>
      <c r="AA4054" s="43"/>
    </row>
    <row r="4055" spans="2:27" x14ac:dyDescent="0.25">
      <c r="B4055" s="42"/>
      <c r="AA4055" s="43"/>
    </row>
    <row r="4056" spans="2:27" x14ac:dyDescent="0.25">
      <c r="B4056" s="42"/>
      <c r="AA4056" s="43"/>
    </row>
    <row r="4057" spans="2:27" x14ac:dyDescent="0.25">
      <c r="B4057" s="42"/>
      <c r="AA4057" s="43"/>
    </row>
    <row r="4058" spans="2:27" x14ac:dyDescent="0.25">
      <c r="B4058" s="42"/>
      <c r="AA4058" s="43"/>
    </row>
    <row r="4059" spans="2:27" x14ac:dyDescent="0.25">
      <c r="B4059" s="42"/>
      <c r="AA4059" s="43"/>
    </row>
    <row r="4060" spans="2:27" x14ac:dyDescent="0.25">
      <c r="B4060" s="42"/>
      <c r="AA4060" s="43"/>
    </row>
    <row r="4061" spans="2:27" x14ac:dyDescent="0.25">
      <c r="B4061" s="42"/>
      <c r="AA4061" s="43"/>
    </row>
    <row r="4062" spans="2:27" x14ac:dyDescent="0.25">
      <c r="B4062" s="42"/>
      <c r="AA4062" s="43"/>
    </row>
    <row r="4063" spans="2:27" x14ac:dyDescent="0.25">
      <c r="B4063" s="42"/>
      <c r="AA4063" s="43"/>
    </row>
    <row r="4064" spans="2:27" x14ac:dyDescent="0.25">
      <c r="B4064" s="42"/>
      <c r="AA4064" s="43"/>
    </row>
    <row r="4065" spans="2:27" x14ac:dyDescent="0.25">
      <c r="B4065" s="42"/>
      <c r="AA4065" s="43"/>
    </row>
    <row r="4066" spans="2:27" x14ac:dyDescent="0.25">
      <c r="B4066" s="42"/>
      <c r="AA4066" s="43"/>
    </row>
    <row r="4067" spans="2:27" x14ac:dyDescent="0.25">
      <c r="B4067" s="42"/>
      <c r="AA4067" s="43"/>
    </row>
    <row r="4068" spans="2:27" x14ac:dyDescent="0.25">
      <c r="B4068" s="42"/>
      <c r="AA4068" s="43"/>
    </row>
    <row r="4069" spans="2:27" x14ac:dyDescent="0.25">
      <c r="B4069" s="42"/>
      <c r="AA4069" s="43"/>
    </row>
    <row r="4070" spans="2:27" x14ac:dyDescent="0.25">
      <c r="B4070" s="42"/>
      <c r="AA4070" s="43"/>
    </row>
    <row r="4071" spans="2:27" x14ac:dyDescent="0.25">
      <c r="B4071" s="42"/>
      <c r="AA4071" s="43"/>
    </row>
    <row r="4072" spans="2:27" x14ac:dyDescent="0.25">
      <c r="B4072" s="42"/>
      <c r="AA4072" s="43"/>
    </row>
    <row r="4073" spans="2:27" x14ac:dyDescent="0.25">
      <c r="B4073" s="42"/>
      <c r="AA4073" s="43"/>
    </row>
    <row r="4074" spans="2:27" x14ac:dyDescent="0.25">
      <c r="B4074" s="42"/>
      <c r="AA4074" s="43"/>
    </row>
    <row r="4075" spans="2:27" x14ac:dyDescent="0.25">
      <c r="B4075" s="42"/>
      <c r="AA4075" s="43"/>
    </row>
    <row r="4076" spans="2:27" x14ac:dyDescent="0.25">
      <c r="B4076" s="42"/>
      <c r="AA4076" s="43"/>
    </row>
    <row r="4077" spans="2:27" x14ac:dyDescent="0.25">
      <c r="B4077" s="42"/>
      <c r="AA4077" s="43"/>
    </row>
    <row r="4078" spans="2:27" x14ac:dyDescent="0.25">
      <c r="B4078" s="42"/>
      <c r="AA4078" s="43"/>
    </row>
    <row r="4079" spans="2:27" x14ac:dyDescent="0.25">
      <c r="B4079" s="42"/>
      <c r="AA4079" s="43"/>
    </row>
    <row r="4080" spans="2:27" x14ac:dyDescent="0.25">
      <c r="B4080" s="42"/>
      <c r="AA4080" s="43"/>
    </row>
    <row r="4081" spans="2:27" x14ac:dyDescent="0.25">
      <c r="B4081" s="42"/>
      <c r="AA4081" s="43"/>
    </row>
    <row r="4082" spans="2:27" x14ac:dyDescent="0.25">
      <c r="B4082" s="42"/>
      <c r="AA4082" s="43"/>
    </row>
    <row r="4083" spans="2:27" x14ac:dyDescent="0.25">
      <c r="B4083" s="42"/>
      <c r="AA4083" s="43"/>
    </row>
    <row r="4084" spans="2:27" x14ac:dyDescent="0.25">
      <c r="B4084" s="42"/>
      <c r="AA4084" s="43"/>
    </row>
    <row r="4085" spans="2:27" x14ac:dyDescent="0.25">
      <c r="B4085" s="42"/>
      <c r="AA4085" s="43"/>
    </row>
    <row r="4086" spans="2:27" x14ac:dyDescent="0.25">
      <c r="B4086" s="42"/>
      <c r="AA4086" s="43"/>
    </row>
    <row r="4087" spans="2:27" x14ac:dyDescent="0.25">
      <c r="B4087" s="42"/>
      <c r="AA4087" s="43"/>
    </row>
    <row r="4088" spans="2:27" x14ac:dyDescent="0.25">
      <c r="B4088" s="42"/>
      <c r="AA4088" s="43"/>
    </row>
    <row r="4089" spans="2:27" x14ac:dyDescent="0.25">
      <c r="B4089" s="42"/>
      <c r="AA4089" s="43"/>
    </row>
    <row r="4090" spans="2:27" x14ac:dyDescent="0.25">
      <c r="B4090" s="42"/>
      <c r="AA4090" s="43"/>
    </row>
    <row r="4091" spans="2:27" x14ac:dyDescent="0.25">
      <c r="B4091" s="42"/>
      <c r="AA4091" s="43"/>
    </row>
    <row r="4092" spans="2:27" x14ac:dyDescent="0.25">
      <c r="B4092" s="42"/>
      <c r="AA4092" s="43"/>
    </row>
    <row r="4093" spans="2:27" x14ac:dyDescent="0.25">
      <c r="B4093" s="42"/>
      <c r="AA4093" s="43"/>
    </row>
    <row r="4094" spans="2:27" x14ac:dyDescent="0.25">
      <c r="B4094" s="42"/>
      <c r="AA4094" s="43"/>
    </row>
    <row r="4095" spans="2:27" x14ac:dyDescent="0.25">
      <c r="B4095" s="42"/>
      <c r="AA4095" s="43"/>
    </row>
    <row r="4096" spans="2:27" x14ac:dyDescent="0.25">
      <c r="B4096" s="42"/>
      <c r="AA4096" s="43"/>
    </row>
    <row r="4097" spans="2:27" x14ac:dyDescent="0.25">
      <c r="B4097" s="42"/>
      <c r="AA4097" s="43"/>
    </row>
    <row r="4098" spans="2:27" x14ac:dyDescent="0.25">
      <c r="B4098" s="42"/>
      <c r="AA4098" s="43"/>
    </row>
    <row r="4099" spans="2:27" x14ac:dyDescent="0.25">
      <c r="B4099" s="42"/>
      <c r="AA4099" s="43"/>
    </row>
    <row r="4100" spans="2:27" x14ac:dyDescent="0.25">
      <c r="B4100" s="42"/>
      <c r="AA4100" s="43"/>
    </row>
    <row r="4101" spans="2:27" x14ac:dyDescent="0.25">
      <c r="B4101" s="42"/>
      <c r="AA4101" s="43"/>
    </row>
    <row r="4102" spans="2:27" x14ac:dyDescent="0.25">
      <c r="B4102" s="42"/>
      <c r="AA4102" s="43"/>
    </row>
    <row r="4103" spans="2:27" x14ac:dyDescent="0.25">
      <c r="B4103" s="42"/>
      <c r="AA4103" s="43"/>
    </row>
    <row r="4104" spans="2:27" x14ac:dyDescent="0.25">
      <c r="B4104" s="42"/>
      <c r="AA4104" s="43"/>
    </row>
    <row r="4105" spans="2:27" x14ac:dyDescent="0.25">
      <c r="B4105" s="42"/>
      <c r="AA4105" s="43"/>
    </row>
    <row r="4106" spans="2:27" x14ac:dyDescent="0.25">
      <c r="B4106" s="42"/>
      <c r="AA4106" s="43"/>
    </row>
    <row r="4107" spans="2:27" x14ac:dyDescent="0.25">
      <c r="B4107" s="42"/>
      <c r="AA4107" s="43"/>
    </row>
    <row r="4108" spans="2:27" x14ac:dyDescent="0.25">
      <c r="B4108" s="42"/>
      <c r="AA4108" s="43"/>
    </row>
    <row r="4109" spans="2:27" x14ac:dyDescent="0.25">
      <c r="B4109" s="42"/>
      <c r="AA4109" s="43"/>
    </row>
    <row r="4110" spans="2:27" x14ac:dyDescent="0.25">
      <c r="B4110" s="42"/>
      <c r="AA4110" s="43"/>
    </row>
    <row r="4111" spans="2:27" x14ac:dyDescent="0.25">
      <c r="B4111" s="42"/>
      <c r="AA4111" s="43"/>
    </row>
    <row r="4112" spans="2:27" x14ac:dyDescent="0.25">
      <c r="B4112" s="42"/>
      <c r="AA4112" s="43"/>
    </row>
    <row r="4113" spans="2:27" x14ac:dyDescent="0.25">
      <c r="B4113" s="42"/>
      <c r="AA4113" s="43"/>
    </row>
    <row r="4114" spans="2:27" x14ac:dyDescent="0.25">
      <c r="B4114" s="42"/>
      <c r="AA4114" s="43"/>
    </row>
    <row r="4115" spans="2:27" x14ac:dyDescent="0.25">
      <c r="B4115" s="42"/>
      <c r="AA4115" s="43"/>
    </row>
    <row r="4116" spans="2:27" x14ac:dyDescent="0.25">
      <c r="B4116" s="42"/>
      <c r="AA4116" s="43"/>
    </row>
    <row r="4117" spans="2:27" x14ac:dyDescent="0.25">
      <c r="B4117" s="42"/>
      <c r="AA4117" s="43"/>
    </row>
    <row r="4118" spans="2:27" x14ac:dyDescent="0.25">
      <c r="B4118" s="42"/>
      <c r="AA4118" s="43"/>
    </row>
    <row r="4119" spans="2:27" x14ac:dyDescent="0.25">
      <c r="B4119" s="42"/>
      <c r="AA4119" s="43"/>
    </row>
    <row r="4120" spans="2:27" x14ac:dyDescent="0.25">
      <c r="B4120" s="42"/>
      <c r="AA4120" s="43"/>
    </row>
    <row r="4121" spans="2:27" x14ac:dyDescent="0.25">
      <c r="B4121" s="42"/>
      <c r="AA4121" s="43"/>
    </row>
    <row r="4122" spans="2:27" x14ac:dyDescent="0.25">
      <c r="B4122" s="42"/>
      <c r="AA4122" s="43"/>
    </row>
    <row r="4123" spans="2:27" x14ac:dyDescent="0.25">
      <c r="B4123" s="42"/>
      <c r="AA4123" s="43"/>
    </row>
    <row r="4124" spans="2:27" x14ac:dyDescent="0.25">
      <c r="B4124" s="42"/>
      <c r="AA4124" s="43"/>
    </row>
    <row r="4125" spans="2:27" x14ac:dyDescent="0.25">
      <c r="B4125" s="42"/>
      <c r="AA4125" s="43"/>
    </row>
    <row r="4126" spans="2:27" x14ac:dyDescent="0.25">
      <c r="B4126" s="42"/>
      <c r="AA4126" s="43"/>
    </row>
    <row r="4127" spans="2:27" x14ac:dyDescent="0.25">
      <c r="B4127" s="42"/>
      <c r="AA4127" s="43"/>
    </row>
    <row r="4128" spans="2:27" x14ac:dyDescent="0.25">
      <c r="B4128" s="42"/>
      <c r="AA4128" s="43"/>
    </row>
    <row r="4129" spans="2:27" x14ac:dyDescent="0.25">
      <c r="B4129" s="42"/>
      <c r="AA4129" s="43"/>
    </row>
    <row r="4130" spans="2:27" x14ac:dyDescent="0.25">
      <c r="B4130" s="42"/>
      <c r="AA4130" s="43"/>
    </row>
    <row r="4131" spans="2:27" x14ac:dyDescent="0.25">
      <c r="B4131" s="42"/>
      <c r="AA4131" s="43"/>
    </row>
    <row r="4132" spans="2:27" x14ac:dyDescent="0.25">
      <c r="B4132" s="42"/>
      <c r="AA4132" s="43"/>
    </row>
    <row r="4133" spans="2:27" x14ac:dyDescent="0.25">
      <c r="B4133" s="42"/>
      <c r="AA4133" s="43"/>
    </row>
    <row r="4134" spans="2:27" x14ac:dyDescent="0.25">
      <c r="B4134" s="42"/>
      <c r="AA4134" s="43"/>
    </row>
    <row r="4135" spans="2:27" x14ac:dyDescent="0.25">
      <c r="B4135" s="42"/>
      <c r="AA4135" s="43"/>
    </row>
    <row r="4136" spans="2:27" x14ac:dyDescent="0.25">
      <c r="B4136" s="42"/>
      <c r="AA4136" s="43"/>
    </row>
    <row r="4137" spans="2:27" x14ac:dyDescent="0.25">
      <c r="B4137" s="42"/>
      <c r="AA4137" s="43"/>
    </row>
    <row r="4138" spans="2:27" x14ac:dyDescent="0.25">
      <c r="B4138" s="42"/>
      <c r="AA4138" s="43"/>
    </row>
    <row r="4139" spans="2:27" x14ac:dyDescent="0.25">
      <c r="B4139" s="42"/>
      <c r="AA4139" s="43"/>
    </row>
    <row r="4140" spans="2:27" x14ac:dyDescent="0.25">
      <c r="B4140" s="42"/>
      <c r="AA4140" s="43"/>
    </row>
    <row r="4141" spans="2:27" x14ac:dyDescent="0.25">
      <c r="B4141" s="42"/>
      <c r="AA4141" s="43"/>
    </row>
    <row r="4142" spans="2:27" x14ac:dyDescent="0.25">
      <c r="B4142" s="42"/>
      <c r="AA4142" s="43"/>
    </row>
    <row r="4143" spans="2:27" x14ac:dyDescent="0.25">
      <c r="B4143" s="42"/>
      <c r="AA4143" s="43"/>
    </row>
    <row r="4144" spans="2:27" x14ac:dyDescent="0.25">
      <c r="B4144" s="42"/>
      <c r="AA4144" s="43"/>
    </row>
    <row r="4145" spans="2:27" x14ac:dyDescent="0.25">
      <c r="B4145" s="42"/>
      <c r="AA4145" s="43"/>
    </row>
    <row r="4146" spans="2:27" x14ac:dyDescent="0.25">
      <c r="B4146" s="42"/>
      <c r="AA4146" s="43"/>
    </row>
    <row r="4147" spans="2:27" x14ac:dyDescent="0.25">
      <c r="B4147" s="42"/>
      <c r="AA4147" s="43"/>
    </row>
    <row r="4148" spans="2:27" x14ac:dyDescent="0.25">
      <c r="B4148" s="42"/>
      <c r="AA4148" s="43"/>
    </row>
    <row r="4149" spans="2:27" x14ac:dyDescent="0.25">
      <c r="B4149" s="42"/>
      <c r="AA4149" s="43"/>
    </row>
    <row r="4150" spans="2:27" x14ac:dyDescent="0.25">
      <c r="B4150" s="42"/>
      <c r="AA4150" s="43"/>
    </row>
    <row r="4151" spans="2:27" x14ac:dyDescent="0.25">
      <c r="B4151" s="42"/>
      <c r="AA4151" s="43"/>
    </row>
    <row r="4152" spans="2:27" x14ac:dyDescent="0.25">
      <c r="B4152" s="42"/>
      <c r="AA4152" s="43"/>
    </row>
    <row r="4153" spans="2:27" x14ac:dyDescent="0.25">
      <c r="B4153" s="42"/>
      <c r="AA4153" s="43"/>
    </row>
    <row r="4154" spans="2:27" x14ac:dyDescent="0.25">
      <c r="B4154" s="42"/>
      <c r="AA4154" s="43"/>
    </row>
    <row r="4155" spans="2:27" x14ac:dyDescent="0.25">
      <c r="B4155" s="42"/>
      <c r="AA4155" s="43"/>
    </row>
    <row r="4156" spans="2:27" x14ac:dyDescent="0.25">
      <c r="B4156" s="42"/>
      <c r="AA4156" s="43"/>
    </row>
    <row r="4157" spans="2:27" x14ac:dyDescent="0.25">
      <c r="B4157" s="42"/>
      <c r="AA4157" s="43"/>
    </row>
    <row r="4158" spans="2:27" x14ac:dyDescent="0.25">
      <c r="B4158" s="42"/>
      <c r="AA4158" s="43"/>
    </row>
    <row r="4159" spans="2:27" x14ac:dyDescent="0.25">
      <c r="B4159" s="42"/>
      <c r="AA4159" s="43"/>
    </row>
    <row r="4160" spans="2:27" x14ac:dyDescent="0.25">
      <c r="B4160" s="42"/>
      <c r="AA4160" s="43"/>
    </row>
    <row r="4161" spans="2:27" x14ac:dyDescent="0.25">
      <c r="B4161" s="42"/>
      <c r="AA4161" s="43"/>
    </row>
    <row r="4162" spans="2:27" x14ac:dyDescent="0.25">
      <c r="B4162" s="42"/>
      <c r="AA4162" s="43"/>
    </row>
    <row r="4163" spans="2:27" x14ac:dyDescent="0.25">
      <c r="B4163" s="42"/>
      <c r="AA4163" s="43"/>
    </row>
    <row r="4164" spans="2:27" x14ac:dyDescent="0.25">
      <c r="B4164" s="42"/>
      <c r="AA4164" s="43"/>
    </row>
    <row r="4165" spans="2:27" x14ac:dyDescent="0.25">
      <c r="B4165" s="42"/>
      <c r="AA4165" s="43"/>
    </row>
    <row r="4166" spans="2:27" x14ac:dyDescent="0.25">
      <c r="B4166" s="42"/>
      <c r="AA4166" s="43"/>
    </row>
    <row r="4167" spans="2:27" x14ac:dyDescent="0.25">
      <c r="B4167" s="42"/>
      <c r="AA4167" s="43"/>
    </row>
    <row r="4168" spans="2:27" x14ac:dyDescent="0.25">
      <c r="B4168" s="42"/>
      <c r="AA4168" s="43"/>
    </row>
    <row r="4169" spans="2:27" x14ac:dyDescent="0.25">
      <c r="B4169" s="42"/>
      <c r="AA4169" s="43"/>
    </row>
    <row r="4170" spans="2:27" x14ac:dyDescent="0.25">
      <c r="B4170" s="42"/>
      <c r="AA4170" s="43"/>
    </row>
    <row r="4171" spans="2:27" x14ac:dyDescent="0.25">
      <c r="B4171" s="42"/>
      <c r="AA4171" s="43"/>
    </row>
    <row r="4172" spans="2:27" x14ac:dyDescent="0.25">
      <c r="B4172" s="42"/>
      <c r="AA4172" s="43"/>
    </row>
    <row r="4173" spans="2:27" x14ac:dyDescent="0.25">
      <c r="B4173" s="42"/>
      <c r="AA4173" s="43"/>
    </row>
    <row r="4174" spans="2:27" x14ac:dyDescent="0.25">
      <c r="B4174" s="42"/>
      <c r="AA4174" s="43"/>
    </row>
    <row r="4175" spans="2:27" x14ac:dyDescent="0.25">
      <c r="B4175" s="42"/>
      <c r="AA4175" s="43"/>
    </row>
    <row r="4176" spans="2:27" x14ac:dyDescent="0.25">
      <c r="B4176" s="42"/>
      <c r="AA4176" s="43"/>
    </row>
    <row r="4177" spans="2:27" x14ac:dyDescent="0.25">
      <c r="B4177" s="42"/>
      <c r="AA4177" s="43"/>
    </row>
    <row r="4178" spans="2:27" x14ac:dyDescent="0.25">
      <c r="B4178" s="42"/>
      <c r="AA4178" s="43"/>
    </row>
    <row r="4179" spans="2:27" x14ac:dyDescent="0.25">
      <c r="B4179" s="42"/>
      <c r="AA4179" s="43"/>
    </row>
    <row r="4180" spans="2:27" x14ac:dyDescent="0.25">
      <c r="B4180" s="42"/>
      <c r="AA4180" s="43"/>
    </row>
    <row r="4181" spans="2:27" x14ac:dyDescent="0.25">
      <c r="B4181" s="42"/>
      <c r="AA4181" s="43"/>
    </row>
    <row r="4182" spans="2:27" x14ac:dyDescent="0.25">
      <c r="B4182" s="42"/>
      <c r="AA4182" s="43"/>
    </row>
    <row r="4183" spans="2:27" x14ac:dyDescent="0.25">
      <c r="B4183" s="42"/>
      <c r="AA4183" s="43"/>
    </row>
    <row r="4184" spans="2:27" x14ac:dyDescent="0.25">
      <c r="B4184" s="42"/>
      <c r="AA4184" s="43"/>
    </row>
    <row r="4185" spans="2:27" x14ac:dyDescent="0.25">
      <c r="B4185" s="42"/>
      <c r="AA4185" s="43"/>
    </row>
    <row r="4186" spans="2:27" x14ac:dyDescent="0.25">
      <c r="B4186" s="42"/>
      <c r="AA4186" s="43"/>
    </row>
    <row r="4187" spans="2:27" x14ac:dyDescent="0.25">
      <c r="B4187" s="42"/>
      <c r="AA4187" s="43"/>
    </row>
    <row r="4188" spans="2:27" x14ac:dyDescent="0.25">
      <c r="B4188" s="42"/>
      <c r="AA4188" s="43"/>
    </row>
    <row r="4189" spans="2:27" x14ac:dyDescent="0.25">
      <c r="B4189" s="42"/>
      <c r="AA4189" s="43"/>
    </row>
    <row r="4190" spans="2:27" x14ac:dyDescent="0.25">
      <c r="B4190" s="42"/>
      <c r="AA4190" s="43"/>
    </row>
    <row r="4191" spans="2:27" x14ac:dyDescent="0.25">
      <c r="B4191" s="42"/>
      <c r="AA4191" s="43"/>
    </row>
    <row r="4192" spans="2:27" x14ac:dyDescent="0.25">
      <c r="B4192" s="42"/>
      <c r="AA4192" s="43"/>
    </row>
    <row r="4193" spans="2:27" x14ac:dyDescent="0.25">
      <c r="B4193" s="42"/>
      <c r="AA4193" s="43"/>
    </row>
    <row r="4194" spans="2:27" x14ac:dyDescent="0.25">
      <c r="B4194" s="42"/>
      <c r="AA4194" s="43"/>
    </row>
    <row r="4195" spans="2:27" x14ac:dyDescent="0.25">
      <c r="B4195" s="42"/>
      <c r="AA4195" s="43"/>
    </row>
    <row r="4196" spans="2:27" x14ac:dyDescent="0.25">
      <c r="B4196" s="42"/>
      <c r="AA4196" s="43"/>
    </row>
    <row r="4197" spans="2:27" x14ac:dyDescent="0.25">
      <c r="B4197" s="42"/>
      <c r="AA4197" s="43"/>
    </row>
    <row r="4198" spans="2:27" x14ac:dyDescent="0.25">
      <c r="B4198" s="42"/>
      <c r="AA4198" s="43"/>
    </row>
    <row r="4199" spans="2:27" x14ac:dyDescent="0.25">
      <c r="B4199" s="42"/>
      <c r="AA4199" s="43"/>
    </row>
    <row r="4200" spans="2:27" x14ac:dyDescent="0.25">
      <c r="B4200" s="42"/>
      <c r="AA4200" s="43"/>
    </row>
    <row r="4201" spans="2:27" x14ac:dyDescent="0.25">
      <c r="B4201" s="42"/>
      <c r="AA4201" s="43"/>
    </row>
    <row r="4202" spans="2:27" x14ac:dyDescent="0.25">
      <c r="B4202" s="42"/>
      <c r="AA4202" s="43"/>
    </row>
    <row r="4203" spans="2:27" x14ac:dyDescent="0.25">
      <c r="B4203" s="42"/>
      <c r="AA4203" s="43"/>
    </row>
    <row r="4204" spans="2:27" x14ac:dyDescent="0.25">
      <c r="B4204" s="42"/>
      <c r="AA4204" s="43"/>
    </row>
    <row r="4205" spans="2:27" x14ac:dyDescent="0.25">
      <c r="B4205" s="42"/>
      <c r="AA4205" s="43"/>
    </row>
    <row r="4206" spans="2:27" x14ac:dyDescent="0.25">
      <c r="B4206" s="42"/>
      <c r="AA4206" s="43"/>
    </row>
    <row r="4207" spans="2:27" x14ac:dyDescent="0.25">
      <c r="B4207" s="42"/>
      <c r="AA4207" s="43"/>
    </row>
    <row r="4208" spans="2:27" x14ac:dyDescent="0.25">
      <c r="B4208" s="42"/>
      <c r="AA4208" s="43"/>
    </row>
    <row r="4209" spans="2:27" x14ac:dyDescent="0.25">
      <c r="B4209" s="42"/>
      <c r="AA4209" s="43"/>
    </row>
    <row r="4210" spans="2:27" x14ac:dyDescent="0.25">
      <c r="B4210" s="42"/>
      <c r="AA4210" s="43"/>
    </row>
    <row r="4211" spans="2:27" x14ac:dyDescent="0.25">
      <c r="B4211" s="42"/>
      <c r="AA4211" s="43"/>
    </row>
    <row r="4212" spans="2:27" x14ac:dyDescent="0.25">
      <c r="B4212" s="42"/>
      <c r="AA4212" s="43"/>
    </row>
    <row r="4213" spans="2:27" x14ac:dyDescent="0.25">
      <c r="B4213" s="42"/>
      <c r="AA4213" s="43"/>
    </row>
    <row r="4214" spans="2:27" x14ac:dyDescent="0.25">
      <c r="B4214" s="42"/>
      <c r="AA4214" s="43"/>
    </row>
    <row r="4215" spans="2:27" x14ac:dyDescent="0.25">
      <c r="B4215" s="42"/>
      <c r="AA4215" s="43"/>
    </row>
    <row r="4216" spans="2:27" x14ac:dyDescent="0.25">
      <c r="B4216" s="42"/>
      <c r="AA4216" s="43"/>
    </row>
    <row r="4217" spans="2:27" x14ac:dyDescent="0.25">
      <c r="B4217" s="42"/>
      <c r="AA4217" s="43"/>
    </row>
    <row r="4218" spans="2:27" x14ac:dyDescent="0.25">
      <c r="B4218" s="42"/>
      <c r="AA4218" s="43"/>
    </row>
    <row r="4219" spans="2:27" x14ac:dyDescent="0.25">
      <c r="B4219" s="42"/>
      <c r="AA4219" s="43"/>
    </row>
    <row r="4220" spans="2:27" x14ac:dyDescent="0.25">
      <c r="B4220" s="42"/>
      <c r="AA4220" s="43"/>
    </row>
    <row r="4221" spans="2:27" x14ac:dyDescent="0.25">
      <c r="B4221" s="42"/>
      <c r="AA4221" s="43"/>
    </row>
    <row r="4222" spans="2:27" x14ac:dyDescent="0.25">
      <c r="B4222" s="42"/>
      <c r="AA4222" s="43"/>
    </row>
    <row r="4223" spans="2:27" x14ac:dyDescent="0.25">
      <c r="B4223" s="42"/>
      <c r="AA4223" s="43"/>
    </row>
    <row r="4224" spans="2:27" x14ac:dyDescent="0.25">
      <c r="B4224" s="42"/>
      <c r="AA4224" s="43"/>
    </row>
    <row r="4225" spans="2:27" x14ac:dyDescent="0.25">
      <c r="B4225" s="42"/>
      <c r="AA4225" s="43"/>
    </row>
    <row r="4226" spans="2:27" x14ac:dyDescent="0.25">
      <c r="B4226" s="42"/>
      <c r="AA4226" s="43"/>
    </row>
    <row r="4227" spans="2:27" x14ac:dyDescent="0.25">
      <c r="B4227" s="42"/>
      <c r="AA4227" s="43"/>
    </row>
    <row r="4228" spans="2:27" x14ac:dyDescent="0.25">
      <c r="B4228" s="42"/>
      <c r="AA4228" s="43"/>
    </row>
    <row r="4229" spans="2:27" x14ac:dyDescent="0.25">
      <c r="B4229" s="42"/>
      <c r="AA4229" s="43"/>
    </row>
    <row r="4230" spans="2:27" x14ac:dyDescent="0.25">
      <c r="B4230" s="42"/>
      <c r="AA4230" s="43"/>
    </row>
    <row r="4231" spans="2:27" x14ac:dyDescent="0.25">
      <c r="B4231" s="42"/>
      <c r="AA4231" s="43"/>
    </row>
    <row r="4232" spans="2:27" x14ac:dyDescent="0.25">
      <c r="B4232" s="42"/>
      <c r="AA4232" s="43"/>
    </row>
    <row r="4233" spans="2:27" x14ac:dyDescent="0.25">
      <c r="B4233" s="42"/>
      <c r="AA4233" s="43"/>
    </row>
    <row r="4234" spans="2:27" x14ac:dyDescent="0.25">
      <c r="B4234" s="42"/>
      <c r="AA4234" s="43"/>
    </row>
    <row r="4235" spans="2:27" x14ac:dyDescent="0.25">
      <c r="B4235" s="42"/>
      <c r="AA4235" s="43"/>
    </row>
    <row r="4236" spans="2:27" x14ac:dyDescent="0.25">
      <c r="B4236" s="42"/>
      <c r="AA4236" s="43"/>
    </row>
    <row r="4237" spans="2:27" x14ac:dyDescent="0.25">
      <c r="B4237" s="42"/>
      <c r="AA4237" s="43"/>
    </row>
    <row r="4238" spans="2:27" x14ac:dyDescent="0.25">
      <c r="B4238" s="42"/>
      <c r="AA4238" s="43"/>
    </row>
    <row r="4239" spans="2:27" x14ac:dyDescent="0.25">
      <c r="B4239" s="42"/>
      <c r="AA4239" s="43"/>
    </row>
    <row r="4240" spans="2:27" x14ac:dyDescent="0.25">
      <c r="B4240" s="42"/>
      <c r="AA4240" s="43"/>
    </row>
    <row r="4241" spans="2:27" x14ac:dyDescent="0.25">
      <c r="B4241" s="42"/>
      <c r="AA4241" s="43"/>
    </row>
    <row r="4242" spans="2:27" x14ac:dyDescent="0.25">
      <c r="B4242" s="42"/>
      <c r="AA4242" s="43"/>
    </row>
    <row r="4243" spans="2:27" x14ac:dyDescent="0.25">
      <c r="B4243" s="42"/>
      <c r="AA4243" s="43"/>
    </row>
    <row r="4244" spans="2:27" x14ac:dyDescent="0.25">
      <c r="B4244" s="42"/>
      <c r="AA4244" s="43"/>
    </row>
    <row r="4245" spans="2:27" x14ac:dyDescent="0.25">
      <c r="B4245" s="42"/>
      <c r="AA4245" s="43"/>
    </row>
    <row r="4246" spans="2:27" x14ac:dyDescent="0.25">
      <c r="B4246" s="42"/>
      <c r="AA4246" s="43"/>
    </row>
    <row r="4247" spans="2:27" x14ac:dyDescent="0.25">
      <c r="B4247" s="42"/>
      <c r="AA4247" s="43"/>
    </row>
    <row r="4248" spans="2:27" x14ac:dyDescent="0.25">
      <c r="B4248" s="42"/>
      <c r="AA4248" s="43"/>
    </row>
    <row r="4249" spans="2:27" x14ac:dyDescent="0.25">
      <c r="B4249" s="42"/>
      <c r="AA4249" s="43"/>
    </row>
    <row r="4250" spans="2:27" x14ac:dyDescent="0.25">
      <c r="B4250" s="42"/>
      <c r="AA4250" s="43"/>
    </row>
    <row r="4251" spans="2:27" x14ac:dyDescent="0.25">
      <c r="B4251" s="42"/>
      <c r="AA4251" s="43"/>
    </row>
    <row r="4252" spans="2:27" x14ac:dyDescent="0.25">
      <c r="B4252" s="42"/>
      <c r="AA4252" s="43"/>
    </row>
    <row r="4253" spans="2:27" x14ac:dyDescent="0.25">
      <c r="B4253" s="42"/>
      <c r="AA4253" s="43"/>
    </row>
    <row r="4254" spans="2:27" x14ac:dyDescent="0.25">
      <c r="B4254" s="42"/>
      <c r="AA4254" s="43"/>
    </row>
    <row r="4255" spans="2:27" x14ac:dyDescent="0.25">
      <c r="B4255" s="42"/>
      <c r="AA4255" s="43"/>
    </row>
    <row r="4256" spans="2:27" x14ac:dyDescent="0.25">
      <c r="B4256" s="42"/>
      <c r="AA4256" s="43"/>
    </row>
    <row r="4257" spans="2:27" x14ac:dyDescent="0.25">
      <c r="B4257" s="42"/>
      <c r="AA4257" s="43"/>
    </row>
    <row r="4258" spans="2:27" x14ac:dyDescent="0.25">
      <c r="B4258" s="42"/>
      <c r="AA4258" s="43"/>
    </row>
    <row r="4259" spans="2:27" x14ac:dyDescent="0.25">
      <c r="B4259" s="42"/>
      <c r="AA4259" s="43"/>
    </row>
    <row r="4260" spans="2:27" x14ac:dyDescent="0.25">
      <c r="B4260" s="42"/>
      <c r="AA4260" s="43"/>
    </row>
    <row r="4261" spans="2:27" x14ac:dyDescent="0.25">
      <c r="B4261" s="42"/>
      <c r="AA4261" s="43"/>
    </row>
    <row r="4262" spans="2:27" x14ac:dyDescent="0.25">
      <c r="B4262" s="42"/>
      <c r="AA4262" s="43"/>
    </row>
    <row r="4263" spans="2:27" x14ac:dyDescent="0.25">
      <c r="B4263" s="42"/>
      <c r="AA4263" s="43"/>
    </row>
    <row r="4264" spans="2:27" x14ac:dyDescent="0.25">
      <c r="B4264" s="42"/>
      <c r="AA4264" s="43"/>
    </row>
    <row r="4265" spans="2:27" x14ac:dyDescent="0.25">
      <c r="B4265" s="42"/>
      <c r="AA4265" s="43"/>
    </row>
    <row r="4266" spans="2:27" x14ac:dyDescent="0.25">
      <c r="B4266" s="42"/>
      <c r="AA4266" s="43"/>
    </row>
    <row r="4267" spans="2:27" x14ac:dyDescent="0.25">
      <c r="B4267" s="42"/>
      <c r="AA4267" s="43"/>
    </row>
    <row r="4268" spans="2:27" x14ac:dyDescent="0.25">
      <c r="B4268" s="42"/>
      <c r="AA4268" s="43"/>
    </row>
    <row r="4269" spans="2:27" x14ac:dyDescent="0.25">
      <c r="B4269" s="42"/>
      <c r="AA4269" s="43"/>
    </row>
    <row r="4270" spans="2:27" x14ac:dyDescent="0.25">
      <c r="B4270" s="42"/>
      <c r="AA4270" s="43"/>
    </row>
    <row r="4271" spans="2:27" x14ac:dyDescent="0.25">
      <c r="B4271" s="42"/>
      <c r="AA4271" s="43"/>
    </row>
    <row r="4272" spans="2:27" x14ac:dyDescent="0.25">
      <c r="B4272" s="42"/>
      <c r="AA4272" s="43"/>
    </row>
    <row r="4273" spans="2:27" x14ac:dyDescent="0.25">
      <c r="B4273" s="42"/>
      <c r="AA4273" s="43"/>
    </row>
    <row r="4274" spans="2:27" x14ac:dyDescent="0.25">
      <c r="B4274" s="42"/>
      <c r="AA4274" s="43"/>
    </row>
    <row r="4275" spans="2:27" x14ac:dyDescent="0.25">
      <c r="B4275" s="42"/>
      <c r="AA4275" s="43"/>
    </row>
    <row r="4276" spans="2:27" x14ac:dyDescent="0.25">
      <c r="B4276" s="42"/>
      <c r="AA4276" s="43"/>
    </row>
    <row r="4277" spans="2:27" x14ac:dyDescent="0.25">
      <c r="B4277" s="42"/>
      <c r="AA4277" s="43"/>
    </row>
    <row r="4278" spans="2:27" x14ac:dyDescent="0.25">
      <c r="B4278" s="42"/>
      <c r="AA4278" s="43"/>
    </row>
    <row r="4279" spans="2:27" x14ac:dyDescent="0.25">
      <c r="B4279" s="42"/>
      <c r="AA4279" s="43"/>
    </row>
    <row r="4280" spans="2:27" x14ac:dyDescent="0.25">
      <c r="B4280" s="42"/>
      <c r="AA4280" s="43"/>
    </row>
    <row r="4281" spans="2:27" x14ac:dyDescent="0.25">
      <c r="B4281" s="42"/>
      <c r="AA4281" s="43"/>
    </row>
    <row r="4282" spans="2:27" x14ac:dyDescent="0.25">
      <c r="B4282" s="42"/>
      <c r="AA4282" s="43"/>
    </row>
    <row r="4283" spans="2:27" x14ac:dyDescent="0.25">
      <c r="B4283" s="42"/>
      <c r="AA4283" s="43"/>
    </row>
    <row r="4284" spans="2:27" x14ac:dyDescent="0.25">
      <c r="B4284" s="42"/>
      <c r="AA4284" s="43"/>
    </row>
    <row r="4285" spans="2:27" x14ac:dyDescent="0.25">
      <c r="B4285" s="42"/>
      <c r="AA4285" s="43"/>
    </row>
    <row r="4286" spans="2:27" x14ac:dyDescent="0.25">
      <c r="B4286" s="42"/>
      <c r="AA4286" s="43"/>
    </row>
    <row r="4287" spans="2:27" x14ac:dyDescent="0.25">
      <c r="B4287" s="42"/>
      <c r="AA4287" s="43"/>
    </row>
    <row r="4288" spans="2:27" x14ac:dyDescent="0.25">
      <c r="B4288" s="42"/>
      <c r="AA4288" s="43"/>
    </row>
    <row r="4289" spans="2:27" x14ac:dyDescent="0.25">
      <c r="B4289" s="42"/>
      <c r="AA4289" s="43"/>
    </row>
    <row r="4290" spans="2:27" x14ac:dyDescent="0.25">
      <c r="B4290" s="42"/>
      <c r="AA4290" s="43"/>
    </row>
    <row r="4291" spans="2:27" x14ac:dyDescent="0.25">
      <c r="B4291" s="42"/>
      <c r="AA4291" s="43"/>
    </row>
    <row r="4292" spans="2:27" x14ac:dyDescent="0.25">
      <c r="B4292" s="42"/>
      <c r="AA4292" s="43"/>
    </row>
    <row r="4293" spans="2:27" x14ac:dyDescent="0.25">
      <c r="B4293" s="42"/>
      <c r="AA4293" s="43"/>
    </row>
    <row r="4294" spans="2:27" x14ac:dyDescent="0.25">
      <c r="B4294" s="42"/>
      <c r="AA4294" s="43"/>
    </row>
    <row r="4295" spans="2:27" x14ac:dyDescent="0.25">
      <c r="B4295" s="42"/>
      <c r="AA4295" s="43"/>
    </row>
    <row r="4296" spans="2:27" x14ac:dyDescent="0.25">
      <c r="B4296" s="42"/>
      <c r="AA4296" s="43"/>
    </row>
    <row r="4297" spans="2:27" x14ac:dyDescent="0.25">
      <c r="B4297" s="42"/>
      <c r="AA4297" s="43"/>
    </row>
    <row r="4298" spans="2:27" x14ac:dyDescent="0.25">
      <c r="B4298" s="42"/>
      <c r="AA4298" s="43"/>
    </row>
    <row r="4299" spans="2:27" x14ac:dyDescent="0.25">
      <c r="B4299" s="42"/>
      <c r="AA4299" s="43"/>
    </row>
    <row r="4300" spans="2:27" x14ac:dyDescent="0.25">
      <c r="B4300" s="42"/>
      <c r="AA4300" s="43"/>
    </row>
    <row r="4301" spans="2:27" x14ac:dyDescent="0.25">
      <c r="B4301" s="42"/>
      <c r="AA4301" s="43"/>
    </row>
    <row r="4302" spans="2:27" x14ac:dyDescent="0.25">
      <c r="B4302" s="42"/>
      <c r="AA4302" s="43"/>
    </row>
    <row r="4303" spans="2:27" x14ac:dyDescent="0.25">
      <c r="B4303" s="42"/>
      <c r="AA4303" s="43"/>
    </row>
    <row r="4304" spans="2:27" x14ac:dyDescent="0.25">
      <c r="B4304" s="42"/>
      <c r="AA4304" s="43"/>
    </row>
    <row r="4305" spans="2:27" x14ac:dyDescent="0.25">
      <c r="B4305" s="42"/>
      <c r="AA4305" s="43"/>
    </row>
    <row r="4306" spans="2:27" x14ac:dyDescent="0.25">
      <c r="B4306" s="42"/>
      <c r="AA4306" s="43"/>
    </row>
    <row r="4307" spans="2:27" x14ac:dyDescent="0.25">
      <c r="B4307" s="42"/>
      <c r="AA4307" s="43"/>
    </row>
    <row r="4308" spans="2:27" x14ac:dyDescent="0.25">
      <c r="B4308" s="42"/>
      <c r="AA4308" s="43"/>
    </row>
    <row r="4309" spans="2:27" x14ac:dyDescent="0.25">
      <c r="B4309" s="42"/>
      <c r="AA4309" s="43"/>
    </row>
    <row r="4310" spans="2:27" x14ac:dyDescent="0.25">
      <c r="B4310" s="42"/>
      <c r="AA4310" s="43"/>
    </row>
    <row r="4311" spans="2:27" x14ac:dyDescent="0.25">
      <c r="B4311" s="42"/>
      <c r="AA4311" s="43"/>
    </row>
    <row r="4312" spans="2:27" x14ac:dyDescent="0.25">
      <c r="B4312" s="42"/>
      <c r="AA4312" s="43"/>
    </row>
    <row r="4313" spans="2:27" x14ac:dyDescent="0.25">
      <c r="B4313" s="42"/>
      <c r="AA4313" s="43"/>
    </row>
    <row r="4314" spans="2:27" x14ac:dyDescent="0.25">
      <c r="B4314" s="42"/>
      <c r="AA4314" s="43"/>
    </row>
    <row r="4315" spans="2:27" x14ac:dyDescent="0.25">
      <c r="B4315" s="42"/>
      <c r="AA4315" s="43"/>
    </row>
    <row r="4316" spans="2:27" x14ac:dyDescent="0.25">
      <c r="B4316" s="42"/>
      <c r="AA4316" s="43"/>
    </row>
    <row r="4317" spans="2:27" x14ac:dyDescent="0.25">
      <c r="B4317" s="42"/>
      <c r="AA4317" s="43"/>
    </row>
    <row r="4318" spans="2:27" x14ac:dyDescent="0.25">
      <c r="B4318" s="42"/>
      <c r="AA4318" s="43"/>
    </row>
    <row r="4319" spans="2:27" x14ac:dyDescent="0.25">
      <c r="B4319" s="42"/>
      <c r="AA4319" s="43"/>
    </row>
    <row r="4320" spans="2:27" x14ac:dyDescent="0.25">
      <c r="B4320" s="42"/>
      <c r="AA4320" s="43"/>
    </row>
    <row r="4321" spans="2:27" x14ac:dyDescent="0.25">
      <c r="B4321" s="42"/>
      <c r="AA4321" s="43"/>
    </row>
    <row r="4322" spans="2:27" x14ac:dyDescent="0.25">
      <c r="B4322" s="42"/>
      <c r="AA4322" s="43"/>
    </row>
    <row r="4323" spans="2:27" x14ac:dyDescent="0.25">
      <c r="B4323" s="42"/>
      <c r="AA4323" s="43"/>
    </row>
    <row r="4324" spans="2:27" x14ac:dyDescent="0.25">
      <c r="B4324" s="42"/>
      <c r="AA4324" s="43"/>
    </row>
    <row r="4325" spans="2:27" x14ac:dyDescent="0.25">
      <c r="B4325" s="42"/>
      <c r="AA4325" s="43"/>
    </row>
    <row r="4326" spans="2:27" x14ac:dyDescent="0.25">
      <c r="B4326" s="42"/>
      <c r="AA4326" s="43"/>
    </row>
    <row r="4327" spans="2:27" x14ac:dyDescent="0.25">
      <c r="B4327" s="42"/>
      <c r="AA4327" s="43"/>
    </row>
    <row r="4328" spans="2:27" x14ac:dyDescent="0.25">
      <c r="B4328" s="42"/>
      <c r="AA4328" s="43"/>
    </row>
    <row r="4329" spans="2:27" x14ac:dyDescent="0.25">
      <c r="B4329" s="42"/>
      <c r="AA4329" s="43"/>
    </row>
    <row r="4330" spans="2:27" x14ac:dyDescent="0.25">
      <c r="B4330" s="42"/>
      <c r="AA4330" s="43"/>
    </row>
    <row r="4331" spans="2:27" x14ac:dyDescent="0.25">
      <c r="B4331" s="42"/>
      <c r="AA4331" s="43"/>
    </row>
    <row r="4332" spans="2:27" x14ac:dyDescent="0.25">
      <c r="B4332" s="42"/>
      <c r="AA4332" s="43"/>
    </row>
    <row r="4333" spans="2:27" x14ac:dyDescent="0.25">
      <c r="B4333" s="42"/>
      <c r="AA4333" s="43"/>
    </row>
    <row r="4334" spans="2:27" x14ac:dyDescent="0.25">
      <c r="B4334" s="42"/>
      <c r="AA4334" s="43"/>
    </row>
    <row r="4335" spans="2:27" x14ac:dyDescent="0.25">
      <c r="B4335" s="42"/>
      <c r="AA4335" s="43"/>
    </row>
    <row r="4336" spans="2:27" x14ac:dyDescent="0.25">
      <c r="B4336" s="42"/>
      <c r="AA4336" s="43"/>
    </row>
    <row r="4337" spans="2:27" x14ac:dyDescent="0.25">
      <c r="B4337" s="42"/>
      <c r="AA4337" s="43"/>
    </row>
    <row r="4338" spans="2:27" x14ac:dyDescent="0.25">
      <c r="B4338" s="42"/>
      <c r="AA4338" s="43"/>
    </row>
    <row r="4339" spans="2:27" x14ac:dyDescent="0.25">
      <c r="B4339" s="42"/>
      <c r="AA4339" s="43"/>
    </row>
    <row r="4340" spans="2:27" x14ac:dyDescent="0.25">
      <c r="B4340" s="42"/>
      <c r="AA4340" s="43"/>
    </row>
    <row r="4341" spans="2:27" x14ac:dyDescent="0.25">
      <c r="B4341" s="42"/>
      <c r="AA4341" s="43"/>
    </row>
    <row r="4342" spans="2:27" x14ac:dyDescent="0.25">
      <c r="B4342" s="42"/>
      <c r="AA4342" s="43"/>
    </row>
    <row r="4343" spans="2:27" x14ac:dyDescent="0.25">
      <c r="B4343" s="42"/>
      <c r="AA4343" s="43"/>
    </row>
    <row r="4344" spans="2:27" x14ac:dyDescent="0.25">
      <c r="B4344" s="42"/>
      <c r="AA4344" s="43"/>
    </row>
    <row r="4345" spans="2:27" x14ac:dyDescent="0.25">
      <c r="B4345" s="42"/>
      <c r="AA4345" s="43"/>
    </row>
    <row r="4346" spans="2:27" x14ac:dyDescent="0.25">
      <c r="B4346" s="42"/>
      <c r="AA4346" s="43"/>
    </row>
    <row r="4347" spans="2:27" x14ac:dyDescent="0.25">
      <c r="B4347" s="42"/>
      <c r="AA4347" s="43"/>
    </row>
    <row r="4348" spans="2:27" x14ac:dyDescent="0.25">
      <c r="B4348" s="42"/>
      <c r="AA4348" s="43"/>
    </row>
    <row r="4349" spans="2:27" x14ac:dyDescent="0.25">
      <c r="B4349" s="42"/>
      <c r="AA4349" s="43"/>
    </row>
    <row r="4350" spans="2:27" x14ac:dyDescent="0.25">
      <c r="B4350" s="42"/>
      <c r="AA4350" s="43"/>
    </row>
    <row r="4351" spans="2:27" x14ac:dyDescent="0.25">
      <c r="B4351" s="42"/>
      <c r="AA4351" s="43"/>
    </row>
    <row r="4352" spans="2:27" x14ac:dyDescent="0.25">
      <c r="B4352" s="42"/>
      <c r="AA4352" s="43"/>
    </row>
    <row r="4353" spans="2:27" x14ac:dyDescent="0.25">
      <c r="B4353" s="42"/>
      <c r="AA4353" s="43"/>
    </row>
    <row r="4354" spans="2:27" x14ac:dyDescent="0.25">
      <c r="B4354" s="42"/>
      <c r="AA4354" s="43"/>
    </row>
    <row r="4355" spans="2:27" x14ac:dyDescent="0.25">
      <c r="B4355" s="42"/>
      <c r="AA4355" s="43"/>
    </row>
    <row r="4356" spans="2:27" x14ac:dyDescent="0.25">
      <c r="B4356" s="42"/>
      <c r="AA4356" s="43"/>
    </row>
    <row r="4357" spans="2:27" x14ac:dyDescent="0.25">
      <c r="B4357" s="42"/>
      <c r="AA4357" s="43"/>
    </row>
    <row r="4358" spans="2:27" x14ac:dyDescent="0.25">
      <c r="B4358" s="42"/>
      <c r="AA4358" s="43"/>
    </row>
    <row r="4359" spans="2:27" x14ac:dyDescent="0.25">
      <c r="B4359" s="42"/>
      <c r="AA4359" s="43"/>
    </row>
    <row r="4360" spans="2:27" x14ac:dyDescent="0.25">
      <c r="B4360" s="42"/>
      <c r="AA4360" s="43"/>
    </row>
    <row r="4361" spans="2:27" x14ac:dyDescent="0.25">
      <c r="B4361" s="42"/>
      <c r="AA4361" s="43"/>
    </row>
    <row r="4362" spans="2:27" x14ac:dyDescent="0.25">
      <c r="B4362" s="42"/>
      <c r="AA4362" s="43"/>
    </row>
    <row r="4363" spans="2:27" x14ac:dyDescent="0.25">
      <c r="B4363" s="42"/>
      <c r="AA4363" s="43"/>
    </row>
    <row r="4364" spans="2:27" x14ac:dyDescent="0.25">
      <c r="B4364" s="42"/>
      <c r="AA4364" s="43"/>
    </row>
    <row r="4365" spans="2:27" x14ac:dyDescent="0.25">
      <c r="B4365" s="42"/>
      <c r="AA4365" s="43"/>
    </row>
    <row r="4366" spans="2:27" x14ac:dyDescent="0.25">
      <c r="B4366" s="42"/>
      <c r="AA4366" s="43"/>
    </row>
    <row r="4367" spans="2:27" x14ac:dyDescent="0.25">
      <c r="B4367" s="42"/>
      <c r="AA4367" s="43"/>
    </row>
    <row r="4368" spans="2:27" x14ac:dyDescent="0.25">
      <c r="B4368" s="42"/>
      <c r="AA4368" s="43"/>
    </row>
    <row r="4369" spans="2:27" x14ac:dyDescent="0.25">
      <c r="B4369" s="42"/>
      <c r="AA4369" s="43"/>
    </row>
    <row r="4370" spans="2:27" x14ac:dyDescent="0.25">
      <c r="B4370" s="42"/>
      <c r="AA4370" s="43"/>
    </row>
    <row r="4371" spans="2:27" x14ac:dyDescent="0.25">
      <c r="B4371" s="42"/>
      <c r="AA4371" s="43"/>
    </row>
    <row r="4372" spans="2:27" x14ac:dyDescent="0.25">
      <c r="B4372" s="42"/>
      <c r="AA4372" s="43"/>
    </row>
    <row r="4373" spans="2:27" x14ac:dyDescent="0.25">
      <c r="B4373" s="42"/>
      <c r="AA4373" s="43"/>
    </row>
    <row r="4374" spans="2:27" x14ac:dyDescent="0.25">
      <c r="B4374" s="42"/>
      <c r="AA4374" s="43"/>
    </row>
    <row r="4375" spans="2:27" x14ac:dyDescent="0.25">
      <c r="B4375" s="42"/>
      <c r="AA4375" s="43"/>
    </row>
    <row r="4376" spans="2:27" x14ac:dyDescent="0.25">
      <c r="B4376" s="42"/>
      <c r="AA4376" s="43"/>
    </row>
    <row r="4377" spans="2:27" x14ac:dyDescent="0.25">
      <c r="B4377" s="42"/>
      <c r="AA4377" s="43"/>
    </row>
    <row r="4378" spans="2:27" x14ac:dyDescent="0.25">
      <c r="B4378" s="42"/>
      <c r="AA4378" s="43"/>
    </row>
    <row r="4379" spans="2:27" x14ac:dyDescent="0.25">
      <c r="B4379" s="42"/>
      <c r="AA4379" s="43"/>
    </row>
    <row r="4380" spans="2:27" x14ac:dyDescent="0.25">
      <c r="B4380" s="42"/>
      <c r="AA4380" s="43"/>
    </row>
    <row r="4381" spans="2:27" x14ac:dyDescent="0.25">
      <c r="B4381" s="42"/>
      <c r="AA4381" s="43"/>
    </row>
    <row r="4382" spans="2:27" x14ac:dyDescent="0.25">
      <c r="B4382" s="42"/>
      <c r="AA4382" s="43"/>
    </row>
    <row r="4383" spans="2:27" x14ac:dyDescent="0.25">
      <c r="B4383" s="42"/>
      <c r="AA4383" s="43"/>
    </row>
    <row r="4384" spans="2:27" x14ac:dyDescent="0.25">
      <c r="B4384" s="42"/>
      <c r="AA4384" s="43"/>
    </row>
    <row r="4385" spans="2:27" x14ac:dyDescent="0.25">
      <c r="B4385" s="42"/>
      <c r="AA4385" s="43"/>
    </row>
    <row r="4386" spans="2:27" x14ac:dyDescent="0.25">
      <c r="B4386" s="42"/>
      <c r="AA4386" s="43"/>
    </row>
    <row r="4387" spans="2:27" x14ac:dyDescent="0.25">
      <c r="B4387" s="42"/>
      <c r="AA4387" s="43"/>
    </row>
    <row r="4388" spans="2:27" x14ac:dyDescent="0.25">
      <c r="B4388" s="42"/>
      <c r="AA4388" s="43"/>
    </row>
    <row r="4389" spans="2:27" x14ac:dyDescent="0.25">
      <c r="B4389" s="42"/>
      <c r="AA4389" s="43"/>
    </row>
    <row r="4390" spans="2:27" x14ac:dyDescent="0.25">
      <c r="B4390" s="42"/>
      <c r="AA4390" s="43"/>
    </row>
    <row r="4391" spans="2:27" x14ac:dyDescent="0.25">
      <c r="B4391" s="42"/>
      <c r="AA4391" s="43"/>
    </row>
    <row r="4392" spans="2:27" x14ac:dyDescent="0.25">
      <c r="B4392" s="42"/>
      <c r="AA4392" s="43"/>
    </row>
    <row r="4393" spans="2:27" x14ac:dyDescent="0.25">
      <c r="B4393" s="42"/>
      <c r="AA4393" s="43"/>
    </row>
    <row r="4394" spans="2:27" x14ac:dyDescent="0.25">
      <c r="B4394" s="42"/>
      <c r="AA4394" s="43"/>
    </row>
    <row r="4395" spans="2:27" x14ac:dyDescent="0.25">
      <c r="B4395" s="42"/>
      <c r="AA4395" s="43"/>
    </row>
    <row r="4396" spans="2:27" x14ac:dyDescent="0.25">
      <c r="B4396" s="42"/>
      <c r="AA4396" s="43"/>
    </row>
    <row r="4397" spans="2:27" x14ac:dyDescent="0.25">
      <c r="B4397" s="42"/>
      <c r="AA4397" s="43"/>
    </row>
    <row r="4398" spans="2:27" x14ac:dyDescent="0.25">
      <c r="B4398" s="42"/>
      <c r="AA4398" s="43"/>
    </row>
    <row r="4399" spans="2:27" x14ac:dyDescent="0.25">
      <c r="B4399" s="42"/>
      <c r="AA4399" s="43"/>
    </row>
    <row r="4400" spans="2:27" x14ac:dyDescent="0.25">
      <c r="B4400" s="42"/>
      <c r="AA4400" s="43"/>
    </row>
    <row r="4401" spans="2:27" x14ac:dyDescent="0.25">
      <c r="B4401" s="42"/>
      <c r="AA4401" s="43"/>
    </row>
    <row r="4402" spans="2:27" x14ac:dyDescent="0.25">
      <c r="B4402" s="42"/>
      <c r="AA4402" s="43"/>
    </row>
    <row r="4403" spans="2:27" x14ac:dyDescent="0.25">
      <c r="B4403" s="42"/>
      <c r="AA4403" s="43"/>
    </row>
    <row r="4404" spans="2:27" x14ac:dyDescent="0.25">
      <c r="B4404" s="42"/>
      <c r="AA4404" s="43"/>
    </row>
    <row r="4405" spans="2:27" x14ac:dyDescent="0.25">
      <c r="B4405" s="42"/>
      <c r="AA4405" s="43"/>
    </row>
    <row r="4406" spans="2:27" x14ac:dyDescent="0.25">
      <c r="B4406" s="42"/>
      <c r="AA4406" s="43"/>
    </row>
    <row r="4407" spans="2:27" x14ac:dyDescent="0.25">
      <c r="B4407" s="42"/>
      <c r="AA4407" s="43"/>
    </row>
    <row r="4408" spans="2:27" x14ac:dyDescent="0.25">
      <c r="B4408" s="42"/>
      <c r="AA4408" s="43"/>
    </row>
    <row r="4409" spans="2:27" x14ac:dyDescent="0.25">
      <c r="B4409" s="42"/>
      <c r="AA4409" s="43"/>
    </row>
    <row r="4410" spans="2:27" x14ac:dyDescent="0.25">
      <c r="B4410" s="42"/>
      <c r="AA4410" s="43"/>
    </row>
    <row r="4411" spans="2:27" x14ac:dyDescent="0.25">
      <c r="B4411" s="42"/>
      <c r="AA4411" s="43"/>
    </row>
    <row r="4412" spans="2:27" x14ac:dyDescent="0.25">
      <c r="B4412" s="42"/>
      <c r="AA4412" s="43"/>
    </row>
    <row r="4413" spans="2:27" x14ac:dyDescent="0.25">
      <c r="B4413" s="42"/>
      <c r="AA4413" s="43"/>
    </row>
    <row r="4414" spans="2:27" x14ac:dyDescent="0.25">
      <c r="B4414" s="42"/>
      <c r="AA4414" s="43"/>
    </row>
    <row r="4415" spans="2:27" x14ac:dyDescent="0.25">
      <c r="B4415" s="42"/>
      <c r="AA4415" s="43"/>
    </row>
    <row r="4416" spans="2:27" x14ac:dyDescent="0.25">
      <c r="B4416" s="42"/>
      <c r="AA4416" s="43"/>
    </row>
    <row r="4417" spans="2:27" x14ac:dyDescent="0.25">
      <c r="B4417" s="42"/>
      <c r="AA4417" s="43"/>
    </row>
    <row r="4418" spans="2:27" x14ac:dyDescent="0.25">
      <c r="B4418" s="42"/>
      <c r="AA4418" s="43"/>
    </row>
    <row r="4419" spans="2:27" x14ac:dyDescent="0.25">
      <c r="B4419" s="42"/>
      <c r="AA4419" s="43"/>
    </row>
    <row r="4420" spans="2:27" x14ac:dyDescent="0.25">
      <c r="B4420" s="42"/>
      <c r="AA4420" s="43"/>
    </row>
    <row r="4421" spans="2:27" x14ac:dyDescent="0.25">
      <c r="B4421" s="42"/>
      <c r="AA4421" s="43"/>
    </row>
    <row r="4422" spans="2:27" x14ac:dyDescent="0.25">
      <c r="B4422" s="42"/>
      <c r="AA4422" s="43"/>
    </row>
    <row r="4423" spans="2:27" x14ac:dyDescent="0.25">
      <c r="B4423" s="42"/>
      <c r="AA4423" s="43"/>
    </row>
    <row r="4424" spans="2:27" x14ac:dyDescent="0.25">
      <c r="B4424" s="42"/>
      <c r="AA4424" s="43"/>
    </row>
    <row r="4425" spans="2:27" x14ac:dyDescent="0.25">
      <c r="B4425" s="42"/>
      <c r="AA4425" s="43"/>
    </row>
    <row r="4426" spans="2:27" x14ac:dyDescent="0.25">
      <c r="B4426" s="42"/>
      <c r="AA4426" s="43"/>
    </row>
    <row r="4427" spans="2:27" x14ac:dyDescent="0.25">
      <c r="B4427" s="42"/>
      <c r="AA4427" s="43"/>
    </row>
    <row r="4428" spans="2:27" x14ac:dyDescent="0.25">
      <c r="B4428" s="42"/>
      <c r="AA4428" s="43"/>
    </row>
    <row r="4429" spans="2:27" x14ac:dyDescent="0.25">
      <c r="B4429" s="42"/>
      <c r="AA4429" s="43"/>
    </row>
    <row r="4430" spans="2:27" x14ac:dyDescent="0.25">
      <c r="B4430" s="42"/>
      <c r="AA4430" s="43"/>
    </row>
    <row r="4431" spans="2:27" x14ac:dyDescent="0.25">
      <c r="B4431" s="42"/>
      <c r="AA4431" s="43"/>
    </row>
    <row r="4432" spans="2:27" x14ac:dyDescent="0.25">
      <c r="B4432" s="42"/>
      <c r="AA4432" s="43"/>
    </row>
    <row r="4433" spans="2:27" x14ac:dyDescent="0.25">
      <c r="B4433" s="42"/>
      <c r="AA4433" s="43"/>
    </row>
    <row r="4434" spans="2:27" x14ac:dyDescent="0.25">
      <c r="B4434" s="42"/>
      <c r="AA4434" s="43"/>
    </row>
    <row r="4435" spans="2:27" x14ac:dyDescent="0.25">
      <c r="B4435" s="42"/>
      <c r="AA4435" s="43"/>
    </row>
    <row r="4436" spans="2:27" x14ac:dyDescent="0.25">
      <c r="B4436" s="42"/>
      <c r="AA4436" s="43"/>
    </row>
    <row r="4437" spans="2:27" x14ac:dyDescent="0.25">
      <c r="B4437" s="42"/>
      <c r="AA4437" s="43"/>
    </row>
    <row r="4438" spans="2:27" x14ac:dyDescent="0.25">
      <c r="B4438" s="42"/>
      <c r="AA4438" s="43"/>
    </row>
    <row r="4439" spans="2:27" x14ac:dyDescent="0.25">
      <c r="B4439" s="42"/>
      <c r="AA4439" s="43"/>
    </row>
    <row r="4440" spans="2:27" x14ac:dyDescent="0.25">
      <c r="B4440" s="42"/>
      <c r="AA4440" s="43"/>
    </row>
    <row r="4441" spans="2:27" x14ac:dyDescent="0.25">
      <c r="B4441" s="42"/>
      <c r="AA4441" s="43"/>
    </row>
    <row r="4442" spans="2:27" x14ac:dyDescent="0.25">
      <c r="B4442" s="42"/>
      <c r="AA4442" s="43"/>
    </row>
    <row r="4443" spans="2:27" x14ac:dyDescent="0.25">
      <c r="B4443" s="42"/>
      <c r="AA4443" s="43"/>
    </row>
    <row r="4444" spans="2:27" x14ac:dyDescent="0.25">
      <c r="B4444" s="42"/>
      <c r="AA4444" s="43"/>
    </row>
    <row r="4445" spans="2:27" x14ac:dyDescent="0.25">
      <c r="B4445" s="42"/>
      <c r="AA4445" s="43"/>
    </row>
    <row r="4446" spans="2:27" x14ac:dyDescent="0.25">
      <c r="B4446" s="42"/>
      <c r="AA4446" s="43"/>
    </row>
    <row r="4447" spans="2:27" x14ac:dyDescent="0.25">
      <c r="B4447" s="42"/>
      <c r="AA4447" s="43"/>
    </row>
    <row r="4448" spans="2:27" x14ac:dyDescent="0.25">
      <c r="B4448" s="42"/>
      <c r="AA4448" s="43"/>
    </row>
    <row r="4449" spans="2:27" x14ac:dyDescent="0.25">
      <c r="B4449" s="42"/>
      <c r="AA4449" s="43"/>
    </row>
    <row r="4450" spans="2:27" x14ac:dyDescent="0.25">
      <c r="B4450" s="42"/>
      <c r="AA4450" s="43"/>
    </row>
    <row r="4451" spans="2:27" x14ac:dyDescent="0.25">
      <c r="B4451" s="42"/>
      <c r="AA4451" s="43"/>
    </row>
    <row r="4452" spans="2:27" x14ac:dyDescent="0.25">
      <c r="B4452" s="42"/>
      <c r="AA4452" s="43"/>
    </row>
    <row r="4453" spans="2:27" x14ac:dyDescent="0.25">
      <c r="B4453" s="42"/>
      <c r="AA4453" s="43"/>
    </row>
    <row r="4454" spans="2:27" x14ac:dyDescent="0.25">
      <c r="B4454" s="42"/>
      <c r="AA4454" s="43"/>
    </row>
    <row r="4455" spans="2:27" x14ac:dyDescent="0.25">
      <c r="B4455" s="42"/>
      <c r="AA4455" s="43"/>
    </row>
    <row r="4456" spans="2:27" x14ac:dyDescent="0.25">
      <c r="B4456" s="42"/>
      <c r="AA4456" s="43"/>
    </row>
    <row r="4457" spans="2:27" x14ac:dyDescent="0.25">
      <c r="B4457" s="42"/>
      <c r="AA4457" s="43"/>
    </row>
    <row r="4458" spans="2:27" x14ac:dyDescent="0.25">
      <c r="B4458" s="42"/>
      <c r="AA4458" s="43"/>
    </row>
    <row r="4459" spans="2:27" x14ac:dyDescent="0.25">
      <c r="B4459" s="42"/>
      <c r="AA4459" s="43"/>
    </row>
    <row r="4460" spans="2:27" x14ac:dyDescent="0.25">
      <c r="B4460" s="42"/>
      <c r="AA4460" s="43"/>
    </row>
    <row r="4461" spans="2:27" x14ac:dyDescent="0.25">
      <c r="B4461" s="42"/>
      <c r="AA4461" s="43"/>
    </row>
    <row r="4462" spans="2:27" x14ac:dyDescent="0.25">
      <c r="B4462" s="42"/>
      <c r="AA4462" s="43"/>
    </row>
    <row r="4463" spans="2:27" x14ac:dyDescent="0.25">
      <c r="B4463" s="42"/>
      <c r="AA4463" s="43"/>
    </row>
    <row r="4464" spans="2:27" x14ac:dyDescent="0.25">
      <c r="B4464" s="42"/>
      <c r="AA4464" s="43"/>
    </row>
    <row r="4465" spans="2:27" x14ac:dyDescent="0.25">
      <c r="B4465" s="42"/>
      <c r="AA4465" s="43"/>
    </row>
    <row r="4466" spans="2:27" x14ac:dyDescent="0.25">
      <c r="B4466" s="42"/>
      <c r="AA4466" s="43"/>
    </row>
    <row r="4467" spans="2:27" x14ac:dyDescent="0.25">
      <c r="B4467" s="42"/>
      <c r="AA4467" s="43"/>
    </row>
    <row r="4468" spans="2:27" x14ac:dyDescent="0.25">
      <c r="B4468" s="42"/>
      <c r="AA4468" s="43"/>
    </row>
    <row r="4469" spans="2:27" x14ac:dyDescent="0.25">
      <c r="B4469" s="42"/>
      <c r="AA4469" s="43"/>
    </row>
    <row r="4470" spans="2:27" x14ac:dyDescent="0.25">
      <c r="B4470" s="42"/>
      <c r="AA4470" s="43"/>
    </row>
    <row r="4471" spans="2:27" x14ac:dyDescent="0.25">
      <c r="B4471" s="42"/>
      <c r="AA4471" s="43"/>
    </row>
    <row r="4472" spans="2:27" x14ac:dyDescent="0.25">
      <c r="B4472" s="42"/>
      <c r="AA4472" s="43"/>
    </row>
    <row r="4473" spans="2:27" x14ac:dyDescent="0.25">
      <c r="B4473" s="42"/>
      <c r="AA4473" s="43"/>
    </row>
    <row r="4474" spans="2:27" x14ac:dyDescent="0.25">
      <c r="B4474" s="42"/>
      <c r="AA4474" s="43"/>
    </row>
    <row r="4475" spans="2:27" x14ac:dyDescent="0.25">
      <c r="B4475" s="42"/>
      <c r="AA4475" s="43"/>
    </row>
    <row r="4476" spans="2:27" x14ac:dyDescent="0.25">
      <c r="B4476" s="42"/>
      <c r="AA4476" s="43"/>
    </row>
    <row r="4477" spans="2:27" x14ac:dyDescent="0.25">
      <c r="B4477" s="42"/>
      <c r="AA4477" s="43"/>
    </row>
    <row r="4478" spans="2:27" x14ac:dyDescent="0.25">
      <c r="B4478" s="42"/>
      <c r="AA4478" s="43"/>
    </row>
    <row r="4479" spans="2:27" x14ac:dyDescent="0.25">
      <c r="B4479" s="42"/>
      <c r="AA4479" s="43"/>
    </row>
    <row r="4480" spans="2:27" x14ac:dyDescent="0.25">
      <c r="B4480" s="42"/>
      <c r="AA4480" s="43"/>
    </row>
    <row r="4481" spans="2:27" x14ac:dyDescent="0.25">
      <c r="B4481" s="42"/>
      <c r="AA4481" s="43"/>
    </row>
    <row r="4482" spans="2:27" x14ac:dyDescent="0.25">
      <c r="B4482" s="42"/>
      <c r="AA4482" s="43"/>
    </row>
    <row r="4483" spans="2:27" x14ac:dyDescent="0.25">
      <c r="B4483" s="42"/>
      <c r="AA4483" s="43"/>
    </row>
    <row r="4484" spans="2:27" x14ac:dyDescent="0.25">
      <c r="B4484" s="42"/>
      <c r="AA4484" s="43"/>
    </row>
    <row r="4485" spans="2:27" x14ac:dyDescent="0.25">
      <c r="B4485" s="42"/>
      <c r="AA4485" s="43"/>
    </row>
    <row r="4486" spans="2:27" x14ac:dyDescent="0.25">
      <c r="B4486" s="42"/>
      <c r="AA4486" s="43"/>
    </row>
    <row r="4487" spans="2:27" x14ac:dyDescent="0.25">
      <c r="B4487" s="42"/>
      <c r="AA4487" s="43"/>
    </row>
    <row r="4488" spans="2:27" x14ac:dyDescent="0.25">
      <c r="B4488" s="42"/>
      <c r="AA4488" s="43"/>
    </row>
    <row r="4489" spans="2:27" x14ac:dyDescent="0.25">
      <c r="B4489" s="42"/>
      <c r="AA4489" s="43"/>
    </row>
    <row r="4490" spans="2:27" x14ac:dyDescent="0.25">
      <c r="B4490" s="42"/>
      <c r="AA4490" s="43"/>
    </row>
    <row r="4491" spans="2:27" x14ac:dyDescent="0.25">
      <c r="B4491" s="42"/>
      <c r="AA4491" s="43"/>
    </row>
    <row r="4492" spans="2:27" x14ac:dyDescent="0.25">
      <c r="B4492" s="42"/>
      <c r="AA4492" s="43"/>
    </row>
    <row r="4493" spans="2:27" x14ac:dyDescent="0.25">
      <c r="B4493" s="42"/>
      <c r="AA4493" s="43"/>
    </row>
    <row r="4494" spans="2:27" x14ac:dyDescent="0.25">
      <c r="B4494" s="42"/>
      <c r="AA4494" s="43"/>
    </row>
    <row r="4495" spans="2:27" x14ac:dyDescent="0.25">
      <c r="B4495" s="42"/>
      <c r="AA4495" s="43"/>
    </row>
    <row r="4496" spans="2:27" x14ac:dyDescent="0.25">
      <c r="B4496" s="42"/>
      <c r="AA4496" s="43"/>
    </row>
    <row r="4497" spans="2:27" x14ac:dyDescent="0.25">
      <c r="B4497" s="42"/>
      <c r="AA4497" s="43"/>
    </row>
    <row r="4498" spans="2:27" x14ac:dyDescent="0.25">
      <c r="B4498" s="42"/>
      <c r="AA4498" s="43"/>
    </row>
    <row r="4499" spans="2:27" x14ac:dyDescent="0.25">
      <c r="B4499" s="42"/>
      <c r="AA4499" s="43"/>
    </row>
    <row r="4500" spans="2:27" x14ac:dyDescent="0.25">
      <c r="B4500" s="42"/>
      <c r="AA4500" s="43"/>
    </row>
    <row r="4501" spans="2:27" x14ac:dyDescent="0.25">
      <c r="B4501" s="42"/>
      <c r="AA4501" s="43"/>
    </row>
    <row r="4502" spans="2:27" x14ac:dyDescent="0.25">
      <c r="B4502" s="42"/>
      <c r="AA4502" s="43"/>
    </row>
    <row r="4503" spans="2:27" x14ac:dyDescent="0.25">
      <c r="B4503" s="42"/>
      <c r="AA4503" s="43"/>
    </row>
    <row r="4504" spans="2:27" x14ac:dyDescent="0.25">
      <c r="B4504" s="42"/>
      <c r="AA4504" s="43"/>
    </row>
    <row r="4505" spans="2:27" x14ac:dyDescent="0.25">
      <c r="B4505" s="42"/>
      <c r="AA4505" s="43"/>
    </row>
    <row r="4506" spans="2:27" x14ac:dyDescent="0.25">
      <c r="B4506" s="42"/>
      <c r="AA4506" s="43"/>
    </row>
    <row r="4507" spans="2:27" x14ac:dyDescent="0.25">
      <c r="B4507" s="42"/>
      <c r="AA4507" s="43"/>
    </row>
    <row r="4508" spans="2:27" x14ac:dyDescent="0.25">
      <c r="B4508" s="42"/>
      <c r="AA4508" s="43"/>
    </row>
    <row r="4509" spans="2:27" x14ac:dyDescent="0.25">
      <c r="B4509" s="42"/>
      <c r="AA4509" s="43"/>
    </row>
    <row r="4510" spans="2:27" x14ac:dyDescent="0.25">
      <c r="B4510" s="42"/>
      <c r="AA4510" s="43"/>
    </row>
    <row r="4511" spans="2:27" x14ac:dyDescent="0.25">
      <c r="B4511" s="42"/>
      <c r="AA4511" s="43"/>
    </row>
    <row r="4512" spans="2:27" x14ac:dyDescent="0.25">
      <c r="B4512" s="42"/>
      <c r="AA4512" s="43"/>
    </row>
    <row r="4513" spans="2:27" x14ac:dyDescent="0.25">
      <c r="B4513" s="42"/>
      <c r="AA4513" s="43"/>
    </row>
    <row r="4514" spans="2:27" x14ac:dyDescent="0.25">
      <c r="B4514" s="42"/>
      <c r="AA4514" s="43"/>
    </row>
    <row r="4515" spans="2:27" x14ac:dyDescent="0.25">
      <c r="B4515" s="42"/>
      <c r="AA4515" s="43"/>
    </row>
    <row r="4516" spans="2:27" x14ac:dyDescent="0.25">
      <c r="B4516" s="42"/>
      <c r="AA4516" s="43"/>
    </row>
    <row r="4517" spans="2:27" x14ac:dyDescent="0.25">
      <c r="B4517" s="42"/>
      <c r="AA4517" s="43"/>
    </row>
    <row r="4518" spans="2:27" x14ac:dyDescent="0.25">
      <c r="B4518" s="42"/>
      <c r="AA4518" s="43"/>
    </row>
    <row r="4519" spans="2:27" x14ac:dyDescent="0.25">
      <c r="B4519" s="42"/>
      <c r="AA4519" s="43"/>
    </row>
    <row r="4520" spans="2:27" x14ac:dyDescent="0.25">
      <c r="B4520" s="42"/>
      <c r="AA4520" s="43"/>
    </row>
    <row r="4521" spans="2:27" x14ac:dyDescent="0.25">
      <c r="B4521" s="42"/>
      <c r="AA4521" s="43"/>
    </row>
    <row r="4522" spans="2:27" x14ac:dyDescent="0.25">
      <c r="B4522" s="42"/>
      <c r="AA4522" s="43"/>
    </row>
    <row r="4523" spans="2:27" x14ac:dyDescent="0.25">
      <c r="B4523" s="42"/>
      <c r="AA4523" s="43"/>
    </row>
    <row r="4524" spans="2:27" x14ac:dyDescent="0.25">
      <c r="B4524" s="42"/>
      <c r="AA4524" s="43"/>
    </row>
    <row r="4525" spans="2:27" x14ac:dyDescent="0.25">
      <c r="B4525" s="42"/>
      <c r="AA4525" s="43"/>
    </row>
    <row r="4526" spans="2:27" x14ac:dyDescent="0.25">
      <c r="B4526" s="42"/>
      <c r="AA4526" s="43"/>
    </row>
    <row r="4527" spans="2:27" x14ac:dyDescent="0.25">
      <c r="B4527" s="42"/>
      <c r="AA4527" s="43"/>
    </row>
    <row r="4528" spans="2:27" x14ac:dyDescent="0.25">
      <c r="B4528" s="42"/>
      <c r="AA4528" s="43"/>
    </row>
    <row r="4529" spans="2:27" x14ac:dyDescent="0.25">
      <c r="B4529" s="42"/>
      <c r="AA4529" s="43"/>
    </row>
    <row r="4530" spans="2:27" x14ac:dyDescent="0.25">
      <c r="B4530" s="42"/>
      <c r="AA4530" s="43"/>
    </row>
    <row r="4531" spans="2:27" x14ac:dyDescent="0.25">
      <c r="B4531" s="42"/>
      <c r="AA4531" s="43"/>
    </row>
    <row r="4532" spans="2:27" x14ac:dyDescent="0.25">
      <c r="B4532" s="42"/>
      <c r="AA4532" s="43"/>
    </row>
    <row r="4533" spans="2:27" x14ac:dyDescent="0.25">
      <c r="B4533" s="42"/>
      <c r="AA4533" s="43"/>
    </row>
    <row r="4534" spans="2:27" x14ac:dyDescent="0.25">
      <c r="B4534" s="42"/>
      <c r="AA4534" s="43"/>
    </row>
    <row r="4535" spans="2:27" x14ac:dyDescent="0.25">
      <c r="B4535" s="42"/>
      <c r="AA4535" s="43"/>
    </row>
    <row r="4536" spans="2:27" x14ac:dyDescent="0.25">
      <c r="B4536" s="42"/>
      <c r="AA4536" s="43"/>
    </row>
    <row r="4537" spans="2:27" x14ac:dyDescent="0.25">
      <c r="B4537" s="42"/>
      <c r="AA4537" s="43"/>
    </row>
    <row r="4538" spans="2:27" x14ac:dyDescent="0.25">
      <c r="B4538" s="42"/>
      <c r="AA4538" s="43"/>
    </row>
    <row r="4539" spans="2:27" x14ac:dyDescent="0.25">
      <c r="B4539" s="42"/>
      <c r="AA4539" s="43"/>
    </row>
    <row r="4540" spans="2:27" x14ac:dyDescent="0.25">
      <c r="B4540" s="42"/>
      <c r="AA4540" s="43"/>
    </row>
    <row r="4541" spans="2:27" x14ac:dyDescent="0.25">
      <c r="B4541" s="42"/>
      <c r="AA4541" s="43"/>
    </row>
    <row r="4542" spans="2:27" x14ac:dyDescent="0.25">
      <c r="B4542" s="42"/>
      <c r="AA4542" s="43"/>
    </row>
    <row r="4543" spans="2:27" x14ac:dyDescent="0.25">
      <c r="B4543" s="42"/>
      <c r="AA4543" s="43"/>
    </row>
    <row r="4544" spans="2:27" x14ac:dyDescent="0.25">
      <c r="B4544" s="42"/>
      <c r="AA4544" s="43"/>
    </row>
    <row r="4545" spans="2:27" x14ac:dyDescent="0.25">
      <c r="B4545" s="42"/>
      <c r="AA4545" s="43"/>
    </row>
    <row r="4546" spans="2:27" x14ac:dyDescent="0.25">
      <c r="B4546" s="42"/>
      <c r="AA4546" s="43"/>
    </row>
    <row r="4547" spans="2:27" x14ac:dyDescent="0.25">
      <c r="B4547" s="42"/>
      <c r="AA4547" s="43"/>
    </row>
    <row r="4548" spans="2:27" x14ac:dyDescent="0.25">
      <c r="B4548" s="42"/>
      <c r="AA4548" s="43"/>
    </row>
    <row r="4549" spans="2:27" x14ac:dyDescent="0.25">
      <c r="B4549" s="42"/>
      <c r="AA4549" s="43"/>
    </row>
    <row r="4550" spans="2:27" x14ac:dyDescent="0.25">
      <c r="B4550" s="42"/>
      <c r="AA4550" s="43"/>
    </row>
    <row r="4551" spans="2:27" x14ac:dyDescent="0.25">
      <c r="B4551" s="42"/>
      <c r="AA4551" s="43"/>
    </row>
    <row r="4552" spans="2:27" x14ac:dyDescent="0.25">
      <c r="B4552" s="42"/>
      <c r="AA4552" s="43"/>
    </row>
    <row r="4553" spans="2:27" x14ac:dyDescent="0.25">
      <c r="B4553" s="42"/>
      <c r="AA4553" s="43"/>
    </row>
    <row r="4554" spans="2:27" x14ac:dyDescent="0.25">
      <c r="B4554" s="42"/>
      <c r="AA4554" s="43"/>
    </row>
    <row r="4555" spans="2:27" x14ac:dyDescent="0.25">
      <c r="B4555" s="42"/>
      <c r="AA4555" s="43"/>
    </row>
    <row r="4556" spans="2:27" x14ac:dyDescent="0.25">
      <c r="B4556" s="42"/>
      <c r="AA4556" s="43"/>
    </row>
    <row r="4557" spans="2:27" x14ac:dyDescent="0.25">
      <c r="B4557" s="42"/>
      <c r="AA4557" s="43"/>
    </row>
    <row r="4558" spans="2:27" x14ac:dyDescent="0.25">
      <c r="B4558" s="42"/>
      <c r="AA4558" s="43"/>
    </row>
    <row r="4559" spans="2:27" x14ac:dyDescent="0.25">
      <c r="B4559" s="42"/>
      <c r="AA4559" s="43"/>
    </row>
    <row r="4560" spans="2:27" x14ac:dyDescent="0.25">
      <c r="B4560" s="42"/>
      <c r="AA4560" s="43"/>
    </row>
    <row r="4561" spans="2:27" x14ac:dyDescent="0.25">
      <c r="B4561" s="42"/>
      <c r="AA4561" s="43"/>
    </row>
    <row r="4562" spans="2:27" x14ac:dyDescent="0.25">
      <c r="B4562" s="42"/>
      <c r="AA4562" s="43"/>
    </row>
    <row r="4563" spans="2:27" x14ac:dyDescent="0.25">
      <c r="B4563" s="42"/>
      <c r="AA4563" s="43"/>
    </row>
    <row r="4564" spans="2:27" x14ac:dyDescent="0.25">
      <c r="B4564" s="42"/>
      <c r="AA4564" s="43"/>
    </row>
    <row r="4565" spans="2:27" x14ac:dyDescent="0.25">
      <c r="B4565" s="42"/>
      <c r="AA4565" s="43"/>
    </row>
    <row r="4566" spans="2:27" x14ac:dyDescent="0.25">
      <c r="B4566" s="42"/>
      <c r="AA4566" s="43"/>
    </row>
    <row r="4567" spans="2:27" x14ac:dyDescent="0.25">
      <c r="B4567" s="42"/>
      <c r="AA4567" s="43"/>
    </row>
    <row r="4568" spans="2:27" x14ac:dyDescent="0.25">
      <c r="B4568" s="42"/>
      <c r="AA4568" s="43"/>
    </row>
    <row r="4569" spans="2:27" x14ac:dyDescent="0.25">
      <c r="B4569" s="42"/>
      <c r="AA4569" s="43"/>
    </row>
    <row r="4570" spans="2:27" x14ac:dyDescent="0.25">
      <c r="B4570" s="42"/>
      <c r="AA4570" s="43"/>
    </row>
    <row r="4571" spans="2:27" x14ac:dyDescent="0.25">
      <c r="B4571" s="42"/>
      <c r="AA4571" s="43"/>
    </row>
    <row r="4572" spans="2:27" x14ac:dyDescent="0.25">
      <c r="B4572" s="42"/>
      <c r="AA4572" s="43"/>
    </row>
    <row r="4573" spans="2:27" x14ac:dyDescent="0.25">
      <c r="B4573" s="42"/>
      <c r="AA4573" s="43"/>
    </row>
    <row r="4574" spans="2:27" x14ac:dyDescent="0.25">
      <c r="B4574" s="42"/>
      <c r="AA4574" s="43"/>
    </row>
    <row r="4575" spans="2:27" x14ac:dyDescent="0.25">
      <c r="B4575" s="42"/>
      <c r="AA4575" s="43"/>
    </row>
    <row r="4576" spans="2:27" x14ac:dyDescent="0.25">
      <c r="B4576" s="42"/>
      <c r="AA4576" s="43"/>
    </row>
    <row r="4577" spans="2:27" x14ac:dyDescent="0.25">
      <c r="B4577" s="42"/>
      <c r="AA4577" s="43"/>
    </row>
    <row r="4578" spans="2:27" x14ac:dyDescent="0.25">
      <c r="B4578" s="42"/>
      <c r="AA4578" s="43"/>
    </row>
    <row r="4579" spans="2:27" x14ac:dyDescent="0.25">
      <c r="B4579" s="42"/>
      <c r="AA4579" s="43"/>
    </row>
    <row r="4580" spans="2:27" x14ac:dyDescent="0.25">
      <c r="B4580" s="42"/>
      <c r="AA4580" s="43"/>
    </row>
    <row r="4581" spans="2:27" x14ac:dyDescent="0.25">
      <c r="B4581" s="42"/>
      <c r="AA4581" s="43"/>
    </row>
    <row r="4582" spans="2:27" x14ac:dyDescent="0.25">
      <c r="B4582" s="42"/>
      <c r="AA4582" s="43"/>
    </row>
    <row r="4583" spans="2:27" x14ac:dyDescent="0.25">
      <c r="B4583" s="42"/>
      <c r="AA4583" s="43"/>
    </row>
    <row r="4584" spans="2:27" x14ac:dyDescent="0.25">
      <c r="B4584" s="42"/>
      <c r="AA4584" s="43"/>
    </row>
    <row r="4585" spans="2:27" x14ac:dyDescent="0.25">
      <c r="B4585" s="42"/>
      <c r="AA4585" s="43"/>
    </row>
    <row r="4586" spans="2:27" x14ac:dyDescent="0.25">
      <c r="B4586" s="42"/>
      <c r="AA4586" s="43"/>
    </row>
    <row r="4587" spans="2:27" x14ac:dyDescent="0.25">
      <c r="B4587" s="42"/>
      <c r="AA4587" s="43"/>
    </row>
    <row r="4588" spans="2:27" x14ac:dyDescent="0.25">
      <c r="B4588" s="42"/>
      <c r="AA4588" s="43"/>
    </row>
    <row r="4589" spans="2:27" x14ac:dyDescent="0.25">
      <c r="B4589" s="42"/>
      <c r="AA4589" s="43"/>
    </row>
    <row r="4590" spans="2:27" x14ac:dyDescent="0.25">
      <c r="B4590" s="42"/>
      <c r="AA4590" s="43"/>
    </row>
    <row r="4591" spans="2:27" x14ac:dyDescent="0.25">
      <c r="B4591" s="42"/>
      <c r="AA4591" s="43"/>
    </row>
    <row r="4592" spans="2:27" x14ac:dyDescent="0.25">
      <c r="B4592" s="42"/>
      <c r="AA4592" s="43"/>
    </row>
    <row r="4593" spans="2:27" x14ac:dyDescent="0.25">
      <c r="B4593" s="42"/>
      <c r="AA4593" s="43"/>
    </row>
    <row r="4594" spans="2:27" x14ac:dyDescent="0.25">
      <c r="B4594" s="42"/>
      <c r="AA4594" s="43"/>
    </row>
    <row r="4595" spans="2:27" x14ac:dyDescent="0.25">
      <c r="B4595" s="42"/>
      <c r="AA4595" s="43"/>
    </row>
    <row r="4596" spans="2:27" x14ac:dyDescent="0.25">
      <c r="B4596" s="42"/>
      <c r="AA4596" s="43"/>
    </row>
    <row r="4597" spans="2:27" x14ac:dyDescent="0.25">
      <c r="B4597" s="42"/>
      <c r="AA4597" s="43"/>
    </row>
    <row r="4598" spans="2:27" x14ac:dyDescent="0.25">
      <c r="B4598" s="42"/>
      <c r="AA4598" s="43"/>
    </row>
    <row r="4599" spans="2:27" x14ac:dyDescent="0.25">
      <c r="B4599" s="42"/>
      <c r="AA4599" s="43"/>
    </row>
    <row r="4600" spans="2:27" x14ac:dyDescent="0.25">
      <c r="B4600" s="42"/>
      <c r="AA4600" s="43"/>
    </row>
    <row r="4601" spans="2:27" x14ac:dyDescent="0.25">
      <c r="B4601" s="42"/>
      <c r="AA4601" s="43"/>
    </row>
    <row r="4602" spans="2:27" x14ac:dyDescent="0.25">
      <c r="B4602" s="42"/>
      <c r="AA4602" s="43"/>
    </row>
    <row r="4603" spans="2:27" x14ac:dyDescent="0.25">
      <c r="B4603" s="42"/>
      <c r="AA4603" s="43"/>
    </row>
    <row r="4604" spans="2:27" x14ac:dyDescent="0.25">
      <c r="B4604" s="42"/>
      <c r="AA4604" s="43"/>
    </row>
    <row r="4605" spans="2:27" x14ac:dyDescent="0.25">
      <c r="B4605" s="42"/>
      <c r="AA4605" s="43"/>
    </row>
    <row r="4606" spans="2:27" x14ac:dyDescent="0.25">
      <c r="B4606" s="42"/>
      <c r="AA4606" s="43"/>
    </row>
    <row r="4607" spans="2:27" x14ac:dyDescent="0.25">
      <c r="B4607" s="42"/>
      <c r="AA4607" s="43"/>
    </row>
    <row r="4608" spans="2:27" x14ac:dyDescent="0.25">
      <c r="B4608" s="42"/>
      <c r="AA4608" s="43"/>
    </row>
    <row r="4609" spans="2:27" x14ac:dyDescent="0.25">
      <c r="B4609" s="42"/>
      <c r="AA4609" s="43"/>
    </row>
    <row r="4610" spans="2:27" x14ac:dyDescent="0.25">
      <c r="B4610" s="42"/>
      <c r="AA4610" s="43"/>
    </row>
    <row r="4611" spans="2:27" x14ac:dyDescent="0.25">
      <c r="B4611" s="42"/>
      <c r="AA4611" s="43"/>
    </row>
    <row r="4612" spans="2:27" x14ac:dyDescent="0.25">
      <c r="B4612" s="42"/>
      <c r="AA4612" s="43"/>
    </row>
    <row r="4613" spans="2:27" x14ac:dyDescent="0.25">
      <c r="B4613" s="42"/>
      <c r="AA4613" s="43"/>
    </row>
    <row r="4614" spans="2:27" x14ac:dyDescent="0.25">
      <c r="B4614" s="42"/>
      <c r="AA4614" s="43"/>
    </row>
    <row r="4615" spans="2:27" x14ac:dyDescent="0.25">
      <c r="B4615" s="42"/>
      <c r="AA4615" s="43"/>
    </row>
    <row r="4616" spans="2:27" x14ac:dyDescent="0.25">
      <c r="B4616" s="42"/>
      <c r="AA4616" s="43"/>
    </row>
    <row r="4617" spans="2:27" x14ac:dyDescent="0.25">
      <c r="B4617" s="42"/>
      <c r="AA4617" s="43"/>
    </row>
    <row r="4618" spans="2:27" x14ac:dyDescent="0.25">
      <c r="B4618" s="42"/>
      <c r="AA4618" s="43"/>
    </row>
    <row r="4619" spans="2:27" x14ac:dyDescent="0.25">
      <c r="B4619" s="42"/>
      <c r="AA4619" s="43"/>
    </row>
    <row r="4620" spans="2:27" x14ac:dyDescent="0.25">
      <c r="B4620" s="42"/>
      <c r="AA4620" s="43"/>
    </row>
    <row r="4621" spans="2:27" x14ac:dyDescent="0.25">
      <c r="B4621" s="42"/>
      <c r="AA4621" s="43"/>
    </row>
    <row r="4622" spans="2:27" x14ac:dyDescent="0.25">
      <c r="B4622" s="42"/>
      <c r="AA4622" s="43"/>
    </row>
    <row r="4623" spans="2:27" x14ac:dyDescent="0.25">
      <c r="B4623" s="42"/>
      <c r="AA4623" s="43"/>
    </row>
    <row r="4624" spans="2:27" x14ac:dyDescent="0.25">
      <c r="B4624" s="42"/>
      <c r="AA4624" s="43"/>
    </row>
    <row r="4625" spans="2:27" x14ac:dyDescent="0.25">
      <c r="B4625" s="42"/>
      <c r="AA4625" s="43"/>
    </row>
    <row r="4626" spans="2:27" x14ac:dyDescent="0.25">
      <c r="B4626" s="42"/>
      <c r="AA4626" s="43"/>
    </row>
    <row r="4627" spans="2:27" x14ac:dyDescent="0.25">
      <c r="B4627" s="42"/>
      <c r="AA4627" s="43"/>
    </row>
    <row r="4628" spans="2:27" x14ac:dyDescent="0.25">
      <c r="B4628" s="42"/>
      <c r="AA4628" s="43"/>
    </row>
    <row r="4629" spans="2:27" x14ac:dyDescent="0.25">
      <c r="B4629" s="42"/>
      <c r="AA4629" s="43"/>
    </row>
    <row r="4630" spans="2:27" x14ac:dyDescent="0.25">
      <c r="B4630" s="42"/>
      <c r="AA4630" s="43"/>
    </row>
    <row r="4631" spans="2:27" x14ac:dyDescent="0.25">
      <c r="B4631" s="42"/>
      <c r="AA4631" s="43"/>
    </row>
    <row r="4632" spans="2:27" x14ac:dyDescent="0.25">
      <c r="B4632" s="42"/>
      <c r="AA4632" s="43"/>
    </row>
    <row r="4633" spans="2:27" x14ac:dyDescent="0.25">
      <c r="B4633" s="42"/>
      <c r="AA4633" s="43"/>
    </row>
    <row r="4634" spans="2:27" x14ac:dyDescent="0.25">
      <c r="B4634" s="42"/>
      <c r="AA4634" s="43"/>
    </row>
    <row r="4635" spans="2:27" x14ac:dyDescent="0.25">
      <c r="B4635" s="42"/>
      <c r="AA4635" s="43"/>
    </row>
    <row r="4636" spans="2:27" x14ac:dyDescent="0.25">
      <c r="B4636" s="42"/>
      <c r="AA4636" s="43"/>
    </row>
    <row r="4637" spans="2:27" x14ac:dyDescent="0.25">
      <c r="B4637" s="42"/>
      <c r="AA4637" s="43"/>
    </row>
    <row r="4638" spans="2:27" x14ac:dyDescent="0.25">
      <c r="B4638" s="42"/>
      <c r="AA4638" s="43"/>
    </row>
    <row r="4639" spans="2:27" x14ac:dyDescent="0.25">
      <c r="B4639" s="42"/>
      <c r="AA4639" s="43"/>
    </row>
    <row r="4640" spans="2:27" x14ac:dyDescent="0.25">
      <c r="B4640" s="42"/>
      <c r="AA4640" s="43"/>
    </row>
    <row r="4641" spans="2:27" x14ac:dyDescent="0.25">
      <c r="B4641" s="42"/>
      <c r="AA4641" s="43"/>
    </row>
    <row r="4642" spans="2:27" x14ac:dyDescent="0.25">
      <c r="B4642" s="42"/>
      <c r="AA4642" s="43"/>
    </row>
    <row r="4643" spans="2:27" x14ac:dyDescent="0.25">
      <c r="B4643" s="42"/>
      <c r="AA4643" s="43"/>
    </row>
    <row r="4644" spans="2:27" x14ac:dyDescent="0.25">
      <c r="B4644" s="42"/>
      <c r="AA4644" s="43"/>
    </row>
    <row r="4645" spans="2:27" x14ac:dyDescent="0.25">
      <c r="B4645" s="42"/>
      <c r="AA4645" s="43"/>
    </row>
    <row r="4646" spans="2:27" x14ac:dyDescent="0.25">
      <c r="B4646" s="42"/>
      <c r="AA4646" s="43"/>
    </row>
    <row r="4647" spans="2:27" x14ac:dyDescent="0.25">
      <c r="B4647" s="42"/>
      <c r="AA4647" s="43"/>
    </row>
    <row r="4648" spans="2:27" x14ac:dyDescent="0.25">
      <c r="B4648" s="42"/>
      <c r="AA4648" s="43"/>
    </row>
    <row r="4649" spans="2:27" x14ac:dyDescent="0.25">
      <c r="B4649" s="42"/>
      <c r="AA4649" s="43"/>
    </row>
    <row r="4650" spans="2:27" x14ac:dyDescent="0.25">
      <c r="B4650" s="42"/>
      <c r="AA4650" s="43"/>
    </row>
    <row r="4651" spans="2:27" x14ac:dyDescent="0.25">
      <c r="B4651" s="42"/>
      <c r="AA4651" s="43"/>
    </row>
    <row r="4652" spans="2:27" x14ac:dyDescent="0.25">
      <c r="B4652" s="42"/>
      <c r="AA4652" s="43"/>
    </row>
    <row r="4653" spans="2:27" x14ac:dyDescent="0.25">
      <c r="B4653" s="42"/>
      <c r="AA4653" s="43"/>
    </row>
    <row r="4654" spans="2:27" x14ac:dyDescent="0.25">
      <c r="B4654" s="42"/>
      <c r="AA4654" s="43"/>
    </row>
    <row r="4655" spans="2:27" x14ac:dyDescent="0.25">
      <c r="B4655" s="42"/>
      <c r="AA4655" s="43"/>
    </row>
    <row r="4656" spans="2:27" x14ac:dyDescent="0.25">
      <c r="B4656" s="42"/>
      <c r="AA4656" s="43"/>
    </row>
    <row r="4657" spans="2:27" x14ac:dyDescent="0.25">
      <c r="B4657" s="42"/>
      <c r="AA4657" s="43"/>
    </row>
    <row r="4658" spans="2:27" x14ac:dyDescent="0.25">
      <c r="B4658" s="42"/>
      <c r="AA4658" s="43"/>
    </row>
    <row r="4659" spans="2:27" x14ac:dyDescent="0.25">
      <c r="B4659" s="42"/>
      <c r="AA4659" s="43"/>
    </row>
    <row r="4660" spans="2:27" x14ac:dyDescent="0.25">
      <c r="B4660" s="42"/>
      <c r="AA4660" s="43"/>
    </row>
    <row r="4661" spans="2:27" x14ac:dyDescent="0.25">
      <c r="B4661" s="42"/>
      <c r="AA4661" s="43"/>
    </row>
    <row r="4662" spans="2:27" x14ac:dyDescent="0.25">
      <c r="B4662" s="42"/>
      <c r="AA4662" s="43"/>
    </row>
    <row r="4663" spans="2:27" x14ac:dyDescent="0.25">
      <c r="B4663" s="42"/>
      <c r="AA4663" s="43"/>
    </row>
    <row r="4664" spans="2:27" x14ac:dyDescent="0.25">
      <c r="B4664" s="42"/>
      <c r="AA4664" s="43"/>
    </row>
    <row r="4665" spans="2:27" x14ac:dyDescent="0.25">
      <c r="B4665" s="42"/>
      <c r="AA4665" s="43"/>
    </row>
    <row r="4666" spans="2:27" x14ac:dyDescent="0.25">
      <c r="B4666" s="42"/>
      <c r="AA4666" s="43"/>
    </row>
    <row r="4667" spans="2:27" x14ac:dyDescent="0.25">
      <c r="B4667" s="42"/>
      <c r="AA4667" s="43"/>
    </row>
    <row r="4668" spans="2:27" x14ac:dyDescent="0.25">
      <c r="B4668" s="42"/>
      <c r="AA4668" s="43"/>
    </row>
    <row r="4669" spans="2:27" x14ac:dyDescent="0.25">
      <c r="B4669" s="42"/>
      <c r="AA4669" s="43"/>
    </row>
    <row r="4670" spans="2:27" x14ac:dyDescent="0.25">
      <c r="B4670" s="42"/>
      <c r="AA4670" s="43"/>
    </row>
    <row r="4671" spans="2:27" x14ac:dyDescent="0.25">
      <c r="B4671" s="42"/>
      <c r="AA4671" s="43"/>
    </row>
    <row r="4672" spans="2:27" x14ac:dyDescent="0.25">
      <c r="B4672" s="42"/>
      <c r="AA4672" s="43"/>
    </row>
    <row r="4673" spans="2:27" x14ac:dyDescent="0.25">
      <c r="B4673" s="42"/>
      <c r="AA4673" s="43"/>
    </row>
    <row r="4674" spans="2:27" x14ac:dyDescent="0.25">
      <c r="B4674" s="42"/>
      <c r="AA4674" s="43"/>
    </row>
    <row r="4675" spans="2:27" x14ac:dyDescent="0.25">
      <c r="B4675" s="42"/>
      <c r="AA4675" s="43"/>
    </row>
    <row r="4676" spans="2:27" x14ac:dyDescent="0.25">
      <c r="B4676" s="42"/>
      <c r="AA4676" s="43"/>
    </row>
    <row r="4677" spans="2:27" x14ac:dyDescent="0.25">
      <c r="B4677" s="42"/>
      <c r="AA4677" s="43"/>
    </row>
    <row r="4678" spans="2:27" x14ac:dyDescent="0.25">
      <c r="B4678" s="42"/>
      <c r="AA4678" s="43"/>
    </row>
    <row r="4679" spans="2:27" x14ac:dyDescent="0.25">
      <c r="B4679" s="42"/>
      <c r="AA4679" s="43"/>
    </row>
    <row r="4680" spans="2:27" x14ac:dyDescent="0.25">
      <c r="B4680" s="42"/>
      <c r="AA4680" s="43"/>
    </row>
    <row r="4681" spans="2:27" x14ac:dyDescent="0.25">
      <c r="B4681" s="42"/>
      <c r="AA4681" s="43"/>
    </row>
    <row r="4682" spans="2:27" x14ac:dyDescent="0.25">
      <c r="B4682" s="42"/>
      <c r="AA4682" s="43"/>
    </row>
    <row r="4683" spans="2:27" x14ac:dyDescent="0.25">
      <c r="B4683" s="42"/>
      <c r="AA4683" s="43"/>
    </row>
    <row r="4684" spans="2:27" x14ac:dyDescent="0.25">
      <c r="B4684" s="42"/>
      <c r="AA4684" s="43"/>
    </row>
    <row r="4685" spans="2:27" x14ac:dyDescent="0.25">
      <c r="B4685" s="42"/>
      <c r="AA4685" s="43"/>
    </row>
    <row r="4686" spans="2:27" x14ac:dyDescent="0.25">
      <c r="B4686" s="42"/>
      <c r="AA4686" s="43"/>
    </row>
    <row r="4687" spans="2:27" x14ac:dyDescent="0.25">
      <c r="B4687" s="42"/>
      <c r="AA4687" s="43"/>
    </row>
    <row r="4688" spans="2:27" x14ac:dyDescent="0.25">
      <c r="B4688" s="42"/>
      <c r="AA4688" s="43"/>
    </row>
    <row r="4689" spans="2:27" x14ac:dyDescent="0.25">
      <c r="B4689" s="42"/>
      <c r="AA4689" s="43"/>
    </row>
    <row r="4690" spans="2:27" x14ac:dyDescent="0.25">
      <c r="B4690" s="42"/>
      <c r="AA4690" s="43"/>
    </row>
    <row r="4691" spans="2:27" x14ac:dyDescent="0.25">
      <c r="B4691" s="42"/>
      <c r="AA4691" s="43"/>
    </row>
    <row r="4692" spans="2:27" x14ac:dyDescent="0.25">
      <c r="B4692" s="42"/>
      <c r="AA4692" s="43"/>
    </row>
    <row r="4693" spans="2:27" x14ac:dyDescent="0.25">
      <c r="B4693" s="42"/>
      <c r="AA4693" s="43"/>
    </row>
    <row r="4694" spans="2:27" x14ac:dyDescent="0.25">
      <c r="B4694" s="42"/>
      <c r="AA4694" s="43"/>
    </row>
    <row r="4695" spans="2:27" x14ac:dyDescent="0.25">
      <c r="B4695" s="42"/>
      <c r="AA4695" s="43"/>
    </row>
    <row r="4696" spans="2:27" x14ac:dyDescent="0.25">
      <c r="B4696" s="42"/>
      <c r="AA4696" s="43"/>
    </row>
    <row r="4697" spans="2:27" x14ac:dyDescent="0.25">
      <c r="B4697" s="42"/>
      <c r="AA4697" s="43"/>
    </row>
    <row r="4698" spans="2:27" x14ac:dyDescent="0.25">
      <c r="B4698" s="42"/>
      <c r="AA4698" s="43"/>
    </row>
    <row r="4699" spans="2:27" x14ac:dyDescent="0.25">
      <c r="B4699" s="42"/>
      <c r="AA4699" s="43"/>
    </row>
    <row r="4700" spans="2:27" x14ac:dyDescent="0.25">
      <c r="B4700" s="42"/>
      <c r="AA4700" s="43"/>
    </row>
    <row r="4701" spans="2:27" x14ac:dyDescent="0.25">
      <c r="B4701" s="42"/>
      <c r="AA4701" s="43"/>
    </row>
    <row r="4702" spans="2:27" x14ac:dyDescent="0.25">
      <c r="B4702" s="42"/>
      <c r="AA4702" s="43"/>
    </row>
    <row r="4703" spans="2:27" x14ac:dyDescent="0.25">
      <c r="B4703" s="42"/>
      <c r="AA4703" s="43"/>
    </row>
    <row r="4704" spans="2:27" x14ac:dyDescent="0.25">
      <c r="B4704" s="42"/>
      <c r="AA4704" s="43"/>
    </row>
    <row r="4705" spans="2:27" x14ac:dyDescent="0.25">
      <c r="B4705" s="42"/>
      <c r="AA4705" s="43"/>
    </row>
    <row r="4706" spans="2:27" x14ac:dyDescent="0.25">
      <c r="B4706" s="42"/>
      <c r="AA4706" s="43"/>
    </row>
    <row r="4707" spans="2:27" x14ac:dyDescent="0.25">
      <c r="B4707" s="42"/>
      <c r="AA4707" s="43"/>
    </row>
    <row r="4708" spans="2:27" x14ac:dyDescent="0.25">
      <c r="B4708" s="42"/>
      <c r="AA4708" s="43"/>
    </row>
    <row r="4709" spans="2:27" x14ac:dyDescent="0.25">
      <c r="B4709" s="42"/>
      <c r="AA4709" s="43"/>
    </row>
    <row r="4710" spans="2:27" x14ac:dyDescent="0.25">
      <c r="B4710" s="42"/>
      <c r="AA4710" s="43"/>
    </row>
    <row r="4711" spans="2:27" x14ac:dyDescent="0.25">
      <c r="B4711" s="42"/>
      <c r="AA4711" s="43"/>
    </row>
    <row r="4712" spans="2:27" x14ac:dyDescent="0.25">
      <c r="B4712" s="42"/>
      <c r="AA4712" s="43"/>
    </row>
    <row r="4713" spans="2:27" x14ac:dyDescent="0.25">
      <c r="B4713" s="42"/>
      <c r="AA4713" s="43"/>
    </row>
    <row r="4714" spans="2:27" x14ac:dyDescent="0.25">
      <c r="B4714" s="42"/>
      <c r="AA4714" s="43"/>
    </row>
    <row r="4715" spans="2:27" x14ac:dyDescent="0.25">
      <c r="B4715" s="42"/>
      <c r="AA4715" s="43"/>
    </row>
    <row r="4716" spans="2:27" x14ac:dyDescent="0.25">
      <c r="B4716" s="42"/>
      <c r="AA4716" s="43"/>
    </row>
    <row r="4717" spans="2:27" x14ac:dyDescent="0.25">
      <c r="B4717" s="42"/>
      <c r="AA4717" s="43"/>
    </row>
    <row r="4718" spans="2:27" x14ac:dyDescent="0.25">
      <c r="B4718" s="42"/>
      <c r="AA4718" s="43"/>
    </row>
    <row r="4719" spans="2:27" x14ac:dyDescent="0.25">
      <c r="B4719" s="42"/>
      <c r="AA4719" s="43"/>
    </row>
    <row r="4720" spans="2:27" x14ac:dyDescent="0.25">
      <c r="B4720" s="42"/>
      <c r="AA4720" s="43"/>
    </row>
    <row r="4721" spans="2:27" x14ac:dyDescent="0.25">
      <c r="B4721" s="42"/>
      <c r="AA4721" s="43"/>
    </row>
    <row r="4722" spans="2:27" x14ac:dyDescent="0.25">
      <c r="B4722" s="42"/>
      <c r="AA4722" s="43"/>
    </row>
    <row r="4723" spans="2:27" x14ac:dyDescent="0.25">
      <c r="B4723" s="42"/>
      <c r="AA4723" s="43"/>
    </row>
    <row r="4724" spans="2:27" x14ac:dyDescent="0.25">
      <c r="B4724" s="42"/>
      <c r="AA4724" s="43"/>
    </row>
    <row r="4725" spans="2:27" x14ac:dyDescent="0.25">
      <c r="B4725" s="42"/>
      <c r="AA4725" s="43"/>
    </row>
    <row r="4726" spans="2:27" x14ac:dyDescent="0.25">
      <c r="B4726" s="42"/>
      <c r="AA4726" s="43"/>
    </row>
    <row r="4727" spans="2:27" x14ac:dyDescent="0.25">
      <c r="B4727" s="42"/>
      <c r="AA4727" s="43"/>
    </row>
    <row r="4728" spans="2:27" x14ac:dyDescent="0.25">
      <c r="B4728" s="42"/>
      <c r="AA4728" s="43"/>
    </row>
    <row r="4729" spans="2:27" x14ac:dyDescent="0.25">
      <c r="B4729" s="42"/>
      <c r="AA4729" s="43"/>
    </row>
    <row r="4730" spans="2:27" x14ac:dyDescent="0.25">
      <c r="B4730" s="42"/>
      <c r="AA4730" s="43"/>
    </row>
    <row r="4731" spans="2:27" x14ac:dyDescent="0.25">
      <c r="B4731" s="42"/>
      <c r="AA4731" s="43"/>
    </row>
    <row r="4732" spans="2:27" x14ac:dyDescent="0.25">
      <c r="B4732" s="42"/>
      <c r="AA4732" s="43"/>
    </row>
    <row r="4733" spans="2:27" x14ac:dyDescent="0.25">
      <c r="B4733" s="42"/>
      <c r="AA4733" s="43"/>
    </row>
    <row r="4734" spans="2:27" x14ac:dyDescent="0.25">
      <c r="B4734" s="42"/>
      <c r="AA4734" s="43"/>
    </row>
    <row r="4735" spans="2:27" x14ac:dyDescent="0.25">
      <c r="B4735" s="42"/>
      <c r="AA4735" s="43"/>
    </row>
    <row r="4736" spans="2:27" x14ac:dyDescent="0.25">
      <c r="B4736" s="42"/>
      <c r="AA4736" s="43"/>
    </row>
    <row r="4737" spans="2:27" x14ac:dyDescent="0.25">
      <c r="B4737" s="42"/>
      <c r="AA4737" s="43"/>
    </row>
    <row r="4738" spans="2:27" x14ac:dyDescent="0.25">
      <c r="B4738" s="42"/>
      <c r="AA4738" s="43"/>
    </row>
    <row r="4739" spans="2:27" x14ac:dyDescent="0.25">
      <c r="B4739" s="42"/>
      <c r="AA4739" s="43"/>
    </row>
    <row r="4740" spans="2:27" x14ac:dyDescent="0.25">
      <c r="B4740" s="42"/>
      <c r="AA4740" s="43"/>
    </row>
    <row r="4741" spans="2:27" x14ac:dyDescent="0.25">
      <c r="B4741" s="42"/>
      <c r="AA4741" s="43"/>
    </row>
    <row r="4742" spans="2:27" x14ac:dyDescent="0.25">
      <c r="B4742" s="42"/>
      <c r="AA4742" s="43"/>
    </row>
    <row r="4743" spans="2:27" x14ac:dyDescent="0.25">
      <c r="B4743" s="42"/>
      <c r="AA4743" s="43"/>
    </row>
    <row r="4744" spans="2:27" x14ac:dyDescent="0.25">
      <c r="B4744" s="42"/>
      <c r="AA4744" s="43"/>
    </row>
    <row r="4745" spans="2:27" x14ac:dyDescent="0.25">
      <c r="B4745" s="42"/>
      <c r="AA4745" s="43"/>
    </row>
    <row r="4746" spans="2:27" x14ac:dyDescent="0.25">
      <c r="B4746" s="42"/>
      <c r="AA4746" s="43"/>
    </row>
    <row r="4747" spans="2:27" x14ac:dyDescent="0.25">
      <c r="B4747" s="42"/>
      <c r="AA4747" s="43"/>
    </row>
    <row r="4748" spans="2:27" x14ac:dyDescent="0.25">
      <c r="B4748" s="42"/>
      <c r="AA4748" s="43"/>
    </row>
    <row r="4749" spans="2:27" x14ac:dyDescent="0.25">
      <c r="B4749" s="42"/>
      <c r="AA4749" s="43"/>
    </row>
    <row r="4750" spans="2:27" x14ac:dyDescent="0.25">
      <c r="B4750" s="42"/>
      <c r="AA4750" s="43"/>
    </row>
    <row r="4751" spans="2:27" x14ac:dyDescent="0.25">
      <c r="B4751" s="42"/>
      <c r="AA4751" s="43"/>
    </row>
    <row r="4752" spans="2:27" x14ac:dyDescent="0.25">
      <c r="B4752" s="42"/>
      <c r="AA4752" s="43"/>
    </row>
    <row r="4753" spans="2:27" x14ac:dyDescent="0.25">
      <c r="B4753" s="42"/>
      <c r="AA4753" s="43"/>
    </row>
    <row r="4754" spans="2:27" x14ac:dyDescent="0.25">
      <c r="B4754" s="42"/>
      <c r="AA4754" s="43"/>
    </row>
    <row r="4755" spans="2:27" x14ac:dyDescent="0.25">
      <c r="B4755" s="42"/>
      <c r="AA4755" s="43"/>
    </row>
    <row r="4756" spans="2:27" x14ac:dyDescent="0.25">
      <c r="B4756" s="42"/>
      <c r="AA4756" s="43"/>
    </row>
    <row r="4757" spans="2:27" x14ac:dyDescent="0.25">
      <c r="B4757" s="42"/>
      <c r="AA4757" s="43"/>
    </row>
    <row r="4758" spans="2:27" x14ac:dyDescent="0.25">
      <c r="B4758" s="42"/>
      <c r="AA4758" s="43"/>
    </row>
    <row r="4759" spans="2:27" x14ac:dyDescent="0.25">
      <c r="B4759" s="42"/>
      <c r="AA4759" s="43"/>
    </row>
    <row r="4760" spans="2:27" x14ac:dyDescent="0.25">
      <c r="B4760" s="42"/>
      <c r="AA4760" s="43"/>
    </row>
    <row r="4761" spans="2:27" x14ac:dyDescent="0.25">
      <c r="B4761" s="42"/>
      <c r="AA4761" s="43"/>
    </row>
    <row r="4762" spans="2:27" x14ac:dyDescent="0.25">
      <c r="B4762" s="42"/>
      <c r="AA4762" s="43"/>
    </row>
    <row r="4763" spans="2:27" x14ac:dyDescent="0.25">
      <c r="B4763" s="42"/>
      <c r="AA4763" s="43"/>
    </row>
    <row r="4764" spans="2:27" x14ac:dyDescent="0.25">
      <c r="B4764" s="42"/>
      <c r="AA4764" s="43"/>
    </row>
    <row r="4765" spans="2:27" x14ac:dyDescent="0.25">
      <c r="B4765" s="42"/>
      <c r="AA4765" s="43"/>
    </row>
    <row r="4766" spans="2:27" x14ac:dyDescent="0.25">
      <c r="B4766" s="42"/>
      <c r="AA4766" s="43"/>
    </row>
    <row r="4767" spans="2:27" x14ac:dyDescent="0.25">
      <c r="B4767" s="42"/>
      <c r="AA4767" s="43"/>
    </row>
    <row r="4768" spans="2:27" x14ac:dyDescent="0.25">
      <c r="B4768" s="42"/>
      <c r="AA4768" s="43"/>
    </row>
    <row r="4769" spans="2:27" x14ac:dyDescent="0.25">
      <c r="B4769" s="42"/>
      <c r="AA4769" s="43"/>
    </row>
    <row r="4770" spans="2:27" x14ac:dyDescent="0.25">
      <c r="B4770" s="42"/>
      <c r="AA4770" s="43"/>
    </row>
    <row r="4771" spans="2:27" x14ac:dyDescent="0.25">
      <c r="B4771" s="42"/>
      <c r="AA4771" s="43"/>
    </row>
    <row r="4772" spans="2:27" x14ac:dyDescent="0.25">
      <c r="B4772" s="42"/>
      <c r="AA4772" s="43"/>
    </row>
    <row r="4773" spans="2:27" x14ac:dyDescent="0.25">
      <c r="B4773" s="42"/>
      <c r="AA4773" s="43"/>
    </row>
    <row r="4774" spans="2:27" x14ac:dyDescent="0.25">
      <c r="B4774" s="42"/>
      <c r="AA4774" s="43"/>
    </row>
    <row r="4775" spans="2:27" x14ac:dyDescent="0.25">
      <c r="B4775" s="42"/>
      <c r="AA4775" s="43"/>
    </row>
    <row r="4776" spans="2:27" x14ac:dyDescent="0.25">
      <c r="B4776" s="42"/>
      <c r="AA4776" s="43"/>
    </row>
    <row r="4777" spans="2:27" x14ac:dyDescent="0.25">
      <c r="B4777" s="42"/>
      <c r="AA4777" s="43"/>
    </row>
    <row r="4778" spans="2:27" x14ac:dyDescent="0.25">
      <c r="B4778" s="42"/>
      <c r="AA4778" s="43"/>
    </row>
    <row r="4779" spans="2:27" x14ac:dyDescent="0.25">
      <c r="B4779" s="42"/>
      <c r="AA4779" s="43"/>
    </row>
    <row r="4780" spans="2:27" x14ac:dyDescent="0.25">
      <c r="B4780" s="42"/>
      <c r="AA4780" s="43"/>
    </row>
    <row r="4781" spans="2:27" x14ac:dyDescent="0.25">
      <c r="B4781" s="42"/>
      <c r="AA4781" s="43"/>
    </row>
    <row r="4782" spans="2:27" x14ac:dyDescent="0.25">
      <c r="B4782" s="42"/>
      <c r="AA4782" s="43"/>
    </row>
    <row r="4783" spans="2:27" x14ac:dyDescent="0.25">
      <c r="B4783" s="42"/>
      <c r="AA4783" s="43"/>
    </row>
    <row r="4784" spans="2:27" x14ac:dyDescent="0.25">
      <c r="B4784" s="42"/>
      <c r="AA4784" s="43"/>
    </row>
    <row r="4785" spans="2:27" x14ac:dyDescent="0.25">
      <c r="B4785" s="42"/>
      <c r="AA4785" s="43"/>
    </row>
    <row r="4786" spans="2:27" x14ac:dyDescent="0.25">
      <c r="B4786" s="42"/>
      <c r="AA4786" s="43"/>
    </row>
    <row r="4787" spans="2:27" x14ac:dyDescent="0.25">
      <c r="B4787" s="42"/>
      <c r="AA4787" s="43"/>
    </row>
    <row r="4788" spans="2:27" x14ac:dyDescent="0.25">
      <c r="B4788" s="42"/>
      <c r="AA4788" s="43"/>
    </row>
    <row r="4789" spans="2:27" x14ac:dyDescent="0.25">
      <c r="B4789" s="42"/>
      <c r="AA4789" s="43"/>
    </row>
    <row r="4790" spans="2:27" x14ac:dyDescent="0.25">
      <c r="B4790" s="42"/>
      <c r="AA4790" s="43"/>
    </row>
    <row r="4791" spans="2:27" x14ac:dyDescent="0.25">
      <c r="B4791" s="42"/>
      <c r="AA4791" s="43"/>
    </row>
    <row r="4792" spans="2:27" x14ac:dyDescent="0.25">
      <c r="B4792" s="42"/>
      <c r="AA4792" s="43"/>
    </row>
    <row r="4793" spans="2:27" x14ac:dyDescent="0.25">
      <c r="B4793" s="42"/>
      <c r="AA4793" s="43"/>
    </row>
    <row r="4794" spans="2:27" x14ac:dyDescent="0.25">
      <c r="B4794" s="42"/>
      <c r="AA4794" s="43"/>
    </row>
    <row r="4795" spans="2:27" x14ac:dyDescent="0.25">
      <c r="B4795" s="42"/>
      <c r="AA4795" s="43"/>
    </row>
    <row r="4796" spans="2:27" x14ac:dyDescent="0.25">
      <c r="B4796" s="42"/>
      <c r="AA4796" s="43"/>
    </row>
    <row r="4797" spans="2:27" x14ac:dyDescent="0.25">
      <c r="B4797" s="42"/>
      <c r="AA4797" s="43"/>
    </row>
    <row r="4798" spans="2:27" x14ac:dyDescent="0.25">
      <c r="B4798" s="42"/>
      <c r="AA4798" s="43"/>
    </row>
    <row r="4799" spans="2:27" x14ac:dyDescent="0.25">
      <c r="B4799" s="42"/>
      <c r="AA4799" s="43"/>
    </row>
    <row r="4800" spans="2:27" x14ac:dyDescent="0.25">
      <c r="B4800" s="42"/>
      <c r="AA4800" s="43"/>
    </row>
    <row r="4801" spans="2:27" x14ac:dyDescent="0.25">
      <c r="B4801" s="42"/>
      <c r="AA4801" s="43"/>
    </row>
    <row r="4802" spans="2:27" x14ac:dyDescent="0.25">
      <c r="B4802" s="42"/>
      <c r="AA4802" s="43"/>
    </row>
    <row r="4803" spans="2:27" x14ac:dyDescent="0.25">
      <c r="B4803" s="42"/>
      <c r="AA4803" s="43"/>
    </row>
    <row r="4804" spans="2:27" x14ac:dyDescent="0.25">
      <c r="B4804" s="42"/>
      <c r="AA4804" s="43"/>
    </row>
    <row r="4805" spans="2:27" x14ac:dyDescent="0.25">
      <c r="B4805" s="42"/>
      <c r="AA4805" s="43"/>
    </row>
    <row r="4806" spans="2:27" x14ac:dyDescent="0.25">
      <c r="B4806" s="42"/>
      <c r="AA4806" s="43"/>
    </row>
    <row r="4807" spans="2:27" x14ac:dyDescent="0.25">
      <c r="B4807" s="42"/>
      <c r="AA4807" s="43"/>
    </row>
    <row r="4808" spans="2:27" x14ac:dyDescent="0.25">
      <c r="B4808" s="42"/>
      <c r="AA4808" s="43"/>
    </row>
    <row r="4809" spans="2:27" x14ac:dyDescent="0.25">
      <c r="B4809" s="42"/>
      <c r="AA4809" s="43"/>
    </row>
    <row r="4810" spans="2:27" x14ac:dyDescent="0.25">
      <c r="B4810" s="42"/>
      <c r="AA4810" s="43"/>
    </row>
    <row r="4811" spans="2:27" x14ac:dyDescent="0.25">
      <c r="B4811" s="42"/>
      <c r="AA4811" s="43"/>
    </row>
    <row r="4812" spans="2:27" x14ac:dyDescent="0.25">
      <c r="B4812" s="42"/>
      <c r="AA4812" s="43"/>
    </row>
    <row r="4813" spans="2:27" x14ac:dyDescent="0.25">
      <c r="B4813" s="42"/>
      <c r="AA4813" s="43"/>
    </row>
    <row r="4814" spans="2:27" x14ac:dyDescent="0.25">
      <c r="B4814" s="42"/>
      <c r="AA4814" s="43"/>
    </row>
    <row r="4815" spans="2:27" x14ac:dyDescent="0.25">
      <c r="B4815" s="42"/>
      <c r="AA4815" s="43"/>
    </row>
    <row r="4816" spans="2:27" x14ac:dyDescent="0.25">
      <c r="B4816" s="42"/>
      <c r="AA4816" s="43"/>
    </row>
    <row r="4817" spans="2:27" x14ac:dyDescent="0.25">
      <c r="B4817" s="42"/>
      <c r="AA4817" s="43"/>
    </row>
    <row r="4818" spans="2:27" x14ac:dyDescent="0.25">
      <c r="B4818" s="42"/>
      <c r="AA4818" s="43"/>
    </row>
    <row r="4819" spans="2:27" x14ac:dyDescent="0.25">
      <c r="B4819" s="42"/>
      <c r="AA4819" s="43"/>
    </row>
    <row r="4820" spans="2:27" x14ac:dyDescent="0.25">
      <c r="B4820" s="42"/>
      <c r="AA4820" s="43"/>
    </row>
    <row r="4821" spans="2:27" x14ac:dyDescent="0.25">
      <c r="B4821" s="42"/>
      <c r="AA4821" s="43"/>
    </row>
    <row r="4822" spans="2:27" x14ac:dyDescent="0.25">
      <c r="B4822" s="42"/>
      <c r="AA4822" s="43"/>
    </row>
    <row r="4823" spans="2:27" x14ac:dyDescent="0.25">
      <c r="B4823" s="42"/>
      <c r="AA4823" s="43"/>
    </row>
    <row r="4824" spans="2:27" x14ac:dyDescent="0.25">
      <c r="B4824" s="42"/>
      <c r="AA4824" s="43"/>
    </row>
    <row r="4825" spans="2:27" x14ac:dyDescent="0.25">
      <c r="B4825" s="42"/>
      <c r="AA4825" s="43"/>
    </row>
    <row r="4826" spans="2:27" x14ac:dyDescent="0.25">
      <c r="B4826" s="42"/>
      <c r="AA4826" s="43"/>
    </row>
    <row r="4827" spans="2:27" x14ac:dyDescent="0.25">
      <c r="B4827" s="42"/>
      <c r="AA4827" s="43"/>
    </row>
    <row r="4828" spans="2:27" x14ac:dyDescent="0.25">
      <c r="B4828" s="42"/>
      <c r="AA4828" s="43"/>
    </row>
    <row r="4829" spans="2:27" x14ac:dyDescent="0.25">
      <c r="B4829" s="42"/>
      <c r="AA4829" s="43"/>
    </row>
    <row r="4830" spans="2:27" x14ac:dyDescent="0.25">
      <c r="B4830" s="42"/>
      <c r="AA4830" s="43"/>
    </row>
    <row r="4831" spans="2:27" x14ac:dyDescent="0.25">
      <c r="B4831" s="42"/>
      <c r="AA4831" s="43"/>
    </row>
    <row r="4832" spans="2:27" x14ac:dyDescent="0.25">
      <c r="B4832" s="42"/>
      <c r="AA4832" s="43"/>
    </row>
    <row r="4833" spans="2:27" x14ac:dyDescent="0.25">
      <c r="B4833" s="42"/>
      <c r="AA4833" s="43"/>
    </row>
    <row r="4834" spans="2:27" x14ac:dyDescent="0.25">
      <c r="B4834" s="42"/>
      <c r="AA4834" s="43"/>
    </row>
    <row r="4835" spans="2:27" x14ac:dyDescent="0.25">
      <c r="B4835" s="42"/>
      <c r="AA4835" s="43"/>
    </row>
    <row r="4836" spans="2:27" x14ac:dyDescent="0.25">
      <c r="B4836" s="42"/>
      <c r="AA4836" s="43"/>
    </row>
    <row r="4837" spans="2:27" x14ac:dyDescent="0.25">
      <c r="B4837" s="42"/>
      <c r="AA4837" s="43"/>
    </row>
    <row r="4838" spans="2:27" x14ac:dyDescent="0.25">
      <c r="B4838" s="42"/>
      <c r="AA4838" s="43"/>
    </row>
    <row r="4839" spans="2:27" x14ac:dyDescent="0.25">
      <c r="B4839" s="42"/>
      <c r="AA4839" s="43"/>
    </row>
    <row r="4840" spans="2:27" x14ac:dyDescent="0.25">
      <c r="B4840" s="42"/>
      <c r="AA4840" s="43"/>
    </row>
    <row r="4841" spans="2:27" x14ac:dyDescent="0.25">
      <c r="B4841" s="42"/>
      <c r="AA4841" s="43"/>
    </row>
    <row r="4842" spans="2:27" x14ac:dyDescent="0.25">
      <c r="B4842" s="42"/>
      <c r="AA4842" s="43"/>
    </row>
    <row r="4843" spans="2:27" x14ac:dyDescent="0.25">
      <c r="B4843" s="42"/>
      <c r="AA4843" s="43"/>
    </row>
    <row r="4844" spans="2:27" x14ac:dyDescent="0.25">
      <c r="B4844" s="42"/>
      <c r="AA4844" s="43"/>
    </row>
    <row r="4845" spans="2:27" x14ac:dyDescent="0.25">
      <c r="B4845" s="42"/>
      <c r="AA4845" s="43"/>
    </row>
    <row r="4846" spans="2:27" x14ac:dyDescent="0.25">
      <c r="B4846" s="42"/>
      <c r="AA4846" s="43"/>
    </row>
    <row r="4847" spans="2:27" x14ac:dyDescent="0.25">
      <c r="B4847" s="42"/>
      <c r="AA4847" s="43"/>
    </row>
    <row r="4848" spans="2:27" x14ac:dyDescent="0.25">
      <c r="B4848" s="42"/>
      <c r="AA4848" s="43"/>
    </row>
    <row r="4849" spans="2:27" x14ac:dyDescent="0.25">
      <c r="B4849" s="42"/>
      <c r="AA4849" s="43"/>
    </row>
    <row r="4850" spans="2:27" x14ac:dyDescent="0.25">
      <c r="B4850" s="42"/>
      <c r="AA4850" s="43"/>
    </row>
    <row r="4851" spans="2:27" x14ac:dyDescent="0.25">
      <c r="B4851" s="42"/>
      <c r="AA4851" s="43"/>
    </row>
    <row r="4852" spans="2:27" x14ac:dyDescent="0.25">
      <c r="B4852" s="42"/>
      <c r="AA4852" s="43"/>
    </row>
    <row r="4853" spans="2:27" x14ac:dyDescent="0.25">
      <c r="B4853" s="42"/>
      <c r="AA4853" s="43"/>
    </row>
    <row r="4854" spans="2:27" x14ac:dyDescent="0.25">
      <c r="B4854" s="42"/>
      <c r="AA4854" s="43"/>
    </row>
    <row r="4855" spans="2:27" x14ac:dyDescent="0.25">
      <c r="B4855" s="42"/>
      <c r="AA4855" s="43"/>
    </row>
    <row r="4856" spans="2:27" x14ac:dyDescent="0.25">
      <c r="B4856" s="42"/>
      <c r="AA4856" s="43"/>
    </row>
    <row r="4857" spans="2:27" x14ac:dyDescent="0.25">
      <c r="B4857" s="42"/>
      <c r="AA4857" s="43"/>
    </row>
    <row r="4858" spans="2:27" x14ac:dyDescent="0.25">
      <c r="B4858" s="42"/>
      <c r="AA4858" s="43"/>
    </row>
    <row r="4859" spans="2:27" x14ac:dyDescent="0.25">
      <c r="B4859" s="42"/>
      <c r="AA4859" s="43"/>
    </row>
    <row r="4860" spans="2:27" x14ac:dyDescent="0.25">
      <c r="B4860" s="42"/>
      <c r="AA4860" s="43"/>
    </row>
    <row r="4861" spans="2:27" x14ac:dyDescent="0.25">
      <c r="B4861" s="42"/>
      <c r="AA4861" s="43"/>
    </row>
    <row r="4862" spans="2:27" x14ac:dyDescent="0.25">
      <c r="B4862" s="42"/>
      <c r="AA4862" s="43"/>
    </row>
    <row r="4863" spans="2:27" x14ac:dyDescent="0.25">
      <c r="B4863" s="42"/>
      <c r="AA4863" s="43"/>
    </row>
    <row r="4864" spans="2:27" x14ac:dyDescent="0.25">
      <c r="B4864" s="42"/>
      <c r="AA4864" s="43"/>
    </row>
    <row r="4865" spans="2:27" x14ac:dyDescent="0.25">
      <c r="B4865" s="42"/>
      <c r="AA4865" s="43"/>
    </row>
    <row r="4866" spans="2:27" x14ac:dyDescent="0.25">
      <c r="B4866" s="42"/>
      <c r="AA4866" s="43"/>
    </row>
    <row r="4867" spans="2:27" x14ac:dyDescent="0.25">
      <c r="B4867" s="42"/>
      <c r="AA4867" s="43"/>
    </row>
    <row r="4868" spans="2:27" x14ac:dyDescent="0.25">
      <c r="B4868" s="42"/>
      <c r="AA4868" s="43"/>
    </row>
    <row r="4869" spans="2:27" x14ac:dyDescent="0.25">
      <c r="B4869" s="42"/>
      <c r="AA4869" s="43"/>
    </row>
    <row r="4870" spans="2:27" x14ac:dyDescent="0.25">
      <c r="B4870" s="42"/>
      <c r="AA4870" s="43"/>
    </row>
    <row r="4871" spans="2:27" x14ac:dyDescent="0.25">
      <c r="B4871" s="42"/>
      <c r="AA4871" s="43"/>
    </row>
    <row r="4872" spans="2:27" x14ac:dyDescent="0.25">
      <c r="B4872" s="42"/>
      <c r="AA4872" s="43"/>
    </row>
    <row r="4873" spans="2:27" x14ac:dyDescent="0.25">
      <c r="B4873" s="42"/>
      <c r="AA4873" s="43"/>
    </row>
    <row r="4874" spans="2:27" x14ac:dyDescent="0.25">
      <c r="B4874" s="42"/>
      <c r="AA4874" s="43"/>
    </row>
    <row r="4875" spans="2:27" x14ac:dyDescent="0.25">
      <c r="B4875" s="42"/>
      <c r="AA4875" s="43"/>
    </row>
    <row r="4876" spans="2:27" x14ac:dyDescent="0.25">
      <c r="B4876" s="42"/>
      <c r="AA4876" s="43"/>
    </row>
    <row r="4877" spans="2:27" x14ac:dyDescent="0.25">
      <c r="B4877" s="42"/>
      <c r="AA4877" s="43"/>
    </row>
    <row r="4878" spans="2:27" x14ac:dyDescent="0.25">
      <c r="B4878" s="42"/>
      <c r="AA4878" s="43"/>
    </row>
    <row r="4879" spans="2:27" x14ac:dyDescent="0.25">
      <c r="B4879" s="42"/>
      <c r="AA4879" s="43"/>
    </row>
    <row r="4880" spans="2:27" x14ac:dyDescent="0.25">
      <c r="B4880" s="42"/>
      <c r="AA4880" s="43"/>
    </row>
    <row r="4881" spans="2:27" x14ac:dyDescent="0.25">
      <c r="B4881" s="42"/>
      <c r="AA4881" s="43"/>
    </row>
    <row r="4882" spans="2:27" x14ac:dyDescent="0.25">
      <c r="B4882" s="42"/>
      <c r="AA4882" s="43"/>
    </row>
    <row r="4883" spans="2:27" x14ac:dyDescent="0.25">
      <c r="B4883" s="42"/>
      <c r="AA4883" s="43"/>
    </row>
    <row r="4884" spans="2:27" x14ac:dyDescent="0.25">
      <c r="B4884" s="42"/>
      <c r="AA4884" s="43"/>
    </row>
    <row r="4885" spans="2:27" x14ac:dyDescent="0.25">
      <c r="B4885" s="42"/>
      <c r="AA4885" s="43"/>
    </row>
    <row r="4886" spans="2:27" x14ac:dyDescent="0.25">
      <c r="B4886" s="42"/>
      <c r="AA4886" s="43"/>
    </row>
    <row r="4887" spans="2:27" x14ac:dyDescent="0.25">
      <c r="B4887" s="42"/>
      <c r="AA4887" s="43"/>
    </row>
    <row r="4888" spans="2:27" x14ac:dyDescent="0.25">
      <c r="B4888" s="42"/>
      <c r="AA4888" s="43"/>
    </row>
    <row r="4889" spans="2:27" x14ac:dyDescent="0.25">
      <c r="B4889" s="42"/>
      <c r="AA4889" s="43"/>
    </row>
    <row r="4890" spans="2:27" x14ac:dyDescent="0.25">
      <c r="B4890" s="42"/>
      <c r="AA4890" s="43"/>
    </row>
    <row r="4891" spans="2:27" x14ac:dyDescent="0.25">
      <c r="B4891" s="42"/>
      <c r="AA4891" s="43"/>
    </row>
    <row r="4892" spans="2:27" x14ac:dyDescent="0.25">
      <c r="B4892" s="42"/>
      <c r="AA4892" s="43"/>
    </row>
    <row r="4893" spans="2:27" x14ac:dyDescent="0.25">
      <c r="B4893" s="42"/>
      <c r="AA4893" s="43"/>
    </row>
    <row r="4894" spans="2:27" x14ac:dyDescent="0.25">
      <c r="B4894" s="42"/>
      <c r="AA4894" s="43"/>
    </row>
    <row r="4895" spans="2:27" x14ac:dyDescent="0.25">
      <c r="B4895" s="42"/>
      <c r="AA4895" s="43"/>
    </row>
    <row r="4896" spans="2:27" x14ac:dyDescent="0.25">
      <c r="B4896" s="42"/>
      <c r="AA4896" s="43"/>
    </row>
    <row r="4897" spans="2:27" x14ac:dyDescent="0.25">
      <c r="B4897" s="42"/>
      <c r="AA4897" s="43"/>
    </row>
    <row r="4898" spans="2:27" x14ac:dyDescent="0.25">
      <c r="B4898" s="42"/>
      <c r="AA4898" s="43"/>
    </row>
    <row r="4899" spans="2:27" x14ac:dyDescent="0.25">
      <c r="B4899" s="42"/>
      <c r="AA4899" s="43"/>
    </row>
    <row r="4900" spans="2:27" x14ac:dyDescent="0.25">
      <c r="B4900" s="42"/>
      <c r="AA4900" s="43"/>
    </row>
    <row r="4901" spans="2:27" x14ac:dyDescent="0.25">
      <c r="B4901" s="42"/>
      <c r="AA4901" s="43"/>
    </row>
    <row r="4902" spans="2:27" x14ac:dyDescent="0.25">
      <c r="B4902" s="42"/>
      <c r="AA4902" s="43"/>
    </row>
    <row r="4903" spans="2:27" x14ac:dyDescent="0.25">
      <c r="B4903" s="42"/>
      <c r="AA4903" s="43"/>
    </row>
    <row r="4904" spans="2:27" x14ac:dyDescent="0.25">
      <c r="B4904" s="42"/>
      <c r="AA4904" s="43"/>
    </row>
    <row r="4905" spans="2:27" x14ac:dyDescent="0.25">
      <c r="B4905" s="42"/>
      <c r="AA4905" s="43"/>
    </row>
    <row r="4906" spans="2:27" x14ac:dyDescent="0.25">
      <c r="B4906" s="42"/>
      <c r="AA4906" s="43"/>
    </row>
    <row r="4907" spans="2:27" x14ac:dyDescent="0.25">
      <c r="B4907" s="42"/>
      <c r="AA4907" s="43"/>
    </row>
    <row r="4908" spans="2:27" x14ac:dyDescent="0.25">
      <c r="B4908" s="42"/>
      <c r="AA4908" s="43"/>
    </row>
    <row r="4909" spans="2:27" x14ac:dyDescent="0.25">
      <c r="B4909" s="42"/>
      <c r="AA4909" s="43"/>
    </row>
    <row r="4910" spans="2:27" x14ac:dyDescent="0.25">
      <c r="B4910" s="42"/>
      <c r="AA4910" s="43"/>
    </row>
    <row r="4911" spans="2:27" x14ac:dyDescent="0.25">
      <c r="B4911" s="42"/>
      <c r="AA4911" s="43"/>
    </row>
    <row r="4912" spans="2:27" x14ac:dyDescent="0.25">
      <c r="B4912" s="42"/>
      <c r="AA4912" s="43"/>
    </row>
    <row r="4913" spans="2:27" x14ac:dyDescent="0.25">
      <c r="B4913" s="42"/>
      <c r="AA4913" s="43"/>
    </row>
    <row r="4914" spans="2:27" x14ac:dyDescent="0.25">
      <c r="B4914" s="42"/>
      <c r="AA4914" s="43"/>
    </row>
    <row r="4915" spans="2:27" x14ac:dyDescent="0.25">
      <c r="B4915" s="42"/>
      <c r="AA4915" s="43"/>
    </row>
    <row r="4916" spans="2:27" x14ac:dyDescent="0.25">
      <c r="B4916" s="42"/>
      <c r="AA4916" s="43"/>
    </row>
    <row r="4917" spans="2:27" x14ac:dyDescent="0.25">
      <c r="B4917" s="42"/>
      <c r="AA4917" s="43"/>
    </row>
    <row r="4918" spans="2:27" x14ac:dyDescent="0.25">
      <c r="B4918" s="42"/>
      <c r="AA4918" s="43"/>
    </row>
    <row r="4919" spans="2:27" x14ac:dyDescent="0.25">
      <c r="B4919" s="42"/>
      <c r="AA4919" s="43"/>
    </row>
    <row r="4920" spans="2:27" x14ac:dyDescent="0.25">
      <c r="B4920" s="42"/>
      <c r="AA4920" s="43"/>
    </row>
    <row r="4921" spans="2:27" x14ac:dyDescent="0.25">
      <c r="B4921" s="42"/>
      <c r="AA4921" s="43"/>
    </row>
    <row r="4922" spans="2:27" x14ac:dyDescent="0.25">
      <c r="B4922" s="42"/>
      <c r="AA4922" s="43"/>
    </row>
    <row r="4923" spans="2:27" x14ac:dyDescent="0.25">
      <c r="B4923" s="42"/>
      <c r="AA4923" s="43"/>
    </row>
    <row r="4924" spans="2:27" x14ac:dyDescent="0.25">
      <c r="B4924" s="42"/>
      <c r="AA4924" s="43"/>
    </row>
    <row r="4925" spans="2:27" x14ac:dyDescent="0.25">
      <c r="B4925" s="42"/>
      <c r="AA4925" s="43"/>
    </row>
    <row r="4926" spans="2:27" x14ac:dyDescent="0.25">
      <c r="B4926" s="42"/>
      <c r="AA4926" s="43"/>
    </row>
    <row r="4927" spans="2:27" x14ac:dyDescent="0.25">
      <c r="B4927" s="42"/>
      <c r="AA4927" s="43"/>
    </row>
    <row r="4928" spans="2:27" x14ac:dyDescent="0.25">
      <c r="B4928" s="42"/>
      <c r="AA4928" s="43"/>
    </row>
    <row r="4929" spans="2:27" x14ac:dyDescent="0.25">
      <c r="B4929" s="42"/>
      <c r="AA4929" s="43"/>
    </row>
    <row r="4930" spans="2:27" x14ac:dyDescent="0.25">
      <c r="B4930" s="42"/>
      <c r="AA4930" s="43"/>
    </row>
    <row r="4931" spans="2:27" x14ac:dyDescent="0.25">
      <c r="B4931" s="42"/>
      <c r="AA4931" s="43"/>
    </row>
    <row r="4932" spans="2:27" x14ac:dyDescent="0.25">
      <c r="B4932" s="42"/>
      <c r="AA4932" s="43"/>
    </row>
    <row r="4933" spans="2:27" x14ac:dyDescent="0.25">
      <c r="B4933" s="42"/>
      <c r="AA4933" s="43"/>
    </row>
    <row r="4934" spans="2:27" x14ac:dyDescent="0.25">
      <c r="B4934" s="42"/>
      <c r="AA4934" s="43"/>
    </row>
    <row r="4935" spans="2:27" x14ac:dyDescent="0.25">
      <c r="B4935" s="42"/>
      <c r="AA4935" s="43"/>
    </row>
    <row r="4936" spans="2:27" x14ac:dyDescent="0.25">
      <c r="B4936" s="42"/>
      <c r="AA4936" s="43"/>
    </row>
    <row r="4937" spans="2:27" x14ac:dyDescent="0.25">
      <c r="B4937" s="42"/>
      <c r="AA4937" s="43"/>
    </row>
    <row r="4938" spans="2:27" x14ac:dyDescent="0.25">
      <c r="B4938" s="42"/>
      <c r="AA4938" s="43"/>
    </row>
    <row r="4939" spans="2:27" x14ac:dyDescent="0.25">
      <c r="B4939" s="42"/>
      <c r="AA4939" s="43"/>
    </row>
    <row r="4940" spans="2:27" x14ac:dyDescent="0.25">
      <c r="B4940" s="42"/>
      <c r="AA4940" s="43"/>
    </row>
    <row r="4941" spans="2:27" x14ac:dyDescent="0.25">
      <c r="B4941" s="42"/>
      <c r="AA4941" s="43"/>
    </row>
    <row r="4942" spans="2:27" x14ac:dyDescent="0.25">
      <c r="B4942" s="42"/>
      <c r="AA4942" s="43"/>
    </row>
    <row r="4943" spans="2:27" x14ac:dyDescent="0.25">
      <c r="B4943" s="42"/>
      <c r="AA4943" s="43"/>
    </row>
    <row r="4944" spans="2:27" x14ac:dyDescent="0.25">
      <c r="B4944" s="42"/>
      <c r="AA4944" s="43"/>
    </row>
    <row r="4945" spans="2:27" x14ac:dyDescent="0.25">
      <c r="B4945" s="42"/>
      <c r="AA4945" s="43"/>
    </row>
    <row r="4946" spans="2:27" x14ac:dyDescent="0.25">
      <c r="B4946" s="42"/>
      <c r="AA4946" s="43"/>
    </row>
    <row r="4947" spans="2:27" x14ac:dyDescent="0.25">
      <c r="B4947" s="42"/>
      <c r="AA4947" s="43"/>
    </row>
    <row r="4948" spans="2:27" x14ac:dyDescent="0.25">
      <c r="B4948" s="42"/>
      <c r="AA4948" s="43"/>
    </row>
    <row r="4949" spans="2:27" x14ac:dyDescent="0.25">
      <c r="B4949" s="42"/>
      <c r="AA4949" s="43"/>
    </row>
    <row r="4950" spans="2:27" x14ac:dyDescent="0.25">
      <c r="B4950" s="42"/>
      <c r="AA4950" s="43"/>
    </row>
    <row r="4951" spans="2:27" x14ac:dyDescent="0.25">
      <c r="B4951" s="42"/>
      <c r="AA4951" s="43"/>
    </row>
    <row r="4952" spans="2:27" x14ac:dyDescent="0.25">
      <c r="B4952" s="42"/>
      <c r="AA4952" s="43"/>
    </row>
    <row r="4953" spans="2:27" x14ac:dyDescent="0.25">
      <c r="B4953" s="42"/>
      <c r="AA4953" s="43"/>
    </row>
    <row r="4954" spans="2:27" x14ac:dyDescent="0.25">
      <c r="B4954" s="42"/>
      <c r="AA4954" s="43"/>
    </row>
    <row r="4955" spans="2:27" x14ac:dyDescent="0.25">
      <c r="B4955" s="42"/>
      <c r="AA4955" s="43"/>
    </row>
    <row r="4956" spans="2:27" x14ac:dyDescent="0.25">
      <c r="B4956" s="42"/>
      <c r="AA4956" s="43"/>
    </row>
    <row r="4957" spans="2:27" x14ac:dyDescent="0.25">
      <c r="B4957" s="42"/>
      <c r="AA4957" s="43"/>
    </row>
    <row r="4958" spans="2:27" x14ac:dyDescent="0.25">
      <c r="B4958" s="42"/>
      <c r="AA4958" s="43"/>
    </row>
    <row r="4959" spans="2:27" x14ac:dyDescent="0.25">
      <c r="B4959" s="42"/>
      <c r="AA4959" s="43"/>
    </row>
    <row r="4960" spans="2:27" x14ac:dyDescent="0.25">
      <c r="B4960" s="42"/>
      <c r="AA4960" s="43"/>
    </row>
    <row r="4961" spans="2:27" x14ac:dyDescent="0.25">
      <c r="B4961" s="42"/>
      <c r="AA4961" s="43"/>
    </row>
    <row r="4962" spans="2:27" x14ac:dyDescent="0.25">
      <c r="B4962" s="42"/>
      <c r="AA4962" s="43"/>
    </row>
    <row r="4963" spans="2:27" x14ac:dyDescent="0.25">
      <c r="B4963" s="42"/>
      <c r="AA4963" s="43"/>
    </row>
    <row r="4964" spans="2:27" x14ac:dyDescent="0.25">
      <c r="B4964" s="42"/>
      <c r="AA4964" s="43"/>
    </row>
    <row r="4965" spans="2:27" x14ac:dyDescent="0.25">
      <c r="B4965" s="42"/>
      <c r="AA4965" s="43"/>
    </row>
    <row r="4966" spans="2:27" x14ac:dyDescent="0.25">
      <c r="B4966" s="42"/>
      <c r="AA4966" s="43"/>
    </row>
    <row r="4967" spans="2:27" x14ac:dyDescent="0.25">
      <c r="B4967" s="42"/>
      <c r="AA4967" s="43"/>
    </row>
    <row r="4968" spans="2:27" x14ac:dyDescent="0.25">
      <c r="B4968" s="42"/>
      <c r="AA4968" s="43"/>
    </row>
    <row r="4969" spans="2:27" x14ac:dyDescent="0.25">
      <c r="B4969" s="42"/>
      <c r="AA4969" s="43"/>
    </row>
    <row r="4970" spans="2:27" x14ac:dyDescent="0.25">
      <c r="B4970" s="42"/>
      <c r="AA4970" s="43"/>
    </row>
    <row r="4971" spans="2:27" x14ac:dyDescent="0.25">
      <c r="B4971" s="42"/>
      <c r="AA4971" s="43"/>
    </row>
    <row r="4972" spans="2:27" x14ac:dyDescent="0.25">
      <c r="B4972" s="42"/>
      <c r="AA4972" s="43"/>
    </row>
    <row r="4973" spans="2:27" x14ac:dyDescent="0.25">
      <c r="B4973" s="42"/>
      <c r="AA4973" s="43"/>
    </row>
    <row r="4974" spans="2:27" x14ac:dyDescent="0.25">
      <c r="B4974" s="42"/>
      <c r="AA4974" s="43"/>
    </row>
    <row r="4975" spans="2:27" x14ac:dyDescent="0.25">
      <c r="B4975" s="42"/>
      <c r="AA4975" s="43"/>
    </row>
    <row r="4976" spans="2:27" x14ac:dyDescent="0.25">
      <c r="B4976" s="42"/>
      <c r="AA4976" s="43"/>
    </row>
    <row r="4977" spans="2:27" x14ac:dyDescent="0.25">
      <c r="B4977" s="42"/>
      <c r="AA4977" s="43"/>
    </row>
    <row r="4978" spans="2:27" x14ac:dyDescent="0.25">
      <c r="B4978" s="42"/>
      <c r="AA4978" s="43"/>
    </row>
    <row r="4979" spans="2:27" x14ac:dyDescent="0.25">
      <c r="B4979" s="42"/>
      <c r="AA4979" s="43"/>
    </row>
    <row r="4980" spans="2:27" x14ac:dyDescent="0.25">
      <c r="B4980" s="42"/>
      <c r="AA4980" s="43"/>
    </row>
    <row r="4981" spans="2:27" x14ac:dyDescent="0.25">
      <c r="B4981" s="42"/>
      <c r="AA4981" s="43"/>
    </row>
    <row r="4982" spans="2:27" x14ac:dyDescent="0.25">
      <c r="B4982" s="42"/>
      <c r="AA4982" s="43"/>
    </row>
    <row r="4983" spans="2:27" x14ac:dyDescent="0.25">
      <c r="B4983" s="42"/>
      <c r="AA4983" s="43"/>
    </row>
    <row r="4984" spans="2:27" x14ac:dyDescent="0.25">
      <c r="B4984" s="42"/>
      <c r="AA4984" s="43"/>
    </row>
    <row r="4985" spans="2:27" x14ac:dyDescent="0.25">
      <c r="B4985" s="42"/>
      <c r="AA4985" s="43"/>
    </row>
    <row r="4986" spans="2:27" x14ac:dyDescent="0.25">
      <c r="B4986" s="42"/>
      <c r="AA4986" s="43"/>
    </row>
    <row r="4987" spans="2:27" x14ac:dyDescent="0.25">
      <c r="B4987" s="42"/>
      <c r="AA4987" s="43"/>
    </row>
    <row r="4988" spans="2:27" x14ac:dyDescent="0.25">
      <c r="B4988" s="42"/>
      <c r="AA4988" s="43"/>
    </row>
    <row r="4989" spans="2:27" x14ac:dyDescent="0.25">
      <c r="B4989" s="42"/>
      <c r="AA4989" s="43"/>
    </row>
    <row r="4990" spans="2:27" x14ac:dyDescent="0.25">
      <c r="B4990" s="42"/>
      <c r="AA4990" s="43"/>
    </row>
    <row r="4991" spans="2:27" x14ac:dyDescent="0.25">
      <c r="B4991" s="42"/>
      <c r="AA4991" s="43"/>
    </row>
    <row r="4992" spans="2:27" x14ac:dyDescent="0.25">
      <c r="B4992" s="42"/>
      <c r="AA4992" s="43"/>
    </row>
    <row r="4993" spans="2:27" x14ac:dyDescent="0.25">
      <c r="B4993" s="42"/>
      <c r="AA4993" s="43"/>
    </row>
    <row r="4994" spans="2:27" x14ac:dyDescent="0.25">
      <c r="B4994" s="42"/>
      <c r="AA4994" s="43"/>
    </row>
    <row r="4995" spans="2:27" x14ac:dyDescent="0.25">
      <c r="B4995" s="42"/>
      <c r="AA4995" s="43"/>
    </row>
    <row r="4996" spans="2:27" x14ac:dyDescent="0.25">
      <c r="B4996" s="42"/>
      <c r="AA4996" s="43"/>
    </row>
    <row r="4997" spans="2:27" x14ac:dyDescent="0.25">
      <c r="B4997" s="42"/>
      <c r="AA4997" s="43"/>
    </row>
    <row r="4998" spans="2:27" x14ac:dyDescent="0.25">
      <c r="B4998" s="42"/>
      <c r="AA4998" s="43"/>
    </row>
    <row r="4999" spans="2:27" x14ac:dyDescent="0.25">
      <c r="B4999" s="42"/>
      <c r="AA4999" s="43"/>
    </row>
    <row r="5000" spans="2:27" x14ac:dyDescent="0.25">
      <c r="B5000" s="42"/>
      <c r="AA5000" s="43"/>
    </row>
    <row r="5001" spans="2:27" x14ac:dyDescent="0.25">
      <c r="B5001" s="42"/>
      <c r="AA5001" s="43"/>
    </row>
    <row r="5002" spans="2:27" x14ac:dyDescent="0.25">
      <c r="B5002" s="42"/>
      <c r="AA5002" s="43"/>
    </row>
    <row r="5003" spans="2:27" x14ac:dyDescent="0.25">
      <c r="B5003" s="42"/>
      <c r="AA5003" s="43"/>
    </row>
    <row r="5004" spans="2:27" x14ac:dyDescent="0.25">
      <c r="B5004" s="42"/>
      <c r="AA5004" s="43"/>
    </row>
    <row r="5005" spans="2:27" x14ac:dyDescent="0.25">
      <c r="B5005" s="42"/>
      <c r="AA5005" s="43"/>
    </row>
    <row r="5006" spans="2:27" x14ac:dyDescent="0.25">
      <c r="B5006" s="42"/>
      <c r="AA5006" s="43"/>
    </row>
    <row r="5007" spans="2:27" x14ac:dyDescent="0.25">
      <c r="B5007" s="42"/>
      <c r="AA5007" s="43"/>
    </row>
    <row r="5008" spans="2:27" x14ac:dyDescent="0.25">
      <c r="B5008" s="42"/>
      <c r="AA5008" s="43"/>
    </row>
    <row r="5009" spans="2:27" x14ac:dyDescent="0.25">
      <c r="B5009" s="42"/>
      <c r="AA5009" s="43"/>
    </row>
    <row r="5010" spans="2:27" x14ac:dyDescent="0.25">
      <c r="B5010" s="42"/>
      <c r="AA5010" s="43"/>
    </row>
    <row r="5011" spans="2:27" x14ac:dyDescent="0.25">
      <c r="B5011" s="42"/>
      <c r="AA5011" s="43"/>
    </row>
    <row r="5012" spans="2:27" x14ac:dyDescent="0.25">
      <c r="B5012" s="42"/>
      <c r="AA5012" s="43"/>
    </row>
    <row r="5013" spans="2:27" x14ac:dyDescent="0.25">
      <c r="B5013" s="42"/>
      <c r="AA5013" s="43"/>
    </row>
    <row r="5014" spans="2:27" x14ac:dyDescent="0.25">
      <c r="B5014" s="42"/>
      <c r="AA5014" s="43"/>
    </row>
    <row r="5015" spans="2:27" x14ac:dyDescent="0.25">
      <c r="B5015" s="42"/>
      <c r="AA5015" s="43"/>
    </row>
    <row r="5016" spans="2:27" x14ac:dyDescent="0.25">
      <c r="B5016" s="42"/>
      <c r="AA5016" s="43"/>
    </row>
    <row r="5017" spans="2:27" x14ac:dyDescent="0.25">
      <c r="B5017" s="42"/>
      <c r="AA5017" s="43"/>
    </row>
    <row r="5018" spans="2:27" x14ac:dyDescent="0.25">
      <c r="B5018" s="42"/>
      <c r="AA5018" s="43"/>
    </row>
    <row r="5019" spans="2:27" x14ac:dyDescent="0.25">
      <c r="B5019" s="42"/>
      <c r="AA5019" s="43"/>
    </row>
    <row r="5020" spans="2:27" x14ac:dyDescent="0.25">
      <c r="B5020" s="42"/>
      <c r="AA5020" s="43"/>
    </row>
    <row r="5021" spans="2:27" x14ac:dyDescent="0.25">
      <c r="B5021" s="42"/>
      <c r="AA5021" s="43"/>
    </row>
    <row r="5022" spans="2:27" x14ac:dyDescent="0.25">
      <c r="B5022" s="42"/>
      <c r="AA5022" s="43"/>
    </row>
    <row r="5023" spans="2:27" x14ac:dyDescent="0.25">
      <c r="B5023" s="42"/>
      <c r="AA5023" s="43"/>
    </row>
    <row r="5024" spans="2:27" x14ac:dyDescent="0.25">
      <c r="B5024" s="42"/>
      <c r="AA5024" s="43"/>
    </row>
    <row r="5025" spans="2:27" x14ac:dyDescent="0.25">
      <c r="B5025" s="42"/>
      <c r="AA5025" s="43"/>
    </row>
    <row r="5026" spans="2:27" x14ac:dyDescent="0.25">
      <c r="B5026" s="42"/>
      <c r="AA5026" s="43"/>
    </row>
    <row r="5027" spans="2:27" x14ac:dyDescent="0.25">
      <c r="B5027" s="42"/>
      <c r="AA5027" s="43"/>
    </row>
    <row r="5028" spans="2:27" x14ac:dyDescent="0.25">
      <c r="B5028" s="42"/>
      <c r="AA5028" s="43"/>
    </row>
    <row r="5029" spans="2:27" x14ac:dyDescent="0.25">
      <c r="B5029" s="42"/>
      <c r="AA5029" s="43"/>
    </row>
    <row r="5030" spans="2:27" x14ac:dyDescent="0.25">
      <c r="B5030" s="42"/>
      <c r="AA5030" s="43"/>
    </row>
    <row r="5031" spans="2:27" x14ac:dyDescent="0.25">
      <c r="B5031" s="42"/>
      <c r="AA5031" s="43"/>
    </row>
    <row r="5032" spans="2:27" x14ac:dyDescent="0.25">
      <c r="B5032" s="42"/>
      <c r="AA5032" s="43"/>
    </row>
    <row r="5033" spans="2:27" x14ac:dyDescent="0.25">
      <c r="B5033" s="42"/>
      <c r="AA5033" s="43"/>
    </row>
    <row r="5034" spans="2:27" x14ac:dyDescent="0.25">
      <c r="B5034" s="42"/>
      <c r="AA5034" s="43"/>
    </row>
    <row r="5035" spans="2:27" x14ac:dyDescent="0.25">
      <c r="B5035" s="42"/>
      <c r="AA5035" s="43"/>
    </row>
    <row r="5036" spans="2:27" x14ac:dyDescent="0.25">
      <c r="B5036" s="42"/>
      <c r="AA5036" s="43"/>
    </row>
    <row r="5037" spans="2:27" x14ac:dyDescent="0.25">
      <c r="B5037" s="42"/>
      <c r="AA5037" s="43"/>
    </row>
    <row r="5038" spans="2:27" x14ac:dyDescent="0.25">
      <c r="B5038" s="42"/>
      <c r="AA5038" s="43"/>
    </row>
    <row r="5039" spans="2:27" x14ac:dyDescent="0.25">
      <c r="B5039" s="42"/>
      <c r="AA5039" s="43"/>
    </row>
    <row r="5040" spans="2:27" x14ac:dyDescent="0.25">
      <c r="B5040" s="42"/>
      <c r="AA5040" s="43"/>
    </row>
    <row r="5041" spans="2:27" x14ac:dyDescent="0.25">
      <c r="B5041" s="42"/>
      <c r="AA5041" s="43"/>
    </row>
    <row r="5042" spans="2:27" x14ac:dyDescent="0.25">
      <c r="B5042" s="42"/>
      <c r="AA5042" s="43"/>
    </row>
    <row r="5043" spans="2:27" x14ac:dyDescent="0.25">
      <c r="B5043" s="42"/>
      <c r="AA5043" s="43"/>
    </row>
    <row r="5044" spans="2:27" x14ac:dyDescent="0.25">
      <c r="B5044" s="42"/>
      <c r="AA5044" s="43"/>
    </row>
    <row r="5045" spans="2:27" x14ac:dyDescent="0.25">
      <c r="B5045" s="42"/>
      <c r="AA5045" s="43"/>
    </row>
    <row r="5046" spans="2:27" x14ac:dyDescent="0.25">
      <c r="B5046" s="42"/>
      <c r="AA5046" s="43"/>
    </row>
    <row r="5047" spans="2:27" x14ac:dyDescent="0.25">
      <c r="B5047" s="42"/>
      <c r="AA5047" s="43"/>
    </row>
    <row r="5048" spans="2:27" x14ac:dyDescent="0.25">
      <c r="B5048" s="42"/>
      <c r="AA5048" s="43"/>
    </row>
    <row r="5049" spans="2:27" x14ac:dyDescent="0.25">
      <c r="B5049" s="42"/>
      <c r="AA5049" s="43"/>
    </row>
    <row r="5050" spans="2:27" x14ac:dyDescent="0.25">
      <c r="B5050" s="42"/>
      <c r="AA5050" s="43"/>
    </row>
    <row r="5051" spans="2:27" x14ac:dyDescent="0.25">
      <c r="B5051" s="42"/>
      <c r="AA5051" s="43"/>
    </row>
    <row r="5052" spans="2:27" x14ac:dyDescent="0.25">
      <c r="B5052" s="42"/>
      <c r="AA5052" s="43"/>
    </row>
    <row r="5053" spans="2:27" x14ac:dyDescent="0.25">
      <c r="B5053" s="42"/>
      <c r="AA5053" s="43"/>
    </row>
    <row r="5054" spans="2:27" x14ac:dyDescent="0.25">
      <c r="B5054" s="42"/>
      <c r="AA5054" s="43"/>
    </row>
    <row r="5055" spans="2:27" x14ac:dyDescent="0.25">
      <c r="B5055" s="42"/>
      <c r="AA5055" s="43"/>
    </row>
    <row r="5056" spans="2:27" x14ac:dyDescent="0.25">
      <c r="B5056" s="42"/>
      <c r="AA5056" s="43"/>
    </row>
    <row r="5057" spans="2:27" x14ac:dyDescent="0.25">
      <c r="B5057" s="42"/>
      <c r="AA5057" s="43"/>
    </row>
    <row r="5058" spans="2:27" x14ac:dyDescent="0.25">
      <c r="B5058" s="42"/>
      <c r="AA5058" s="43"/>
    </row>
    <row r="5059" spans="2:27" x14ac:dyDescent="0.25">
      <c r="B5059" s="42"/>
      <c r="AA5059" s="43"/>
    </row>
    <row r="5060" spans="2:27" x14ac:dyDescent="0.25">
      <c r="B5060" s="42"/>
      <c r="AA5060" s="43"/>
    </row>
    <row r="5061" spans="2:27" x14ac:dyDescent="0.25">
      <c r="B5061" s="42"/>
      <c r="AA5061" s="43"/>
    </row>
    <row r="5062" spans="2:27" x14ac:dyDescent="0.25">
      <c r="B5062" s="42"/>
      <c r="AA5062" s="43"/>
    </row>
    <row r="5063" spans="2:27" x14ac:dyDescent="0.25">
      <c r="B5063" s="42"/>
      <c r="AA5063" s="43"/>
    </row>
    <row r="5064" spans="2:27" x14ac:dyDescent="0.25">
      <c r="B5064" s="42"/>
      <c r="AA5064" s="43"/>
    </row>
    <row r="5065" spans="2:27" x14ac:dyDescent="0.25">
      <c r="B5065" s="42"/>
      <c r="AA5065" s="43"/>
    </row>
    <row r="5066" spans="2:27" x14ac:dyDescent="0.25">
      <c r="B5066" s="42"/>
      <c r="AA5066" s="43"/>
    </row>
    <row r="5067" spans="2:27" x14ac:dyDescent="0.25">
      <c r="B5067" s="42"/>
      <c r="AA5067" s="43"/>
    </row>
    <row r="5068" spans="2:27" x14ac:dyDescent="0.25">
      <c r="B5068" s="42"/>
      <c r="AA5068" s="43"/>
    </row>
    <row r="5069" spans="2:27" x14ac:dyDescent="0.25">
      <c r="B5069" s="42"/>
      <c r="AA5069" s="43"/>
    </row>
    <row r="5070" spans="2:27" x14ac:dyDescent="0.25">
      <c r="B5070" s="42"/>
      <c r="AA5070" s="43"/>
    </row>
    <row r="5071" spans="2:27" x14ac:dyDescent="0.25">
      <c r="B5071" s="42"/>
      <c r="AA5071" s="43"/>
    </row>
    <row r="5072" spans="2:27" x14ac:dyDescent="0.25">
      <c r="B5072" s="42"/>
      <c r="AA5072" s="43"/>
    </row>
    <row r="5073" spans="2:27" x14ac:dyDescent="0.25">
      <c r="B5073" s="42"/>
      <c r="AA5073" s="43"/>
    </row>
    <row r="5074" spans="2:27" x14ac:dyDescent="0.25">
      <c r="B5074" s="42"/>
      <c r="AA5074" s="43"/>
    </row>
    <row r="5075" spans="2:27" x14ac:dyDescent="0.25">
      <c r="B5075" s="42"/>
      <c r="AA5075" s="43"/>
    </row>
    <row r="5076" spans="2:27" x14ac:dyDescent="0.25">
      <c r="B5076" s="42"/>
      <c r="AA5076" s="43"/>
    </row>
    <row r="5077" spans="2:27" x14ac:dyDescent="0.25">
      <c r="B5077" s="42"/>
      <c r="AA5077" s="43"/>
    </row>
    <row r="5078" spans="2:27" x14ac:dyDescent="0.25">
      <c r="B5078" s="42"/>
      <c r="AA5078" s="43"/>
    </row>
    <row r="5079" spans="2:27" x14ac:dyDescent="0.25">
      <c r="B5079" s="42"/>
      <c r="AA5079" s="43"/>
    </row>
    <row r="5080" spans="2:27" x14ac:dyDescent="0.25">
      <c r="B5080" s="42"/>
      <c r="AA5080" s="43"/>
    </row>
    <row r="5081" spans="2:27" x14ac:dyDescent="0.25">
      <c r="B5081" s="42"/>
      <c r="AA5081" s="43"/>
    </row>
    <row r="5082" spans="2:27" x14ac:dyDescent="0.25">
      <c r="B5082" s="42"/>
      <c r="AA5082" s="43"/>
    </row>
    <row r="5083" spans="2:27" x14ac:dyDescent="0.25">
      <c r="B5083" s="42"/>
      <c r="AA5083" s="43"/>
    </row>
    <row r="5084" spans="2:27" x14ac:dyDescent="0.25">
      <c r="B5084" s="42"/>
      <c r="AA5084" s="43"/>
    </row>
    <row r="5085" spans="2:27" x14ac:dyDescent="0.25">
      <c r="B5085" s="42"/>
      <c r="AA5085" s="43"/>
    </row>
    <row r="5086" spans="2:27" x14ac:dyDescent="0.25">
      <c r="B5086" s="42"/>
      <c r="AA5086" s="43"/>
    </row>
    <row r="5087" spans="2:27" x14ac:dyDescent="0.25">
      <c r="B5087" s="42"/>
      <c r="AA5087" s="43"/>
    </row>
    <row r="5088" spans="2:27" x14ac:dyDescent="0.25">
      <c r="B5088" s="42"/>
      <c r="AA5088" s="43"/>
    </row>
    <row r="5089" spans="2:27" x14ac:dyDescent="0.25">
      <c r="B5089" s="42"/>
      <c r="AA5089" s="43"/>
    </row>
    <row r="5090" spans="2:27" x14ac:dyDescent="0.25">
      <c r="B5090" s="42"/>
      <c r="AA5090" s="43"/>
    </row>
    <row r="5091" spans="2:27" x14ac:dyDescent="0.25">
      <c r="B5091" s="42"/>
      <c r="AA5091" s="43"/>
    </row>
    <row r="5092" spans="2:27" x14ac:dyDescent="0.25">
      <c r="B5092" s="42"/>
      <c r="AA5092" s="43"/>
    </row>
    <row r="5093" spans="2:27" x14ac:dyDescent="0.25">
      <c r="B5093" s="42"/>
      <c r="AA5093" s="43"/>
    </row>
    <row r="5094" spans="2:27" x14ac:dyDescent="0.25">
      <c r="B5094" s="42"/>
      <c r="AA5094" s="43"/>
    </row>
    <row r="5095" spans="2:27" x14ac:dyDescent="0.25">
      <c r="B5095" s="42"/>
      <c r="AA5095" s="43"/>
    </row>
    <row r="5096" spans="2:27" x14ac:dyDescent="0.25">
      <c r="B5096" s="42"/>
      <c r="AA5096" s="43"/>
    </row>
    <row r="5097" spans="2:27" x14ac:dyDescent="0.25">
      <c r="B5097" s="42"/>
      <c r="AA5097" s="43"/>
    </row>
    <row r="5098" spans="2:27" x14ac:dyDescent="0.25">
      <c r="B5098" s="42"/>
      <c r="AA5098" s="43"/>
    </row>
    <row r="5099" spans="2:27" x14ac:dyDescent="0.25">
      <c r="B5099" s="42"/>
      <c r="AA5099" s="43"/>
    </row>
    <row r="5100" spans="2:27" x14ac:dyDescent="0.25">
      <c r="B5100" s="42"/>
      <c r="AA5100" s="43"/>
    </row>
    <row r="5101" spans="2:27" x14ac:dyDescent="0.25">
      <c r="B5101" s="42"/>
      <c r="AA5101" s="43"/>
    </row>
    <row r="5102" spans="2:27" x14ac:dyDescent="0.25">
      <c r="B5102" s="42"/>
      <c r="AA5102" s="43"/>
    </row>
    <row r="5103" spans="2:27" x14ac:dyDescent="0.25">
      <c r="B5103" s="42"/>
      <c r="AA5103" s="43"/>
    </row>
    <row r="5104" spans="2:27" x14ac:dyDescent="0.25">
      <c r="B5104" s="42"/>
      <c r="AA5104" s="43"/>
    </row>
    <row r="5105" spans="2:27" x14ac:dyDescent="0.25">
      <c r="B5105" s="42"/>
      <c r="AA5105" s="43"/>
    </row>
    <row r="5106" spans="2:27" x14ac:dyDescent="0.25">
      <c r="B5106" s="42"/>
      <c r="AA5106" s="43"/>
    </row>
    <row r="5107" spans="2:27" x14ac:dyDescent="0.25">
      <c r="B5107" s="42"/>
      <c r="AA5107" s="43"/>
    </row>
    <row r="5108" spans="2:27" x14ac:dyDescent="0.25">
      <c r="B5108" s="42"/>
      <c r="AA5108" s="43"/>
    </row>
    <row r="5109" spans="2:27" x14ac:dyDescent="0.25">
      <c r="B5109" s="42"/>
      <c r="AA5109" s="43"/>
    </row>
    <row r="5110" spans="2:27" x14ac:dyDescent="0.25">
      <c r="B5110" s="42"/>
      <c r="AA5110" s="43"/>
    </row>
    <row r="5111" spans="2:27" x14ac:dyDescent="0.25">
      <c r="B5111" s="42"/>
      <c r="AA5111" s="43"/>
    </row>
    <row r="5112" spans="2:27" x14ac:dyDescent="0.25">
      <c r="B5112" s="42"/>
      <c r="AA5112" s="43"/>
    </row>
    <row r="5113" spans="2:27" x14ac:dyDescent="0.25">
      <c r="B5113" s="42"/>
      <c r="AA5113" s="43"/>
    </row>
    <row r="5114" spans="2:27" x14ac:dyDescent="0.25">
      <c r="B5114" s="42"/>
      <c r="AA5114" s="43"/>
    </row>
    <row r="5115" spans="2:27" x14ac:dyDescent="0.25">
      <c r="B5115" s="42"/>
      <c r="AA5115" s="43"/>
    </row>
    <row r="5116" spans="2:27" x14ac:dyDescent="0.25">
      <c r="B5116" s="42"/>
      <c r="AA5116" s="43"/>
    </row>
    <row r="5117" spans="2:27" x14ac:dyDescent="0.25">
      <c r="B5117" s="42"/>
      <c r="AA5117" s="43"/>
    </row>
    <row r="5118" spans="2:27" x14ac:dyDescent="0.25">
      <c r="B5118" s="42"/>
      <c r="AA5118" s="43"/>
    </row>
    <row r="5119" spans="2:27" x14ac:dyDescent="0.25">
      <c r="B5119" s="42"/>
      <c r="AA5119" s="43"/>
    </row>
    <row r="5120" spans="2:27" x14ac:dyDescent="0.25">
      <c r="B5120" s="42"/>
      <c r="AA5120" s="43"/>
    </row>
    <row r="5121" spans="2:27" x14ac:dyDescent="0.25">
      <c r="B5121" s="42"/>
      <c r="AA5121" s="43"/>
    </row>
    <row r="5122" spans="2:27" x14ac:dyDescent="0.25">
      <c r="B5122" s="42"/>
      <c r="AA5122" s="43"/>
    </row>
    <row r="5123" spans="2:27" x14ac:dyDescent="0.25">
      <c r="B5123" s="42"/>
      <c r="AA5123" s="43"/>
    </row>
    <row r="5124" spans="2:27" x14ac:dyDescent="0.25">
      <c r="B5124" s="42"/>
      <c r="AA5124" s="43"/>
    </row>
    <row r="5125" spans="2:27" x14ac:dyDescent="0.25">
      <c r="B5125" s="42"/>
      <c r="AA5125" s="43"/>
    </row>
    <row r="5126" spans="2:27" x14ac:dyDescent="0.25">
      <c r="B5126" s="42"/>
      <c r="AA5126" s="43"/>
    </row>
    <row r="5127" spans="2:27" x14ac:dyDescent="0.25">
      <c r="B5127" s="42"/>
      <c r="AA5127" s="43"/>
    </row>
    <row r="5128" spans="2:27" x14ac:dyDescent="0.25">
      <c r="B5128" s="42"/>
      <c r="AA5128" s="43"/>
    </row>
    <row r="5129" spans="2:27" x14ac:dyDescent="0.25">
      <c r="B5129" s="42"/>
      <c r="AA5129" s="43"/>
    </row>
    <row r="5130" spans="2:27" x14ac:dyDescent="0.25">
      <c r="B5130" s="42"/>
      <c r="AA5130" s="43"/>
    </row>
    <row r="5131" spans="2:27" x14ac:dyDescent="0.25">
      <c r="B5131" s="42"/>
      <c r="AA5131" s="43"/>
    </row>
    <row r="5132" spans="2:27" x14ac:dyDescent="0.25">
      <c r="B5132" s="42"/>
      <c r="AA5132" s="43"/>
    </row>
    <row r="5133" spans="2:27" x14ac:dyDescent="0.25">
      <c r="B5133" s="42"/>
      <c r="AA5133" s="43"/>
    </row>
    <row r="5134" spans="2:27" x14ac:dyDescent="0.25">
      <c r="B5134" s="42"/>
      <c r="AA5134" s="43"/>
    </row>
    <row r="5135" spans="2:27" x14ac:dyDescent="0.25">
      <c r="B5135" s="42"/>
      <c r="AA5135" s="43"/>
    </row>
    <row r="5136" spans="2:27" x14ac:dyDescent="0.25">
      <c r="B5136" s="42"/>
      <c r="AA5136" s="43"/>
    </row>
    <row r="5137" spans="2:27" x14ac:dyDescent="0.25">
      <c r="B5137" s="42"/>
      <c r="AA5137" s="43"/>
    </row>
    <row r="5138" spans="2:27" x14ac:dyDescent="0.25">
      <c r="B5138" s="42"/>
      <c r="AA5138" s="43"/>
    </row>
    <row r="5139" spans="2:27" x14ac:dyDescent="0.25">
      <c r="B5139" s="42"/>
      <c r="AA5139" s="43"/>
    </row>
    <row r="5140" spans="2:27" x14ac:dyDescent="0.25">
      <c r="B5140" s="42"/>
      <c r="AA5140" s="43"/>
    </row>
    <row r="5141" spans="2:27" x14ac:dyDescent="0.25">
      <c r="B5141" s="42"/>
      <c r="AA5141" s="43"/>
    </row>
    <row r="5142" spans="2:27" x14ac:dyDescent="0.25">
      <c r="B5142" s="42"/>
      <c r="AA5142" s="43"/>
    </row>
    <row r="5143" spans="2:27" x14ac:dyDescent="0.25">
      <c r="B5143" s="42"/>
      <c r="AA5143" s="43"/>
    </row>
    <row r="5144" spans="2:27" x14ac:dyDescent="0.25">
      <c r="B5144" s="42"/>
      <c r="AA5144" s="43"/>
    </row>
    <row r="5145" spans="2:27" x14ac:dyDescent="0.25">
      <c r="B5145" s="42"/>
      <c r="AA5145" s="43"/>
    </row>
    <row r="5146" spans="2:27" x14ac:dyDescent="0.25">
      <c r="B5146" s="42"/>
      <c r="AA5146" s="43"/>
    </row>
    <row r="5147" spans="2:27" x14ac:dyDescent="0.25">
      <c r="B5147" s="42"/>
      <c r="AA5147" s="43"/>
    </row>
    <row r="5148" spans="2:27" x14ac:dyDescent="0.25">
      <c r="B5148" s="42"/>
      <c r="AA5148" s="43"/>
    </row>
    <row r="5149" spans="2:27" x14ac:dyDescent="0.25">
      <c r="B5149" s="42"/>
      <c r="AA5149" s="43"/>
    </row>
    <row r="5150" spans="2:27" x14ac:dyDescent="0.25">
      <c r="B5150" s="42"/>
      <c r="AA5150" s="43"/>
    </row>
    <row r="5151" spans="2:27" x14ac:dyDescent="0.25">
      <c r="B5151" s="42"/>
      <c r="AA5151" s="43"/>
    </row>
    <row r="5152" spans="2:27" x14ac:dyDescent="0.25">
      <c r="B5152" s="42"/>
      <c r="AA5152" s="43"/>
    </row>
    <row r="5153" spans="2:27" x14ac:dyDescent="0.25">
      <c r="B5153" s="42"/>
      <c r="AA5153" s="43"/>
    </row>
    <row r="5154" spans="2:27" x14ac:dyDescent="0.25">
      <c r="B5154" s="42"/>
      <c r="AA5154" s="43"/>
    </row>
    <row r="5155" spans="2:27" x14ac:dyDescent="0.25">
      <c r="B5155" s="42"/>
      <c r="AA5155" s="43"/>
    </row>
    <row r="5156" spans="2:27" x14ac:dyDescent="0.25">
      <c r="B5156" s="42"/>
      <c r="AA5156" s="43"/>
    </row>
    <row r="5157" spans="2:27" x14ac:dyDescent="0.25">
      <c r="B5157" s="42"/>
      <c r="AA5157" s="43"/>
    </row>
    <row r="5158" spans="2:27" x14ac:dyDescent="0.25">
      <c r="B5158" s="42"/>
      <c r="AA5158" s="43"/>
    </row>
    <row r="5159" spans="2:27" x14ac:dyDescent="0.25">
      <c r="B5159" s="42"/>
      <c r="AA5159" s="43"/>
    </row>
    <row r="5160" spans="2:27" x14ac:dyDescent="0.25">
      <c r="B5160" s="42"/>
      <c r="AA5160" s="43"/>
    </row>
    <row r="5161" spans="2:27" x14ac:dyDescent="0.25">
      <c r="B5161" s="42"/>
      <c r="AA5161" s="43"/>
    </row>
    <row r="5162" spans="2:27" x14ac:dyDescent="0.25">
      <c r="B5162" s="42"/>
      <c r="AA5162" s="43"/>
    </row>
    <row r="5163" spans="2:27" x14ac:dyDescent="0.25">
      <c r="B5163" s="42"/>
      <c r="AA5163" s="43"/>
    </row>
    <row r="5164" spans="2:27" x14ac:dyDescent="0.25">
      <c r="B5164" s="42"/>
      <c r="AA5164" s="43"/>
    </row>
    <row r="5165" spans="2:27" x14ac:dyDescent="0.25">
      <c r="B5165" s="42"/>
      <c r="AA5165" s="43"/>
    </row>
    <row r="5166" spans="2:27" x14ac:dyDescent="0.25">
      <c r="B5166" s="42"/>
      <c r="AA5166" s="43"/>
    </row>
    <row r="5167" spans="2:27" x14ac:dyDescent="0.25">
      <c r="B5167" s="42"/>
      <c r="AA5167" s="43"/>
    </row>
    <row r="5168" spans="2:27" x14ac:dyDescent="0.25">
      <c r="B5168" s="42"/>
      <c r="AA5168" s="43"/>
    </row>
    <row r="5169" spans="2:27" x14ac:dyDescent="0.25">
      <c r="B5169" s="42"/>
      <c r="AA5169" s="43"/>
    </row>
    <row r="5170" spans="2:27" x14ac:dyDescent="0.25">
      <c r="B5170" s="42"/>
      <c r="AA5170" s="43"/>
    </row>
    <row r="5171" spans="2:27" x14ac:dyDescent="0.25">
      <c r="B5171" s="42"/>
      <c r="AA5171" s="43"/>
    </row>
    <row r="5172" spans="2:27" x14ac:dyDescent="0.25">
      <c r="B5172" s="42"/>
      <c r="AA5172" s="43"/>
    </row>
    <row r="5173" spans="2:27" x14ac:dyDescent="0.25">
      <c r="B5173" s="42"/>
      <c r="AA5173" s="43"/>
    </row>
    <row r="5174" spans="2:27" x14ac:dyDescent="0.25">
      <c r="B5174" s="42"/>
      <c r="AA5174" s="43"/>
    </row>
    <row r="5175" spans="2:27" x14ac:dyDescent="0.25">
      <c r="B5175" s="42"/>
      <c r="AA5175" s="43"/>
    </row>
    <row r="5176" spans="2:27" x14ac:dyDescent="0.25">
      <c r="B5176" s="42"/>
      <c r="AA5176" s="43"/>
    </row>
    <row r="5177" spans="2:27" x14ac:dyDescent="0.25">
      <c r="B5177" s="42"/>
      <c r="AA5177" s="43"/>
    </row>
    <row r="5178" spans="2:27" x14ac:dyDescent="0.25">
      <c r="B5178" s="42"/>
      <c r="AA5178" s="43"/>
    </row>
    <row r="5179" spans="2:27" x14ac:dyDescent="0.25">
      <c r="B5179" s="42"/>
      <c r="AA5179" s="43"/>
    </row>
    <row r="5180" spans="2:27" x14ac:dyDescent="0.25">
      <c r="B5180" s="42"/>
      <c r="AA5180" s="43"/>
    </row>
    <row r="5181" spans="2:27" x14ac:dyDescent="0.25">
      <c r="B5181" s="42"/>
      <c r="AA5181" s="43"/>
    </row>
    <row r="5182" spans="2:27" x14ac:dyDescent="0.25">
      <c r="B5182" s="42"/>
      <c r="AA5182" s="43"/>
    </row>
    <row r="5183" spans="2:27" x14ac:dyDescent="0.25">
      <c r="B5183" s="42"/>
      <c r="AA5183" s="43"/>
    </row>
    <row r="5184" spans="2:27" x14ac:dyDescent="0.25">
      <c r="B5184" s="42"/>
      <c r="AA5184" s="43"/>
    </row>
    <row r="5185" spans="2:27" x14ac:dyDescent="0.25">
      <c r="B5185" s="42"/>
      <c r="AA5185" s="43"/>
    </row>
    <row r="5186" spans="2:27" x14ac:dyDescent="0.25">
      <c r="B5186" s="42"/>
      <c r="AA5186" s="43"/>
    </row>
    <row r="5187" spans="2:27" x14ac:dyDescent="0.25">
      <c r="B5187" s="42"/>
      <c r="AA5187" s="43"/>
    </row>
    <row r="5188" spans="2:27" x14ac:dyDescent="0.25">
      <c r="B5188" s="42"/>
      <c r="AA5188" s="43"/>
    </row>
    <row r="5189" spans="2:27" x14ac:dyDescent="0.25">
      <c r="B5189" s="42"/>
      <c r="AA5189" s="43"/>
    </row>
    <row r="5190" spans="2:27" x14ac:dyDescent="0.25">
      <c r="B5190" s="42"/>
      <c r="AA5190" s="43"/>
    </row>
    <row r="5191" spans="2:27" x14ac:dyDescent="0.25">
      <c r="B5191" s="42"/>
      <c r="AA5191" s="43"/>
    </row>
    <row r="5192" spans="2:27" x14ac:dyDescent="0.25">
      <c r="B5192" s="42"/>
      <c r="AA5192" s="43"/>
    </row>
    <row r="5193" spans="2:27" x14ac:dyDescent="0.25">
      <c r="B5193" s="42"/>
      <c r="AA5193" s="43"/>
    </row>
    <row r="5194" spans="2:27" x14ac:dyDescent="0.25">
      <c r="B5194" s="42"/>
      <c r="AA5194" s="43"/>
    </row>
    <row r="5195" spans="2:27" x14ac:dyDescent="0.25">
      <c r="B5195" s="42"/>
      <c r="AA5195" s="43"/>
    </row>
    <row r="5196" spans="2:27" x14ac:dyDescent="0.25">
      <c r="B5196" s="42"/>
      <c r="AA5196" s="43"/>
    </row>
    <row r="5197" spans="2:27" x14ac:dyDescent="0.25">
      <c r="B5197" s="42"/>
      <c r="AA5197" s="43"/>
    </row>
    <row r="5198" spans="2:27" x14ac:dyDescent="0.25">
      <c r="B5198" s="42"/>
      <c r="AA5198" s="43"/>
    </row>
    <row r="5199" spans="2:27" x14ac:dyDescent="0.25">
      <c r="B5199" s="42"/>
      <c r="AA5199" s="43"/>
    </row>
    <row r="5200" spans="2:27" x14ac:dyDescent="0.25">
      <c r="B5200" s="42"/>
      <c r="AA5200" s="43"/>
    </row>
    <row r="5201" spans="2:27" x14ac:dyDescent="0.25">
      <c r="B5201" s="42"/>
      <c r="AA5201" s="43"/>
    </row>
    <row r="5202" spans="2:27" x14ac:dyDescent="0.25">
      <c r="B5202" s="42"/>
      <c r="AA5202" s="43"/>
    </row>
    <row r="5203" spans="2:27" x14ac:dyDescent="0.25">
      <c r="B5203" s="42"/>
      <c r="AA5203" s="43"/>
    </row>
    <row r="5204" spans="2:27" x14ac:dyDescent="0.25">
      <c r="B5204" s="42"/>
      <c r="AA5204" s="43"/>
    </row>
    <row r="5205" spans="2:27" x14ac:dyDescent="0.25">
      <c r="B5205" s="42"/>
      <c r="AA5205" s="43"/>
    </row>
    <row r="5206" spans="2:27" x14ac:dyDescent="0.25">
      <c r="B5206" s="42"/>
      <c r="AA5206" s="43"/>
    </row>
    <row r="5207" spans="2:27" x14ac:dyDescent="0.25">
      <c r="B5207" s="42"/>
      <c r="AA5207" s="43"/>
    </row>
    <row r="5208" spans="2:27" x14ac:dyDescent="0.25">
      <c r="B5208" s="42"/>
      <c r="AA5208" s="43"/>
    </row>
    <row r="5209" spans="2:27" x14ac:dyDescent="0.25">
      <c r="B5209" s="42"/>
      <c r="AA5209" s="43"/>
    </row>
    <row r="5210" spans="2:27" x14ac:dyDescent="0.25">
      <c r="B5210" s="42"/>
      <c r="AA5210" s="43"/>
    </row>
    <row r="5211" spans="2:27" x14ac:dyDescent="0.25">
      <c r="B5211" s="42"/>
      <c r="AA5211" s="43"/>
    </row>
    <row r="5212" spans="2:27" x14ac:dyDescent="0.25">
      <c r="B5212" s="42"/>
      <c r="AA5212" s="43"/>
    </row>
    <row r="5213" spans="2:27" x14ac:dyDescent="0.25">
      <c r="B5213" s="42"/>
      <c r="AA5213" s="43"/>
    </row>
    <row r="5214" spans="2:27" x14ac:dyDescent="0.25">
      <c r="B5214" s="42"/>
      <c r="AA5214" s="43"/>
    </row>
    <row r="5215" spans="2:27" x14ac:dyDescent="0.25">
      <c r="B5215" s="42"/>
      <c r="AA5215" s="43"/>
    </row>
    <row r="5216" spans="2:27" x14ac:dyDescent="0.25">
      <c r="B5216" s="42"/>
      <c r="AA5216" s="43"/>
    </row>
    <row r="5217" spans="2:27" x14ac:dyDescent="0.25">
      <c r="B5217" s="42"/>
      <c r="AA5217" s="43"/>
    </row>
    <row r="5218" spans="2:27" x14ac:dyDescent="0.25">
      <c r="B5218" s="42"/>
      <c r="AA5218" s="43"/>
    </row>
    <row r="5219" spans="2:27" x14ac:dyDescent="0.25">
      <c r="B5219" s="42"/>
      <c r="AA5219" s="43"/>
    </row>
    <row r="5220" spans="2:27" x14ac:dyDescent="0.25">
      <c r="B5220" s="42"/>
      <c r="AA5220" s="43"/>
    </row>
    <row r="5221" spans="2:27" x14ac:dyDescent="0.25">
      <c r="B5221" s="42"/>
      <c r="AA5221" s="43"/>
    </row>
    <row r="5222" spans="2:27" x14ac:dyDescent="0.25">
      <c r="B5222" s="42"/>
      <c r="AA5222" s="43"/>
    </row>
    <row r="5223" spans="2:27" x14ac:dyDescent="0.25">
      <c r="B5223" s="42"/>
      <c r="AA5223" s="43"/>
    </row>
    <row r="5224" spans="2:27" x14ac:dyDescent="0.25">
      <c r="B5224" s="42"/>
      <c r="AA5224" s="43"/>
    </row>
    <row r="5225" spans="2:27" x14ac:dyDescent="0.25">
      <c r="B5225" s="42"/>
      <c r="AA5225" s="43"/>
    </row>
    <row r="5226" spans="2:27" x14ac:dyDescent="0.25">
      <c r="B5226" s="42"/>
      <c r="AA5226" s="43"/>
    </row>
    <row r="5227" spans="2:27" x14ac:dyDescent="0.25">
      <c r="B5227" s="42"/>
      <c r="AA5227" s="43"/>
    </row>
    <row r="5228" spans="2:27" x14ac:dyDescent="0.25">
      <c r="B5228" s="42"/>
      <c r="AA5228" s="43"/>
    </row>
    <row r="5229" spans="2:27" x14ac:dyDescent="0.25">
      <c r="B5229" s="42"/>
      <c r="AA5229" s="43"/>
    </row>
    <row r="5230" spans="2:27" x14ac:dyDescent="0.25">
      <c r="B5230" s="42"/>
      <c r="AA5230" s="43"/>
    </row>
    <row r="5231" spans="2:27" x14ac:dyDescent="0.25">
      <c r="B5231" s="42"/>
      <c r="AA5231" s="43"/>
    </row>
    <row r="5232" spans="2:27" x14ac:dyDescent="0.25">
      <c r="B5232" s="42"/>
      <c r="AA5232" s="43"/>
    </row>
    <row r="5233" spans="2:27" x14ac:dyDescent="0.25">
      <c r="B5233" s="42"/>
      <c r="AA5233" s="43"/>
    </row>
    <row r="5234" spans="2:27" x14ac:dyDescent="0.25">
      <c r="B5234" s="42"/>
      <c r="AA5234" s="43"/>
    </row>
    <row r="5235" spans="2:27" x14ac:dyDescent="0.25">
      <c r="B5235" s="42"/>
      <c r="AA5235" s="43"/>
    </row>
    <row r="5236" spans="2:27" x14ac:dyDescent="0.25">
      <c r="B5236" s="42"/>
      <c r="AA5236" s="43"/>
    </row>
    <row r="5237" spans="2:27" x14ac:dyDescent="0.25">
      <c r="B5237" s="42"/>
      <c r="AA5237" s="43"/>
    </row>
    <row r="5238" spans="2:27" x14ac:dyDescent="0.25">
      <c r="B5238" s="42"/>
      <c r="AA5238" s="43"/>
    </row>
    <row r="5239" spans="2:27" x14ac:dyDescent="0.25">
      <c r="B5239" s="42"/>
      <c r="AA5239" s="43"/>
    </row>
    <row r="5240" spans="2:27" x14ac:dyDescent="0.25">
      <c r="B5240" s="42"/>
      <c r="AA5240" s="43"/>
    </row>
    <row r="5241" spans="2:27" x14ac:dyDescent="0.25">
      <c r="B5241" s="42"/>
      <c r="AA5241" s="43"/>
    </row>
    <row r="5242" spans="2:27" x14ac:dyDescent="0.25">
      <c r="B5242" s="42"/>
      <c r="AA5242" s="43"/>
    </row>
    <row r="5243" spans="2:27" x14ac:dyDescent="0.25">
      <c r="B5243" s="42"/>
      <c r="AA5243" s="43"/>
    </row>
    <row r="5244" spans="2:27" x14ac:dyDescent="0.25">
      <c r="B5244" s="42"/>
      <c r="AA5244" s="43"/>
    </row>
    <row r="5245" spans="2:27" x14ac:dyDescent="0.25">
      <c r="B5245" s="42"/>
      <c r="AA5245" s="43"/>
    </row>
    <row r="5246" spans="2:27" x14ac:dyDescent="0.25">
      <c r="B5246" s="42"/>
      <c r="AA5246" s="43"/>
    </row>
    <row r="5247" spans="2:27" x14ac:dyDescent="0.25">
      <c r="B5247" s="42"/>
      <c r="AA5247" s="43"/>
    </row>
    <row r="5248" spans="2:27" x14ac:dyDescent="0.25">
      <c r="B5248" s="42"/>
      <c r="AA5248" s="43"/>
    </row>
    <row r="5249" spans="2:27" x14ac:dyDescent="0.25">
      <c r="B5249" s="42"/>
      <c r="AA5249" s="43"/>
    </row>
    <row r="5250" spans="2:27" x14ac:dyDescent="0.25">
      <c r="B5250" s="42"/>
      <c r="AA5250" s="43"/>
    </row>
    <row r="5251" spans="2:27" x14ac:dyDescent="0.25">
      <c r="B5251" s="42"/>
      <c r="AA5251" s="43"/>
    </row>
    <row r="5252" spans="2:27" x14ac:dyDescent="0.25">
      <c r="B5252" s="42"/>
      <c r="AA5252" s="43"/>
    </row>
    <row r="5253" spans="2:27" x14ac:dyDescent="0.25">
      <c r="B5253" s="42"/>
      <c r="AA5253" s="43"/>
    </row>
    <row r="5254" spans="2:27" x14ac:dyDescent="0.25">
      <c r="B5254" s="42"/>
      <c r="AA5254" s="43"/>
    </row>
    <row r="5255" spans="2:27" x14ac:dyDescent="0.25">
      <c r="B5255" s="42"/>
      <c r="AA5255" s="43"/>
    </row>
    <row r="5256" spans="2:27" x14ac:dyDescent="0.25">
      <c r="B5256" s="42"/>
      <c r="AA5256" s="43"/>
    </row>
    <row r="5257" spans="2:27" x14ac:dyDescent="0.25">
      <c r="B5257" s="42"/>
      <c r="AA5257" s="43"/>
    </row>
    <row r="5258" spans="2:27" x14ac:dyDescent="0.25">
      <c r="B5258" s="42"/>
      <c r="AA5258" s="43"/>
    </row>
    <row r="5259" spans="2:27" x14ac:dyDescent="0.25">
      <c r="B5259" s="42"/>
      <c r="AA5259" s="43"/>
    </row>
    <row r="5260" spans="2:27" x14ac:dyDescent="0.25">
      <c r="B5260" s="42"/>
      <c r="AA5260" s="43"/>
    </row>
    <row r="5261" spans="2:27" x14ac:dyDescent="0.25">
      <c r="B5261" s="42"/>
      <c r="AA5261" s="43"/>
    </row>
    <row r="5262" spans="2:27" x14ac:dyDescent="0.25">
      <c r="B5262" s="42"/>
      <c r="AA5262" s="43"/>
    </row>
    <row r="5263" spans="2:27" x14ac:dyDescent="0.25">
      <c r="B5263" s="42"/>
      <c r="AA5263" s="43"/>
    </row>
    <row r="5264" spans="2:27" x14ac:dyDescent="0.25">
      <c r="B5264" s="42"/>
      <c r="AA5264" s="43"/>
    </row>
    <row r="5265" spans="2:27" x14ac:dyDescent="0.25">
      <c r="B5265" s="42"/>
      <c r="AA5265" s="43"/>
    </row>
    <row r="5266" spans="2:27" x14ac:dyDescent="0.25">
      <c r="B5266" s="42"/>
      <c r="AA5266" s="43"/>
    </row>
    <row r="5267" spans="2:27" x14ac:dyDescent="0.25">
      <c r="B5267" s="42"/>
      <c r="AA5267" s="43"/>
    </row>
    <row r="5268" spans="2:27" x14ac:dyDescent="0.25">
      <c r="B5268" s="42"/>
      <c r="AA5268" s="43"/>
    </row>
    <row r="5269" spans="2:27" x14ac:dyDescent="0.25">
      <c r="B5269" s="42"/>
      <c r="AA5269" s="43"/>
    </row>
    <row r="5270" spans="2:27" x14ac:dyDescent="0.25">
      <c r="B5270" s="42"/>
      <c r="AA5270" s="43"/>
    </row>
    <row r="5271" spans="2:27" x14ac:dyDescent="0.25">
      <c r="B5271" s="42"/>
      <c r="AA5271" s="43"/>
    </row>
    <row r="5272" spans="2:27" x14ac:dyDescent="0.25">
      <c r="B5272" s="42"/>
      <c r="AA5272" s="43"/>
    </row>
    <row r="5273" spans="2:27" x14ac:dyDescent="0.25">
      <c r="B5273" s="42"/>
      <c r="AA5273" s="43"/>
    </row>
    <row r="5274" spans="2:27" x14ac:dyDescent="0.25">
      <c r="B5274" s="42"/>
      <c r="AA5274" s="43"/>
    </row>
    <row r="5275" spans="2:27" x14ac:dyDescent="0.25">
      <c r="B5275" s="42"/>
      <c r="AA5275" s="43"/>
    </row>
    <row r="5276" spans="2:27" x14ac:dyDescent="0.25">
      <c r="B5276" s="42"/>
      <c r="AA5276" s="43"/>
    </row>
    <row r="5277" spans="2:27" x14ac:dyDescent="0.25">
      <c r="B5277" s="42"/>
      <c r="AA5277" s="43"/>
    </row>
    <row r="5278" spans="2:27" x14ac:dyDescent="0.25">
      <c r="B5278" s="42"/>
      <c r="AA5278" s="43"/>
    </row>
    <row r="5279" spans="2:27" x14ac:dyDescent="0.25">
      <c r="B5279" s="42"/>
      <c r="AA5279" s="43"/>
    </row>
    <row r="5280" spans="2:27" x14ac:dyDescent="0.25">
      <c r="B5280" s="42"/>
      <c r="AA5280" s="43"/>
    </row>
    <row r="5281" spans="2:27" x14ac:dyDescent="0.25">
      <c r="B5281" s="42"/>
      <c r="AA5281" s="43"/>
    </row>
    <row r="5282" spans="2:27" x14ac:dyDescent="0.25">
      <c r="B5282" s="42"/>
      <c r="AA5282" s="43"/>
    </row>
    <row r="5283" spans="2:27" x14ac:dyDescent="0.25">
      <c r="B5283" s="42"/>
      <c r="AA5283" s="43"/>
    </row>
    <row r="5284" spans="2:27" x14ac:dyDescent="0.25">
      <c r="B5284" s="42"/>
      <c r="AA5284" s="43"/>
    </row>
    <row r="5285" spans="2:27" x14ac:dyDescent="0.25">
      <c r="B5285" s="42"/>
      <c r="AA5285" s="43"/>
    </row>
    <row r="5286" spans="2:27" x14ac:dyDescent="0.25">
      <c r="B5286" s="42"/>
      <c r="AA5286" s="43"/>
    </row>
    <row r="5287" spans="2:27" x14ac:dyDescent="0.25">
      <c r="B5287" s="42"/>
      <c r="AA5287" s="43"/>
    </row>
    <row r="5288" spans="2:27" x14ac:dyDescent="0.25">
      <c r="B5288" s="42"/>
      <c r="AA5288" s="43"/>
    </row>
    <row r="5289" spans="2:27" x14ac:dyDescent="0.25">
      <c r="B5289" s="42"/>
      <c r="AA5289" s="43"/>
    </row>
    <row r="5290" spans="2:27" x14ac:dyDescent="0.25">
      <c r="B5290" s="42"/>
      <c r="AA5290" s="43"/>
    </row>
    <row r="5291" spans="2:27" x14ac:dyDescent="0.25">
      <c r="B5291" s="42"/>
      <c r="AA5291" s="43"/>
    </row>
    <row r="5292" spans="2:27" x14ac:dyDescent="0.25">
      <c r="B5292" s="42"/>
      <c r="AA5292" s="43"/>
    </row>
    <row r="5293" spans="2:27" x14ac:dyDescent="0.25">
      <c r="B5293" s="42"/>
      <c r="AA5293" s="43"/>
    </row>
    <row r="5294" spans="2:27" x14ac:dyDescent="0.25">
      <c r="B5294" s="42"/>
      <c r="AA5294" s="43"/>
    </row>
    <row r="5295" spans="2:27" x14ac:dyDescent="0.25">
      <c r="B5295" s="42"/>
      <c r="AA5295" s="43"/>
    </row>
    <row r="5296" spans="2:27" x14ac:dyDescent="0.25">
      <c r="B5296" s="42"/>
      <c r="AA5296" s="43"/>
    </row>
    <row r="5297" spans="2:27" x14ac:dyDescent="0.25">
      <c r="B5297" s="42"/>
      <c r="AA5297" s="43"/>
    </row>
    <row r="5298" spans="2:27" x14ac:dyDescent="0.25">
      <c r="B5298" s="42"/>
      <c r="AA5298" s="43"/>
    </row>
    <row r="5299" spans="2:27" x14ac:dyDescent="0.25">
      <c r="B5299" s="42"/>
      <c r="AA5299" s="43"/>
    </row>
    <row r="5300" spans="2:27" x14ac:dyDescent="0.25">
      <c r="B5300" s="42"/>
      <c r="AA5300" s="43"/>
    </row>
    <row r="5301" spans="2:27" x14ac:dyDescent="0.25">
      <c r="B5301" s="42"/>
      <c r="AA5301" s="43"/>
    </row>
    <row r="5302" spans="2:27" x14ac:dyDescent="0.25">
      <c r="B5302" s="42"/>
      <c r="AA5302" s="43"/>
    </row>
    <row r="5303" spans="2:27" x14ac:dyDescent="0.25">
      <c r="B5303" s="42"/>
      <c r="AA5303" s="43"/>
    </row>
    <row r="5304" spans="2:27" x14ac:dyDescent="0.25">
      <c r="B5304" s="42"/>
      <c r="AA5304" s="43"/>
    </row>
    <row r="5305" spans="2:27" x14ac:dyDescent="0.25">
      <c r="B5305" s="42"/>
      <c r="AA5305" s="43"/>
    </row>
    <row r="5306" spans="2:27" x14ac:dyDescent="0.25">
      <c r="B5306" s="42"/>
      <c r="AA5306" s="43"/>
    </row>
    <row r="5307" spans="2:27" x14ac:dyDescent="0.25">
      <c r="B5307" s="42"/>
      <c r="AA5307" s="43"/>
    </row>
    <row r="5308" spans="2:27" x14ac:dyDescent="0.25">
      <c r="B5308" s="42"/>
      <c r="AA5308" s="43"/>
    </row>
    <row r="5309" spans="2:27" x14ac:dyDescent="0.25">
      <c r="B5309" s="42"/>
      <c r="AA5309" s="43"/>
    </row>
    <row r="5310" spans="2:27" x14ac:dyDescent="0.25">
      <c r="B5310" s="42"/>
      <c r="AA5310" s="43"/>
    </row>
    <row r="5311" spans="2:27" x14ac:dyDescent="0.25">
      <c r="B5311" s="42"/>
      <c r="AA5311" s="43"/>
    </row>
    <row r="5312" spans="2:27" x14ac:dyDescent="0.25">
      <c r="B5312" s="42"/>
      <c r="AA5312" s="43"/>
    </row>
    <row r="5313" spans="2:27" x14ac:dyDescent="0.25">
      <c r="B5313" s="42"/>
      <c r="AA5313" s="43"/>
    </row>
    <row r="5314" spans="2:27" x14ac:dyDescent="0.25">
      <c r="B5314" s="42"/>
      <c r="AA5314" s="43"/>
    </row>
    <row r="5315" spans="2:27" x14ac:dyDescent="0.25">
      <c r="B5315" s="42"/>
      <c r="AA5315" s="43"/>
    </row>
    <row r="5316" spans="2:27" x14ac:dyDescent="0.25">
      <c r="B5316" s="42"/>
      <c r="AA5316" s="43"/>
    </row>
    <row r="5317" spans="2:27" x14ac:dyDescent="0.25">
      <c r="B5317" s="42"/>
      <c r="AA5317" s="43"/>
    </row>
    <row r="5318" spans="2:27" x14ac:dyDescent="0.25">
      <c r="B5318" s="42"/>
      <c r="AA5318" s="43"/>
    </row>
    <row r="5319" spans="2:27" x14ac:dyDescent="0.25">
      <c r="B5319" s="42"/>
      <c r="AA5319" s="43"/>
    </row>
    <row r="5320" spans="2:27" x14ac:dyDescent="0.25">
      <c r="B5320" s="42"/>
      <c r="AA5320" s="43"/>
    </row>
    <row r="5321" spans="2:27" x14ac:dyDescent="0.25">
      <c r="B5321" s="42"/>
      <c r="AA5321" s="43"/>
    </row>
    <row r="5322" spans="2:27" x14ac:dyDescent="0.25">
      <c r="B5322" s="42"/>
      <c r="AA5322" s="43"/>
    </row>
    <row r="5323" spans="2:27" x14ac:dyDescent="0.25">
      <c r="B5323" s="42"/>
      <c r="AA5323" s="43"/>
    </row>
    <row r="5324" spans="2:27" x14ac:dyDescent="0.25">
      <c r="B5324" s="42"/>
      <c r="AA5324" s="43"/>
    </row>
    <row r="5325" spans="2:27" x14ac:dyDescent="0.25">
      <c r="B5325" s="42"/>
      <c r="AA5325" s="43"/>
    </row>
    <row r="5326" spans="2:27" x14ac:dyDescent="0.25">
      <c r="B5326" s="42"/>
      <c r="AA5326" s="43"/>
    </row>
    <row r="5327" spans="2:27" x14ac:dyDescent="0.25">
      <c r="B5327" s="42"/>
      <c r="AA5327" s="43"/>
    </row>
    <row r="5328" spans="2:27" x14ac:dyDescent="0.25">
      <c r="B5328" s="42"/>
      <c r="AA5328" s="43"/>
    </row>
    <row r="5329" spans="2:27" x14ac:dyDescent="0.25">
      <c r="B5329" s="42"/>
      <c r="AA5329" s="43"/>
    </row>
    <row r="5330" spans="2:27" x14ac:dyDescent="0.25">
      <c r="B5330" s="42"/>
      <c r="AA5330" s="43"/>
    </row>
    <row r="5331" spans="2:27" x14ac:dyDescent="0.25">
      <c r="B5331" s="42"/>
      <c r="AA5331" s="43"/>
    </row>
    <row r="5332" spans="2:27" x14ac:dyDescent="0.25">
      <c r="B5332" s="42"/>
      <c r="AA5332" s="43"/>
    </row>
    <row r="5333" spans="2:27" x14ac:dyDescent="0.25">
      <c r="B5333" s="42"/>
      <c r="AA5333" s="43"/>
    </row>
    <row r="5334" spans="2:27" x14ac:dyDescent="0.25">
      <c r="B5334" s="42"/>
      <c r="AA5334" s="43"/>
    </row>
    <row r="5335" spans="2:27" x14ac:dyDescent="0.25">
      <c r="B5335" s="42"/>
      <c r="AA5335" s="43"/>
    </row>
    <row r="5336" spans="2:27" x14ac:dyDescent="0.25">
      <c r="B5336" s="42"/>
      <c r="AA5336" s="43"/>
    </row>
    <row r="5337" spans="2:27" x14ac:dyDescent="0.25">
      <c r="B5337" s="42"/>
      <c r="AA5337" s="43"/>
    </row>
    <row r="5338" spans="2:27" x14ac:dyDescent="0.25">
      <c r="B5338" s="42"/>
      <c r="AA5338" s="43"/>
    </row>
    <row r="5339" spans="2:27" x14ac:dyDescent="0.25">
      <c r="B5339" s="42"/>
      <c r="AA5339" s="43"/>
    </row>
    <row r="5340" spans="2:27" x14ac:dyDescent="0.25">
      <c r="B5340" s="42"/>
      <c r="AA5340" s="43"/>
    </row>
    <row r="5341" spans="2:27" x14ac:dyDescent="0.25">
      <c r="B5341" s="42"/>
      <c r="AA5341" s="43"/>
    </row>
    <row r="5342" spans="2:27" x14ac:dyDescent="0.25">
      <c r="B5342" s="42"/>
      <c r="AA5342" s="43"/>
    </row>
    <row r="5343" spans="2:27" x14ac:dyDescent="0.25">
      <c r="B5343" s="42"/>
      <c r="AA5343" s="43"/>
    </row>
    <row r="5344" spans="2:27" x14ac:dyDescent="0.25">
      <c r="B5344" s="42"/>
      <c r="AA5344" s="43"/>
    </row>
    <row r="5345" spans="2:27" x14ac:dyDescent="0.25">
      <c r="B5345" s="42"/>
      <c r="AA5345" s="43"/>
    </row>
    <row r="5346" spans="2:27" x14ac:dyDescent="0.25">
      <c r="B5346" s="42"/>
      <c r="AA5346" s="43"/>
    </row>
    <row r="5347" spans="2:27" x14ac:dyDescent="0.25">
      <c r="B5347" s="42"/>
      <c r="AA5347" s="43"/>
    </row>
    <row r="5348" spans="2:27" x14ac:dyDescent="0.25">
      <c r="B5348" s="42"/>
      <c r="AA5348" s="43"/>
    </row>
    <row r="5349" spans="2:27" x14ac:dyDescent="0.25">
      <c r="B5349" s="42"/>
      <c r="AA5349" s="43"/>
    </row>
    <row r="5350" spans="2:27" x14ac:dyDescent="0.25">
      <c r="B5350" s="42"/>
      <c r="AA5350" s="43"/>
    </row>
    <row r="5351" spans="2:27" x14ac:dyDescent="0.25">
      <c r="B5351" s="42"/>
      <c r="AA5351" s="43"/>
    </row>
    <row r="5352" spans="2:27" x14ac:dyDescent="0.25">
      <c r="B5352" s="42"/>
      <c r="AA5352" s="43"/>
    </row>
    <row r="5353" spans="2:27" x14ac:dyDescent="0.25">
      <c r="B5353" s="42"/>
      <c r="AA5353" s="43"/>
    </row>
    <row r="5354" spans="2:27" x14ac:dyDescent="0.25">
      <c r="B5354" s="42"/>
      <c r="AA5354" s="43"/>
    </row>
    <row r="5355" spans="2:27" x14ac:dyDescent="0.25">
      <c r="B5355" s="42"/>
      <c r="AA5355" s="43"/>
    </row>
    <row r="5356" spans="2:27" x14ac:dyDescent="0.25">
      <c r="B5356" s="42"/>
      <c r="AA5356" s="43"/>
    </row>
    <row r="5357" spans="2:27" x14ac:dyDescent="0.25">
      <c r="B5357" s="42"/>
      <c r="AA5357" s="43"/>
    </row>
    <row r="5358" spans="2:27" x14ac:dyDescent="0.25">
      <c r="B5358" s="42"/>
      <c r="AA5358" s="43"/>
    </row>
    <row r="5359" spans="2:27" x14ac:dyDescent="0.25">
      <c r="B5359" s="42"/>
      <c r="AA5359" s="43"/>
    </row>
    <row r="5360" spans="2:27" x14ac:dyDescent="0.25">
      <c r="B5360" s="42"/>
      <c r="AA5360" s="43"/>
    </row>
    <row r="5361" spans="2:27" x14ac:dyDescent="0.25">
      <c r="B5361" s="42"/>
      <c r="AA5361" s="43"/>
    </row>
    <row r="5362" spans="2:27" x14ac:dyDescent="0.25">
      <c r="B5362" s="42"/>
      <c r="AA5362" s="43"/>
    </row>
    <row r="5363" spans="2:27" x14ac:dyDescent="0.25">
      <c r="B5363" s="42"/>
      <c r="AA5363" s="43"/>
    </row>
    <row r="5364" spans="2:27" x14ac:dyDescent="0.25">
      <c r="B5364" s="42"/>
      <c r="AA5364" s="43"/>
    </row>
    <row r="5365" spans="2:27" x14ac:dyDescent="0.25">
      <c r="B5365" s="42"/>
      <c r="AA5365" s="43"/>
    </row>
    <row r="5366" spans="2:27" x14ac:dyDescent="0.25">
      <c r="B5366" s="42"/>
      <c r="AA5366" s="43"/>
    </row>
    <row r="5367" spans="2:27" x14ac:dyDescent="0.25">
      <c r="B5367" s="42"/>
      <c r="AA5367" s="43"/>
    </row>
    <row r="5368" spans="2:27" x14ac:dyDescent="0.25">
      <c r="B5368" s="42"/>
      <c r="AA5368" s="43"/>
    </row>
    <row r="5369" spans="2:27" x14ac:dyDescent="0.25">
      <c r="B5369" s="42"/>
      <c r="AA5369" s="43"/>
    </row>
    <row r="5370" spans="2:27" x14ac:dyDescent="0.25">
      <c r="B5370" s="42"/>
      <c r="AA5370" s="43"/>
    </row>
    <row r="5371" spans="2:27" x14ac:dyDescent="0.25">
      <c r="B5371" s="42"/>
      <c r="AA5371" s="43"/>
    </row>
    <row r="5372" spans="2:27" x14ac:dyDescent="0.25">
      <c r="B5372" s="42"/>
      <c r="AA5372" s="43"/>
    </row>
    <row r="5373" spans="2:27" x14ac:dyDescent="0.25">
      <c r="B5373" s="42"/>
      <c r="AA5373" s="43"/>
    </row>
    <row r="5374" spans="2:27" x14ac:dyDescent="0.25">
      <c r="B5374" s="42"/>
      <c r="AA5374" s="43"/>
    </row>
    <row r="5375" spans="2:27" x14ac:dyDescent="0.25">
      <c r="B5375" s="42"/>
      <c r="AA5375" s="43"/>
    </row>
    <row r="5376" spans="2:27" x14ac:dyDescent="0.25">
      <c r="B5376" s="42"/>
      <c r="AA5376" s="43"/>
    </row>
    <row r="5377" spans="2:27" x14ac:dyDescent="0.25">
      <c r="B5377" s="42"/>
      <c r="AA5377" s="43"/>
    </row>
    <row r="5378" spans="2:27" x14ac:dyDescent="0.25">
      <c r="B5378" s="42"/>
      <c r="AA5378" s="43"/>
    </row>
    <row r="5379" spans="2:27" x14ac:dyDescent="0.25">
      <c r="B5379" s="42"/>
      <c r="AA5379" s="43"/>
    </row>
    <row r="5380" spans="2:27" x14ac:dyDescent="0.25">
      <c r="B5380" s="42"/>
      <c r="AA5380" s="43"/>
    </row>
    <row r="5381" spans="2:27" x14ac:dyDescent="0.25">
      <c r="B5381" s="42"/>
      <c r="AA5381" s="43"/>
    </row>
    <row r="5382" spans="2:27" x14ac:dyDescent="0.25">
      <c r="B5382" s="42"/>
      <c r="AA5382" s="43"/>
    </row>
    <row r="5383" spans="2:27" x14ac:dyDescent="0.25">
      <c r="B5383" s="42"/>
      <c r="AA5383" s="43"/>
    </row>
    <row r="5384" spans="2:27" x14ac:dyDescent="0.25">
      <c r="B5384" s="42"/>
      <c r="AA5384" s="43"/>
    </row>
    <row r="5385" spans="2:27" x14ac:dyDescent="0.25">
      <c r="B5385" s="42"/>
      <c r="AA5385" s="43"/>
    </row>
    <row r="5386" spans="2:27" x14ac:dyDescent="0.25">
      <c r="B5386" s="42"/>
      <c r="AA5386" s="43"/>
    </row>
    <row r="5387" spans="2:27" x14ac:dyDescent="0.25">
      <c r="B5387" s="42"/>
      <c r="AA5387" s="43"/>
    </row>
    <row r="5388" spans="2:27" x14ac:dyDescent="0.25">
      <c r="B5388" s="42"/>
      <c r="AA5388" s="43"/>
    </row>
    <row r="5389" spans="2:27" x14ac:dyDescent="0.25">
      <c r="B5389" s="42"/>
      <c r="AA5389" s="43"/>
    </row>
    <row r="5390" spans="2:27" x14ac:dyDescent="0.25">
      <c r="B5390" s="42"/>
      <c r="AA5390" s="43"/>
    </row>
    <row r="5391" spans="2:27" x14ac:dyDescent="0.25">
      <c r="B5391" s="42"/>
      <c r="AA5391" s="43"/>
    </row>
    <row r="5392" spans="2:27" x14ac:dyDescent="0.25">
      <c r="B5392" s="42"/>
      <c r="AA5392" s="43"/>
    </row>
    <row r="5393" spans="2:27" x14ac:dyDescent="0.25">
      <c r="B5393" s="42"/>
      <c r="AA5393" s="43"/>
    </row>
    <row r="5394" spans="2:27" x14ac:dyDescent="0.25">
      <c r="B5394" s="42"/>
      <c r="AA5394" s="43"/>
    </row>
    <row r="5395" spans="2:27" x14ac:dyDescent="0.25">
      <c r="B5395" s="42"/>
      <c r="AA5395" s="43"/>
    </row>
    <row r="5396" spans="2:27" x14ac:dyDescent="0.25">
      <c r="B5396" s="42"/>
      <c r="AA5396" s="43"/>
    </row>
    <row r="5397" spans="2:27" x14ac:dyDescent="0.25">
      <c r="B5397" s="42"/>
      <c r="AA5397" s="43"/>
    </row>
    <row r="5398" spans="2:27" x14ac:dyDescent="0.25">
      <c r="B5398" s="42"/>
      <c r="AA5398" s="43"/>
    </row>
    <row r="5399" spans="2:27" x14ac:dyDescent="0.25">
      <c r="B5399" s="42"/>
      <c r="AA5399" s="43"/>
    </row>
    <row r="5400" spans="2:27" x14ac:dyDescent="0.25">
      <c r="B5400" s="42"/>
      <c r="AA5400" s="43"/>
    </row>
    <row r="5401" spans="2:27" x14ac:dyDescent="0.25">
      <c r="B5401" s="42"/>
      <c r="AA5401" s="43"/>
    </row>
    <row r="5402" spans="2:27" x14ac:dyDescent="0.25">
      <c r="B5402" s="42"/>
      <c r="AA5402" s="43"/>
    </row>
    <row r="5403" spans="2:27" x14ac:dyDescent="0.25">
      <c r="B5403" s="42"/>
      <c r="AA5403" s="43"/>
    </row>
    <row r="5404" spans="2:27" x14ac:dyDescent="0.25">
      <c r="B5404" s="42"/>
      <c r="AA5404" s="43"/>
    </row>
    <row r="5405" spans="2:27" x14ac:dyDescent="0.25">
      <c r="B5405" s="42"/>
      <c r="AA5405" s="43"/>
    </row>
    <row r="5406" spans="2:27" x14ac:dyDescent="0.25">
      <c r="B5406" s="42"/>
      <c r="AA5406" s="43"/>
    </row>
    <row r="5407" spans="2:27" x14ac:dyDescent="0.25">
      <c r="B5407" s="42"/>
      <c r="AA5407" s="43"/>
    </row>
    <row r="5408" spans="2:27" x14ac:dyDescent="0.25">
      <c r="B5408" s="42"/>
      <c r="AA5408" s="43"/>
    </row>
    <row r="5409" spans="2:27" x14ac:dyDescent="0.25">
      <c r="B5409" s="42"/>
      <c r="AA5409" s="43"/>
    </row>
    <row r="5410" spans="2:27" x14ac:dyDescent="0.25">
      <c r="B5410" s="42"/>
      <c r="AA5410" s="43"/>
    </row>
    <row r="5411" spans="2:27" x14ac:dyDescent="0.25">
      <c r="B5411" s="42"/>
      <c r="AA5411" s="43"/>
    </row>
    <row r="5412" spans="2:27" x14ac:dyDescent="0.25">
      <c r="B5412" s="42"/>
      <c r="AA5412" s="43"/>
    </row>
    <row r="5413" spans="2:27" x14ac:dyDescent="0.25">
      <c r="B5413" s="42"/>
      <c r="AA5413" s="43"/>
    </row>
    <row r="5414" spans="2:27" x14ac:dyDescent="0.25">
      <c r="B5414" s="42"/>
      <c r="AA5414" s="43"/>
    </row>
    <row r="5415" spans="2:27" x14ac:dyDescent="0.25">
      <c r="B5415" s="42"/>
      <c r="AA5415" s="43"/>
    </row>
    <row r="5416" spans="2:27" x14ac:dyDescent="0.25">
      <c r="B5416" s="42"/>
      <c r="AA5416" s="43"/>
    </row>
    <row r="5417" spans="2:27" x14ac:dyDescent="0.25">
      <c r="B5417" s="42"/>
      <c r="AA5417" s="43"/>
    </row>
    <row r="5418" spans="2:27" x14ac:dyDescent="0.25">
      <c r="B5418" s="42"/>
      <c r="AA5418" s="43"/>
    </row>
    <row r="5419" spans="2:27" x14ac:dyDescent="0.25">
      <c r="B5419" s="42"/>
      <c r="AA5419" s="43"/>
    </row>
    <row r="5420" spans="2:27" x14ac:dyDescent="0.25">
      <c r="B5420" s="42"/>
      <c r="AA5420" s="43"/>
    </row>
    <row r="5421" spans="2:27" x14ac:dyDescent="0.25">
      <c r="B5421" s="42"/>
      <c r="AA5421" s="43"/>
    </row>
    <row r="5422" spans="2:27" x14ac:dyDescent="0.25">
      <c r="B5422" s="42"/>
      <c r="AA5422" s="43"/>
    </row>
    <row r="5423" spans="2:27" x14ac:dyDescent="0.25">
      <c r="B5423" s="42"/>
      <c r="AA5423" s="43"/>
    </row>
    <row r="5424" spans="2:27" x14ac:dyDescent="0.25">
      <c r="B5424" s="42"/>
      <c r="AA5424" s="43"/>
    </row>
    <row r="5425" spans="2:27" x14ac:dyDescent="0.25">
      <c r="B5425" s="42"/>
      <c r="AA5425" s="43"/>
    </row>
    <row r="5426" spans="2:27" x14ac:dyDescent="0.25">
      <c r="B5426" s="42"/>
      <c r="AA5426" s="43"/>
    </row>
    <row r="5427" spans="2:27" x14ac:dyDescent="0.25">
      <c r="B5427" s="42"/>
      <c r="AA5427" s="43"/>
    </row>
    <row r="5428" spans="2:27" x14ac:dyDescent="0.25">
      <c r="B5428" s="42"/>
      <c r="AA5428" s="43"/>
    </row>
    <row r="5429" spans="2:27" x14ac:dyDescent="0.25">
      <c r="B5429" s="42"/>
      <c r="AA5429" s="43"/>
    </row>
    <row r="5430" spans="2:27" x14ac:dyDescent="0.25">
      <c r="B5430" s="42"/>
      <c r="AA5430" s="43"/>
    </row>
    <row r="5431" spans="2:27" x14ac:dyDescent="0.25">
      <c r="B5431" s="42"/>
      <c r="AA5431" s="43"/>
    </row>
    <row r="5432" spans="2:27" x14ac:dyDescent="0.25">
      <c r="B5432" s="42"/>
      <c r="AA5432" s="43"/>
    </row>
    <row r="5433" spans="2:27" x14ac:dyDescent="0.25">
      <c r="B5433" s="42"/>
      <c r="AA5433" s="43"/>
    </row>
    <row r="5434" spans="2:27" x14ac:dyDescent="0.25">
      <c r="B5434" s="42"/>
      <c r="AA5434" s="43"/>
    </row>
    <row r="5435" spans="2:27" x14ac:dyDescent="0.25">
      <c r="B5435" s="42"/>
      <c r="AA5435" s="43"/>
    </row>
    <row r="5436" spans="2:27" x14ac:dyDescent="0.25">
      <c r="B5436" s="42"/>
      <c r="AA5436" s="43"/>
    </row>
    <row r="5437" spans="2:27" x14ac:dyDescent="0.25">
      <c r="B5437" s="42"/>
      <c r="AA5437" s="43"/>
    </row>
    <row r="5438" spans="2:27" x14ac:dyDescent="0.25">
      <c r="B5438" s="42"/>
      <c r="AA5438" s="43"/>
    </row>
    <row r="5439" spans="2:27" x14ac:dyDescent="0.25">
      <c r="B5439" s="42"/>
      <c r="AA5439" s="43"/>
    </row>
    <row r="5440" spans="2:27" x14ac:dyDescent="0.25">
      <c r="B5440" s="42"/>
      <c r="AA5440" s="43"/>
    </row>
    <row r="5441" spans="2:27" x14ac:dyDescent="0.25">
      <c r="B5441" s="42"/>
      <c r="AA5441" s="43"/>
    </row>
    <row r="5442" spans="2:27" x14ac:dyDescent="0.25">
      <c r="B5442" s="42"/>
      <c r="AA5442" s="43"/>
    </row>
    <row r="5443" spans="2:27" x14ac:dyDescent="0.25">
      <c r="B5443" s="42"/>
      <c r="AA5443" s="43"/>
    </row>
    <row r="5444" spans="2:27" x14ac:dyDescent="0.25">
      <c r="B5444" s="42"/>
      <c r="AA5444" s="43"/>
    </row>
    <row r="5445" spans="2:27" x14ac:dyDescent="0.25">
      <c r="B5445" s="42"/>
      <c r="AA5445" s="43"/>
    </row>
    <row r="5446" spans="2:27" x14ac:dyDescent="0.25">
      <c r="B5446" s="42"/>
      <c r="AA5446" s="43"/>
    </row>
    <row r="5447" spans="2:27" x14ac:dyDescent="0.25">
      <c r="B5447" s="42"/>
      <c r="AA5447" s="43"/>
    </row>
    <row r="5448" spans="2:27" x14ac:dyDescent="0.25">
      <c r="B5448" s="42"/>
      <c r="AA5448" s="43"/>
    </row>
    <row r="5449" spans="2:27" x14ac:dyDescent="0.25">
      <c r="B5449" s="42"/>
      <c r="AA5449" s="43"/>
    </row>
    <row r="5450" spans="2:27" x14ac:dyDescent="0.25">
      <c r="B5450" s="42"/>
      <c r="AA5450" s="43"/>
    </row>
    <row r="5451" spans="2:27" x14ac:dyDescent="0.25">
      <c r="B5451" s="42"/>
      <c r="AA5451" s="43"/>
    </row>
    <row r="5452" spans="2:27" x14ac:dyDescent="0.25">
      <c r="B5452" s="42"/>
      <c r="AA5452" s="43"/>
    </row>
    <row r="5453" spans="2:27" x14ac:dyDescent="0.25">
      <c r="B5453" s="42"/>
      <c r="AA5453" s="43"/>
    </row>
    <row r="5454" spans="2:27" x14ac:dyDescent="0.25">
      <c r="B5454" s="42"/>
      <c r="AA5454" s="43"/>
    </row>
    <row r="5455" spans="2:27" x14ac:dyDescent="0.25">
      <c r="B5455" s="42"/>
      <c r="AA5455" s="43"/>
    </row>
    <row r="5456" spans="2:27" x14ac:dyDescent="0.25">
      <c r="B5456" s="42"/>
      <c r="AA5456" s="43"/>
    </row>
    <row r="5457" spans="2:27" x14ac:dyDescent="0.25">
      <c r="B5457" s="42"/>
      <c r="AA5457" s="43"/>
    </row>
    <row r="5458" spans="2:27" x14ac:dyDescent="0.25">
      <c r="B5458" s="42"/>
      <c r="AA5458" s="43"/>
    </row>
    <row r="5459" spans="2:27" x14ac:dyDescent="0.25">
      <c r="B5459" s="42"/>
      <c r="AA5459" s="43"/>
    </row>
    <row r="5460" spans="2:27" x14ac:dyDescent="0.25">
      <c r="B5460" s="42"/>
      <c r="AA5460" s="43"/>
    </row>
    <row r="5461" spans="2:27" x14ac:dyDescent="0.25">
      <c r="B5461" s="42"/>
      <c r="AA5461" s="43"/>
    </row>
    <row r="5462" spans="2:27" x14ac:dyDescent="0.25">
      <c r="B5462" s="42"/>
      <c r="AA5462" s="43"/>
    </row>
    <row r="5463" spans="2:27" x14ac:dyDescent="0.25">
      <c r="B5463" s="42"/>
      <c r="AA5463" s="43"/>
    </row>
    <row r="5464" spans="2:27" x14ac:dyDescent="0.25">
      <c r="B5464" s="42"/>
      <c r="AA5464" s="43"/>
    </row>
    <row r="5465" spans="2:27" x14ac:dyDescent="0.25">
      <c r="B5465" s="42"/>
      <c r="AA5465" s="43"/>
    </row>
    <row r="5466" spans="2:27" x14ac:dyDescent="0.25">
      <c r="B5466" s="42"/>
      <c r="AA5466" s="43"/>
    </row>
    <row r="5467" spans="2:27" x14ac:dyDescent="0.25">
      <c r="B5467" s="42"/>
      <c r="AA5467" s="43"/>
    </row>
    <row r="5468" spans="2:27" x14ac:dyDescent="0.25">
      <c r="B5468" s="42"/>
      <c r="AA5468" s="43"/>
    </row>
    <row r="5469" spans="2:27" x14ac:dyDescent="0.25">
      <c r="B5469" s="42"/>
      <c r="AA5469" s="43"/>
    </row>
    <row r="5470" spans="2:27" x14ac:dyDescent="0.25">
      <c r="B5470" s="42"/>
      <c r="AA5470" s="43"/>
    </row>
    <row r="5471" spans="2:27" x14ac:dyDescent="0.25">
      <c r="B5471" s="42"/>
      <c r="AA5471" s="43"/>
    </row>
    <row r="5472" spans="2:27" x14ac:dyDescent="0.25">
      <c r="B5472" s="42"/>
      <c r="AA5472" s="43"/>
    </row>
    <row r="5473" spans="2:27" x14ac:dyDescent="0.25">
      <c r="B5473" s="42"/>
      <c r="AA5473" s="43"/>
    </row>
    <row r="5474" spans="2:27" x14ac:dyDescent="0.25">
      <c r="B5474" s="42"/>
      <c r="AA5474" s="43"/>
    </row>
    <row r="5475" spans="2:27" x14ac:dyDescent="0.25">
      <c r="B5475" s="42"/>
      <c r="AA5475" s="43"/>
    </row>
    <row r="5476" spans="2:27" x14ac:dyDescent="0.25">
      <c r="B5476" s="42"/>
      <c r="AA5476" s="43"/>
    </row>
    <row r="5477" spans="2:27" x14ac:dyDescent="0.25">
      <c r="B5477" s="42"/>
      <c r="AA5477" s="43"/>
    </row>
    <row r="5478" spans="2:27" x14ac:dyDescent="0.25">
      <c r="B5478" s="42"/>
      <c r="AA5478" s="43"/>
    </row>
    <row r="5479" spans="2:27" x14ac:dyDescent="0.25">
      <c r="B5479" s="42"/>
      <c r="AA5479" s="43"/>
    </row>
    <row r="5480" spans="2:27" x14ac:dyDescent="0.25">
      <c r="B5480" s="42"/>
      <c r="AA5480" s="43"/>
    </row>
    <row r="5481" spans="2:27" x14ac:dyDescent="0.25">
      <c r="B5481" s="42"/>
      <c r="AA5481" s="43"/>
    </row>
    <row r="5482" spans="2:27" x14ac:dyDescent="0.25">
      <c r="B5482" s="42"/>
      <c r="AA5482" s="43"/>
    </row>
    <row r="5483" spans="2:27" x14ac:dyDescent="0.25">
      <c r="B5483" s="42"/>
      <c r="AA5483" s="43"/>
    </row>
    <row r="5484" spans="2:27" x14ac:dyDescent="0.25">
      <c r="B5484" s="42"/>
      <c r="AA5484" s="43"/>
    </row>
    <row r="5485" spans="2:27" x14ac:dyDescent="0.25">
      <c r="B5485" s="42"/>
      <c r="AA5485" s="43"/>
    </row>
    <row r="5486" spans="2:27" x14ac:dyDescent="0.25">
      <c r="B5486" s="42"/>
      <c r="AA5486" s="43"/>
    </row>
    <row r="5487" spans="2:27" x14ac:dyDescent="0.25">
      <c r="B5487" s="42"/>
      <c r="AA5487" s="43"/>
    </row>
    <row r="5488" spans="2:27" x14ac:dyDescent="0.25">
      <c r="B5488" s="42"/>
      <c r="AA5488" s="43"/>
    </row>
    <row r="5489" spans="2:27" x14ac:dyDescent="0.25">
      <c r="B5489" s="42"/>
      <c r="AA5489" s="43"/>
    </row>
    <row r="5490" spans="2:27" x14ac:dyDescent="0.25">
      <c r="B5490" s="42"/>
      <c r="AA5490" s="43"/>
    </row>
    <row r="5491" spans="2:27" x14ac:dyDescent="0.25">
      <c r="B5491" s="42"/>
      <c r="AA5491" s="43"/>
    </row>
    <row r="5492" spans="2:27" x14ac:dyDescent="0.25">
      <c r="B5492" s="42"/>
      <c r="AA5492" s="43"/>
    </row>
    <row r="5493" spans="2:27" x14ac:dyDescent="0.25">
      <c r="B5493" s="42"/>
      <c r="AA5493" s="43"/>
    </row>
    <row r="5494" spans="2:27" x14ac:dyDescent="0.25">
      <c r="B5494" s="42"/>
      <c r="AA5494" s="43"/>
    </row>
    <row r="5495" spans="2:27" x14ac:dyDescent="0.25">
      <c r="B5495" s="42"/>
      <c r="AA5495" s="43"/>
    </row>
    <row r="5496" spans="2:27" x14ac:dyDescent="0.25">
      <c r="B5496" s="42"/>
      <c r="AA5496" s="43"/>
    </row>
    <row r="5497" spans="2:27" x14ac:dyDescent="0.25">
      <c r="B5497" s="42"/>
      <c r="AA5497" s="43"/>
    </row>
    <row r="5498" spans="2:27" x14ac:dyDescent="0.25">
      <c r="B5498" s="42"/>
      <c r="AA5498" s="43"/>
    </row>
    <row r="5499" spans="2:27" x14ac:dyDescent="0.25">
      <c r="B5499" s="42"/>
      <c r="AA5499" s="43"/>
    </row>
    <row r="5500" spans="2:27" x14ac:dyDescent="0.25">
      <c r="B5500" s="42"/>
      <c r="AA5500" s="43"/>
    </row>
    <row r="5501" spans="2:27" x14ac:dyDescent="0.25">
      <c r="B5501" s="42"/>
      <c r="AA5501" s="43"/>
    </row>
    <row r="5502" spans="2:27" x14ac:dyDescent="0.25">
      <c r="B5502" s="42"/>
      <c r="AA5502" s="43"/>
    </row>
    <row r="5503" spans="2:27" x14ac:dyDescent="0.25">
      <c r="B5503" s="42"/>
      <c r="AA5503" s="43"/>
    </row>
    <row r="5504" spans="2:27" x14ac:dyDescent="0.25">
      <c r="B5504" s="42"/>
      <c r="AA5504" s="43"/>
    </row>
    <row r="5505" spans="2:27" x14ac:dyDescent="0.25">
      <c r="B5505" s="42"/>
      <c r="AA5505" s="43"/>
    </row>
    <row r="5506" spans="2:27" x14ac:dyDescent="0.25">
      <c r="B5506" s="42"/>
      <c r="AA5506" s="43"/>
    </row>
    <row r="5507" spans="2:27" x14ac:dyDescent="0.25">
      <c r="B5507" s="42"/>
      <c r="AA5507" s="43"/>
    </row>
    <row r="5508" spans="2:27" x14ac:dyDescent="0.25">
      <c r="B5508" s="42"/>
      <c r="AA5508" s="43"/>
    </row>
    <row r="5509" spans="2:27" x14ac:dyDescent="0.25">
      <c r="B5509" s="42"/>
      <c r="AA5509" s="43"/>
    </row>
    <row r="5510" spans="2:27" x14ac:dyDescent="0.25">
      <c r="B5510" s="42"/>
      <c r="AA5510" s="43"/>
    </row>
    <row r="5511" spans="2:27" x14ac:dyDescent="0.25">
      <c r="B5511" s="42"/>
      <c r="AA5511" s="43"/>
    </row>
    <row r="5512" spans="2:27" x14ac:dyDescent="0.25">
      <c r="B5512" s="42"/>
      <c r="AA5512" s="43"/>
    </row>
    <row r="5513" spans="2:27" x14ac:dyDescent="0.25">
      <c r="B5513" s="42"/>
      <c r="AA5513" s="43"/>
    </row>
    <row r="5514" spans="2:27" x14ac:dyDescent="0.25">
      <c r="B5514" s="42"/>
      <c r="AA5514" s="43"/>
    </row>
    <row r="5515" spans="2:27" x14ac:dyDescent="0.25">
      <c r="B5515" s="42"/>
      <c r="AA5515" s="43"/>
    </row>
    <row r="5516" spans="2:27" x14ac:dyDescent="0.25">
      <c r="B5516" s="42"/>
      <c r="AA5516" s="43"/>
    </row>
    <row r="5517" spans="2:27" x14ac:dyDescent="0.25">
      <c r="B5517" s="42"/>
      <c r="AA5517" s="43"/>
    </row>
    <row r="5518" spans="2:27" x14ac:dyDescent="0.25">
      <c r="B5518" s="42"/>
      <c r="AA5518" s="43"/>
    </row>
    <row r="5519" spans="2:27" x14ac:dyDescent="0.25">
      <c r="B5519" s="42"/>
      <c r="AA5519" s="43"/>
    </row>
    <row r="5520" spans="2:27" x14ac:dyDescent="0.25">
      <c r="B5520" s="42"/>
      <c r="AA5520" s="43"/>
    </row>
    <row r="5521" spans="2:27" x14ac:dyDescent="0.25">
      <c r="B5521" s="42"/>
      <c r="AA5521" s="43"/>
    </row>
    <row r="5522" spans="2:27" x14ac:dyDescent="0.25">
      <c r="B5522" s="42"/>
      <c r="AA5522" s="43"/>
    </row>
    <row r="5523" spans="2:27" x14ac:dyDescent="0.25">
      <c r="B5523" s="42"/>
      <c r="AA5523" s="43"/>
    </row>
    <row r="5524" spans="2:27" x14ac:dyDescent="0.25">
      <c r="B5524" s="42"/>
      <c r="AA5524" s="43"/>
    </row>
    <row r="5525" spans="2:27" x14ac:dyDescent="0.25">
      <c r="B5525" s="42"/>
      <c r="AA5525" s="43"/>
    </row>
    <row r="5526" spans="2:27" x14ac:dyDescent="0.25">
      <c r="B5526" s="42"/>
      <c r="AA5526" s="43"/>
    </row>
    <row r="5527" spans="2:27" x14ac:dyDescent="0.25">
      <c r="B5527" s="42"/>
      <c r="AA5527" s="43"/>
    </row>
    <row r="5528" spans="2:27" x14ac:dyDescent="0.25">
      <c r="B5528" s="42"/>
      <c r="AA5528" s="43"/>
    </row>
    <row r="5529" spans="2:27" x14ac:dyDescent="0.25">
      <c r="B5529" s="42"/>
      <c r="AA5529" s="43"/>
    </row>
    <row r="5530" spans="2:27" x14ac:dyDescent="0.25">
      <c r="B5530" s="42"/>
      <c r="AA5530" s="43"/>
    </row>
    <row r="5531" spans="2:27" x14ac:dyDescent="0.25">
      <c r="B5531" s="42"/>
      <c r="AA5531" s="43"/>
    </row>
    <row r="5532" spans="2:27" x14ac:dyDescent="0.25">
      <c r="B5532" s="42"/>
      <c r="AA5532" s="43"/>
    </row>
    <row r="5533" spans="2:27" x14ac:dyDescent="0.25">
      <c r="B5533" s="42"/>
      <c r="AA5533" s="43"/>
    </row>
    <row r="5534" spans="2:27" x14ac:dyDescent="0.25">
      <c r="B5534" s="42"/>
      <c r="AA5534" s="43"/>
    </row>
    <row r="5535" spans="2:27" x14ac:dyDescent="0.25">
      <c r="B5535" s="42"/>
      <c r="AA5535" s="43"/>
    </row>
    <row r="5536" spans="2:27" x14ac:dyDescent="0.25">
      <c r="B5536" s="42"/>
      <c r="AA5536" s="43"/>
    </row>
    <row r="5537" spans="2:27" x14ac:dyDescent="0.25">
      <c r="B5537" s="42"/>
      <c r="AA5537" s="43"/>
    </row>
    <row r="5538" spans="2:27" x14ac:dyDescent="0.25">
      <c r="B5538" s="42"/>
      <c r="AA5538" s="43"/>
    </row>
    <row r="5539" spans="2:27" x14ac:dyDescent="0.25">
      <c r="B5539" s="42"/>
      <c r="AA5539" s="43"/>
    </row>
    <row r="5540" spans="2:27" x14ac:dyDescent="0.25">
      <c r="B5540" s="42"/>
      <c r="AA5540" s="43"/>
    </row>
    <row r="5541" spans="2:27" x14ac:dyDescent="0.25">
      <c r="B5541" s="42"/>
      <c r="AA5541" s="43"/>
    </row>
    <row r="5542" spans="2:27" x14ac:dyDescent="0.25">
      <c r="B5542" s="42"/>
      <c r="AA5542" s="43"/>
    </row>
    <row r="5543" spans="2:27" x14ac:dyDescent="0.25">
      <c r="B5543" s="42"/>
      <c r="AA5543" s="43"/>
    </row>
    <row r="5544" spans="2:27" x14ac:dyDescent="0.25">
      <c r="B5544" s="42"/>
      <c r="AA5544" s="43"/>
    </row>
    <row r="5545" spans="2:27" x14ac:dyDescent="0.25">
      <c r="B5545" s="42"/>
      <c r="AA5545" s="43"/>
    </row>
    <row r="5546" spans="2:27" x14ac:dyDescent="0.25">
      <c r="B5546" s="42"/>
      <c r="AA5546" s="43"/>
    </row>
    <row r="5547" spans="2:27" x14ac:dyDescent="0.25">
      <c r="B5547" s="42"/>
      <c r="AA5547" s="43"/>
    </row>
    <row r="5548" spans="2:27" x14ac:dyDescent="0.25">
      <c r="B5548" s="42"/>
      <c r="AA5548" s="43"/>
    </row>
    <row r="5549" spans="2:27" x14ac:dyDescent="0.25">
      <c r="B5549" s="42"/>
      <c r="AA5549" s="43"/>
    </row>
    <row r="5550" spans="2:27" x14ac:dyDescent="0.25">
      <c r="B5550" s="42"/>
      <c r="AA5550" s="43"/>
    </row>
    <row r="5551" spans="2:27" x14ac:dyDescent="0.25">
      <c r="B5551" s="42"/>
      <c r="AA5551" s="43"/>
    </row>
    <row r="5552" spans="2:27" x14ac:dyDescent="0.25">
      <c r="B5552" s="42"/>
      <c r="AA5552" s="43"/>
    </row>
    <row r="5553" spans="2:27" x14ac:dyDescent="0.25">
      <c r="B5553" s="42"/>
      <c r="AA5553" s="43"/>
    </row>
    <row r="5554" spans="2:27" x14ac:dyDescent="0.25">
      <c r="B5554" s="42"/>
      <c r="AA5554" s="43"/>
    </row>
    <row r="5555" spans="2:27" x14ac:dyDescent="0.25">
      <c r="B5555" s="42"/>
      <c r="AA5555" s="43"/>
    </row>
    <row r="5556" spans="2:27" x14ac:dyDescent="0.25">
      <c r="B5556" s="42"/>
      <c r="AA5556" s="43"/>
    </row>
    <row r="5557" spans="2:27" x14ac:dyDescent="0.25">
      <c r="B5557" s="42"/>
      <c r="AA5557" s="43"/>
    </row>
    <row r="5558" spans="2:27" x14ac:dyDescent="0.25">
      <c r="B5558" s="42"/>
      <c r="AA5558" s="43"/>
    </row>
    <row r="5559" spans="2:27" x14ac:dyDescent="0.25">
      <c r="B5559" s="42"/>
      <c r="AA5559" s="43"/>
    </row>
    <row r="5560" spans="2:27" x14ac:dyDescent="0.25">
      <c r="B5560" s="42"/>
      <c r="AA5560" s="43"/>
    </row>
    <row r="5561" spans="2:27" x14ac:dyDescent="0.25">
      <c r="B5561" s="42"/>
      <c r="AA5561" s="43"/>
    </row>
    <row r="5562" spans="2:27" x14ac:dyDescent="0.25">
      <c r="B5562" s="42"/>
      <c r="AA5562" s="43"/>
    </row>
    <row r="5563" spans="2:27" x14ac:dyDescent="0.25">
      <c r="B5563" s="42"/>
      <c r="AA5563" s="43"/>
    </row>
    <row r="5564" spans="2:27" x14ac:dyDescent="0.25">
      <c r="B5564" s="42"/>
      <c r="AA5564" s="43"/>
    </row>
    <row r="5565" spans="2:27" x14ac:dyDescent="0.25">
      <c r="B5565" s="42"/>
      <c r="AA5565" s="43"/>
    </row>
    <row r="5566" spans="2:27" x14ac:dyDescent="0.25">
      <c r="B5566" s="42"/>
      <c r="AA5566" s="43"/>
    </row>
    <row r="5567" spans="2:27" x14ac:dyDescent="0.25">
      <c r="B5567" s="42"/>
      <c r="AA5567" s="43"/>
    </row>
    <row r="5568" spans="2:27" x14ac:dyDescent="0.25">
      <c r="B5568" s="42"/>
      <c r="AA5568" s="43"/>
    </row>
    <row r="5569" spans="2:27" x14ac:dyDescent="0.25">
      <c r="B5569" s="42"/>
      <c r="AA5569" s="43"/>
    </row>
    <row r="5570" spans="2:27" x14ac:dyDescent="0.25">
      <c r="B5570" s="42"/>
      <c r="AA5570" s="43"/>
    </row>
    <row r="5571" spans="2:27" x14ac:dyDescent="0.25">
      <c r="B5571" s="42"/>
      <c r="AA5571" s="43"/>
    </row>
    <row r="5572" spans="2:27" x14ac:dyDescent="0.25">
      <c r="B5572" s="42"/>
      <c r="AA5572" s="43"/>
    </row>
    <row r="5573" spans="2:27" x14ac:dyDescent="0.25">
      <c r="B5573" s="42"/>
      <c r="AA5573" s="43"/>
    </row>
    <row r="5574" spans="2:27" x14ac:dyDescent="0.25">
      <c r="B5574" s="42"/>
      <c r="AA5574" s="43"/>
    </row>
    <row r="5575" spans="2:27" x14ac:dyDescent="0.25">
      <c r="B5575" s="42"/>
      <c r="AA5575" s="43"/>
    </row>
    <row r="5576" spans="2:27" x14ac:dyDescent="0.25">
      <c r="B5576" s="42"/>
      <c r="AA5576" s="43"/>
    </row>
    <row r="5577" spans="2:27" x14ac:dyDescent="0.25">
      <c r="B5577" s="42"/>
      <c r="AA5577" s="43"/>
    </row>
    <row r="5578" spans="2:27" x14ac:dyDescent="0.25">
      <c r="B5578" s="42"/>
      <c r="AA5578" s="43"/>
    </row>
    <row r="5579" spans="2:27" x14ac:dyDescent="0.25">
      <c r="B5579" s="42"/>
      <c r="AA5579" s="43"/>
    </row>
    <row r="5580" spans="2:27" x14ac:dyDescent="0.25">
      <c r="B5580" s="42"/>
      <c r="AA5580" s="43"/>
    </row>
    <row r="5581" spans="2:27" x14ac:dyDescent="0.25">
      <c r="B5581" s="42"/>
      <c r="AA5581" s="43"/>
    </row>
    <row r="5582" spans="2:27" x14ac:dyDescent="0.25">
      <c r="B5582" s="42"/>
      <c r="AA5582" s="43"/>
    </row>
    <row r="5583" spans="2:27" x14ac:dyDescent="0.25">
      <c r="B5583" s="42"/>
      <c r="AA5583" s="43"/>
    </row>
    <row r="5584" spans="2:27" x14ac:dyDescent="0.25">
      <c r="B5584" s="42"/>
      <c r="AA5584" s="43"/>
    </row>
    <row r="5585" spans="2:27" x14ac:dyDescent="0.25">
      <c r="B5585" s="42"/>
      <c r="AA5585" s="43"/>
    </row>
    <row r="5586" spans="2:27" x14ac:dyDescent="0.25">
      <c r="B5586" s="42"/>
      <c r="AA5586" s="43"/>
    </row>
    <row r="5587" spans="2:27" x14ac:dyDescent="0.25">
      <c r="B5587" s="42"/>
      <c r="AA5587" s="43"/>
    </row>
    <row r="5588" spans="2:27" x14ac:dyDescent="0.25">
      <c r="B5588" s="42"/>
      <c r="AA5588" s="43"/>
    </row>
    <row r="5589" spans="2:27" x14ac:dyDescent="0.25">
      <c r="B5589" s="42"/>
      <c r="AA5589" s="43"/>
    </row>
    <row r="5590" spans="2:27" x14ac:dyDescent="0.25">
      <c r="B5590" s="42"/>
      <c r="AA5590" s="43"/>
    </row>
    <row r="5591" spans="2:27" x14ac:dyDescent="0.25">
      <c r="B5591" s="42"/>
      <c r="AA5591" s="43"/>
    </row>
    <row r="5592" spans="2:27" x14ac:dyDescent="0.25">
      <c r="B5592" s="42"/>
      <c r="AA5592" s="43"/>
    </row>
    <row r="5593" spans="2:27" x14ac:dyDescent="0.25">
      <c r="B5593" s="42"/>
      <c r="AA5593" s="43"/>
    </row>
    <row r="5594" spans="2:27" x14ac:dyDescent="0.25">
      <c r="B5594" s="42"/>
      <c r="AA5594" s="43"/>
    </row>
    <row r="5595" spans="2:27" x14ac:dyDescent="0.25">
      <c r="B5595" s="42"/>
      <c r="AA5595" s="43"/>
    </row>
    <row r="5596" spans="2:27" x14ac:dyDescent="0.25">
      <c r="B5596" s="42"/>
      <c r="AA5596" s="43"/>
    </row>
    <row r="5597" spans="2:27" x14ac:dyDescent="0.25">
      <c r="B5597" s="42"/>
      <c r="AA5597" s="43"/>
    </row>
    <row r="5598" spans="2:27" x14ac:dyDescent="0.25">
      <c r="B5598" s="42"/>
      <c r="AA5598" s="43"/>
    </row>
    <row r="5599" spans="2:27" x14ac:dyDescent="0.25">
      <c r="B5599" s="42"/>
      <c r="AA5599" s="43"/>
    </row>
    <row r="5600" spans="2:27" x14ac:dyDescent="0.25">
      <c r="B5600" s="42"/>
      <c r="AA5600" s="43"/>
    </row>
    <row r="5601" spans="2:27" x14ac:dyDescent="0.25">
      <c r="B5601" s="42"/>
      <c r="AA5601" s="43"/>
    </row>
    <row r="5602" spans="2:27" x14ac:dyDescent="0.25">
      <c r="B5602" s="42"/>
      <c r="AA5602" s="43"/>
    </row>
    <row r="5603" spans="2:27" x14ac:dyDescent="0.25">
      <c r="B5603" s="42"/>
      <c r="AA5603" s="43"/>
    </row>
    <row r="5604" spans="2:27" x14ac:dyDescent="0.25">
      <c r="B5604" s="42"/>
      <c r="AA5604" s="43"/>
    </row>
    <row r="5605" spans="2:27" x14ac:dyDescent="0.25">
      <c r="B5605" s="42"/>
      <c r="AA5605" s="43"/>
    </row>
    <row r="5606" spans="2:27" x14ac:dyDescent="0.25">
      <c r="B5606" s="42"/>
      <c r="AA5606" s="43"/>
    </row>
    <row r="5607" spans="2:27" x14ac:dyDescent="0.25">
      <c r="B5607" s="42"/>
      <c r="AA5607" s="43"/>
    </row>
    <row r="5608" spans="2:27" x14ac:dyDescent="0.25">
      <c r="B5608" s="42"/>
      <c r="AA5608" s="43"/>
    </row>
    <row r="5609" spans="2:27" x14ac:dyDescent="0.25">
      <c r="B5609" s="42"/>
      <c r="AA5609" s="43"/>
    </row>
    <row r="5610" spans="2:27" x14ac:dyDescent="0.25">
      <c r="B5610" s="42"/>
      <c r="AA5610" s="43"/>
    </row>
    <row r="5611" spans="2:27" x14ac:dyDescent="0.25">
      <c r="B5611" s="42"/>
      <c r="AA5611" s="43"/>
    </row>
    <row r="5612" spans="2:27" x14ac:dyDescent="0.25">
      <c r="B5612" s="42"/>
      <c r="AA5612" s="43"/>
    </row>
    <row r="5613" spans="2:27" x14ac:dyDescent="0.25">
      <c r="B5613" s="42"/>
      <c r="AA5613" s="43"/>
    </row>
    <row r="5614" spans="2:27" x14ac:dyDescent="0.25">
      <c r="B5614" s="42"/>
      <c r="AA5614" s="43"/>
    </row>
    <row r="5615" spans="2:27" x14ac:dyDescent="0.25">
      <c r="B5615" s="42"/>
      <c r="AA5615" s="43"/>
    </row>
    <row r="5616" spans="2:27" x14ac:dyDescent="0.25">
      <c r="B5616" s="42"/>
      <c r="AA5616" s="43"/>
    </row>
    <row r="5617" spans="2:27" x14ac:dyDescent="0.25">
      <c r="B5617" s="42"/>
      <c r="AA5617" s="43"/>
    </row>
    <row r="5618" spans="2:27" x14ac:dyDescent="0.25">
      <c r="B5618" s="42"/>
      <c r="AA5618" s="43"/>
    </row>
    <row r="5619" spans="2:27" x14ac:dyDescent="0.25">
      <c r="B5619" s="42"/>
      <c r="AA5619" s="43"/>
    </row>
    <row r="5620" spans="2:27" x14ac:dyDescent="0.25">
      <c r="B5620" s="42"/>
      <c r="AA5620" s="43"/>
    </row>
    <row r="5621" spans="2:27" x14ac:dyDescent="0.25">
      <c r="B5621" s="42"/>
      <c r="AA5621" s="43"/>
    </row>
    <row r="5622" spans="2:27" x14ac:dyDescent="0.25">
      <c r="B5622" s="42"/>
      <c r="AA5622" s="43"/>
    </row>
    <row r="5623" spans="2:27" x14ac:dyDescent="0.25">
      <c r="B5623" s="42"/>
      <c r="AA5623" s="43"/>
    </row>
    <row r="5624" spans="2:27" x14ac:dyDescent="0.25">
      <c r="B5624" s="42"/>
      <c r="AA5624" s="43"/>
    </row>
    <row r="5625" spans="2:27" x14ac:dyDescent="0.25">
      <c r="B5625" s="42"/>
      <c r="AA5625" s="43"/>
    </row>
    <row r="5626" spans="2:27" x14ac:dyDescent="0.25">
      <c r="B5626" s="42"/>
      <c r="AA5626" s="43"/>
    </row>
    <row r="5627" spans="2:27" x14ac:dyDescent="0.25">
      <c r="B5627" s="42"/>
      <c r="AA5627" s="43"/>
    </row>
    <row r="5628" spans="2:27" x14ac:dyDescent="0.25">
      <c r="B5628" s="42"/>
      <c r="AA5628" s="43"/>
    </row>
    <row r="5629" spans="2:27" x14ac:dyDescent="0.25">
      <c r="B5629" s="42"/>
      <c r="AA5629" s="43"/>
    </row>
    <row r="5630" spans="2:27" x14ac:dyDescent="0.25">
      <c r="B5630" s="42"/>
      <c r="AA5630" s="43"/>
    </row>
    <row r="5631" spans="2:27" x14ac:dyDescent="0.25">
      <c r="B5631" s="42"/>
      <c r="AA5631" s="43"/>
    </row>
    <row r="5632" spans="2:27" x14ac:dyDescent="0.25">
      <c r="B5632" s="42"/>
      <c r="AA5632" s="43"/>
    </row>
    <row r="5633" spans="2:27" x14ac:dyDescent="0.25">
      <c r="B5633" s="42"/>
      <c r="AA5633" s="43"/>
    </row>
    <row r="5634" spans="2:27" x14ac:dyDescent="0.25">
      <c r="B5634" s="42"/>
      <c r="AA5634" s="43"/>
    </row>
    <row r="5635" spans="2:27" x14ac:dyDescent="0.25">
      <c r="B5635" s="42"/>
      <c r="AA5635" s="43"/>
    </row>
    <row r="5636" spans="2:27" x14ac:dyDescent="0.25">
      <c r="B5636" s="42"/>
      <c r="AA5636" s="43"/>
    </row>
    <row r="5637" spans="2:27" x14ac:dyDescent="0.25">
      <c r="B5637" s="42"/>
      <c r="AA5637" s="43"/>
    </row>
    <row r="5638" spans="2:27" x14ac:dyDescent="0.25">
      <c r="B5638" s="42"/>
      <c r="AA5638" s="43"/>
    </row>
    <row r="5639" spans="2:27" x14ac:dyDescent="0.25">
      <c r="B5639" s="42"/>
      <c r="AA5639" s="43"/>
    </row>
    <row r="5640" spans="2:27" x14ac:dyDescent="0.25">
      <c r="B5640" s="42"/>
      <c r="AA5640" s="43"/>
    </row>
    <row r="5641" spans="2:27" x14ac:dyDescent="0.25">
      <c r="B5641" s="42"/>
      <c r="AA5641" s="43"/>
    </row>
    <row r="5642" spans="2:27" x14ac:dyDescent="0.25">
      <c r="B5642" s="42"/>
      <c r="AA5642" s="43"/>
    </row>
    <row r="5643" spans="2:27" x14ac:dyDescent="0.25">
      <c r="B5643" s="42"/>
      <c r="AA5643" s="43"/>
    </row>
    <row r="5644" spans="2:27" x14ac:dyDescent="0.25">
      <c r="B5644" s="42"/>
      <c r="AA5644" s="43"/>
    </row>
    <row r="5645" spans="2:27" x14ac:dyDescent="0.25">
      <c r="B5645" s="42"/>
      <c r="AA5645" s="43"/>
    </row>
    <row r="5646" spans="2:27" x14ac:dyDescent="0.25">
      <c r="B5646" s="42"/>
      <c r="AA5646" s="43"/>
    </row>
    <row r="5647" spans="2:27" x14ac:dyDescent="0.25">
      <c r="B5647" s="42"/>
      <c r="AA5647" s="43"/>
    </row>
    <row r="5648" spans="2:27" x14ac:dyDescent="0.25">
      <c r="B5648" s="42"/>
      <c r="AA5648" s="43"/>
    </row>
    <row r="5649" spans="2:27" x14ac:dyDescent="0.25">
      <c r="B5649" s="42"/>
      <c r="AA5649" s="43"/>
    </row>
    <row r="5650" spans="2:27" x14ac:dyDescent="0.25">
      <c r="B5650" s="42"/>
      <c r="AA5650" s="43"/>
    </row>
    <row r="5651" spans="2:27" x14ac:dyDescent="0.25">
      <c r="B5651" s="42"/>
      <c r="AA5651" s="43"/>
    </row>
    <row r="5652" spans="2:27" x14ac:dyDescent="0.25">
      <c r="B5652" s="42"/>
      <c r="AA5652" s="43"/>
    </row>
    <row r="5653" spans="2:27" x14ac:dyDescent="0.25">
      <c r="B5653" s="42"/>
      <c r="AA5653" s="43"/>
    </row>
    <row r="5654" spans="2:27" x14ac:dyDescent="0.25">
      <c r="B5654" s="42"/>
      <c r="AA5654" s="43"/>
    </row>
    <row r="5655" spans="2:27" x14ac:dyDescent="0.25">
      <c r="B5655" s="42"/>
      <c r="AA5655" s="43"/>
    </row>
    <row r="5656" spans="2:27" x14ac:dyDescent="0.25">
      <c r="B5656" s="42"/>
      <c r="AA5656" s="43"/>
    </row>
    <row r="5657" spans="2:27" x14ac:dyDescent="0.25">
      <c r="B5657" s="42"/>
      <c r="AA5657" s="43"/>
    </row>
    <row r="5658" spans="2:27" x14ac:dyDescent="0.25">
      <c r="B5658" s="42"/>
      <c r="AA5658" s="43"/>
    </row>
    <row r="5659" spans="2:27" x14ac:dyDescent="0.25">
      <c r="B5659" s="42"/>
      <c r="AA5659" s="43"/>
    </row>
    <row r="5660" spans="2:27" x14ac:dyDescent="0.25">
      <c r="B5660" s="42"/>
      <c r="AA5660" s="43"/>
    </row>
    <row r="5661" spans="2:27" x14ac:dyDescent="0.25">
      <c r="B5661" s="42"/>
      <c r="AA5661" s="43"/>
    </row>
    <row r="5662" spans="2:27" x14ac:dyDescent="0.25">
      <c r="B5662" s="42"/>
      <c r="AA5662" s="43"/>
    </row>
    <row r="5663" spans="2:27" x14ac:dyDescent="0.25">
      <c r="B5663" s="42"/>
      <c r="AA5663" s="43"/>
    </row>
    <row r="5664" spans="2:27" x14ac:dyDescent="0.25">
      <c r="B5664" s="42"/>
      <c r="AA5664" s="43"/>
    </row>
    <row r="5665" spans="2:27" x14ac:dyDescent="0.25">
      <c r="B5665" s="42"/>
      <c r="AA5665" s="43"/>
    </row>
    <row r="5666" spans="2:27" x14ac:dyDescent="0.25">
      <c r="B5666" s="42"/>
      <c r="AA5666" s="43"/>
    </row>
    <row r="5667" spans="2:27" x14ac:dyDescent="0.25">
      <c r="B5667" s="42"/>
      <c r="AA5667" s="43"/>
    </row>
    <row r="5668" spans="2:27" x14ac:dyDescent="0.25">
      <c r="B5668" s="42"/>
      <c r="AA5668" s="43"/>
    </row>
    <row r="5669" spans="2:27" x14ac:dyDescent="0.25">
      <c r="B5669" s="42"/>
      <c r="AA5669" s="43"/>
    </row>
    <row r="5670" spans="2:27" x14ac:dyDescent="0.25">
      <c r="B5670" s="42"/>
      <c r="AA5670" s="43"/>
    </row>
    <row r="5671" spans="2:27" x14ac:dyDescent="0.25">
      <c r="B5671" s="42"/>
      <c r="AA5671" s="43"/>
    </row>
    <row r="5672" spans="2:27" x14ac:dyDescent="0.25">
      <c r="B5672" s="42"/>
      <c r="AA5672" s="43"/>
    </row>
    <row r="5673" spans="2:27" x14ac:dyDescent="0.25">
      <c r="B5673" s="42"/>
      <c r="AA5673" s="43"/>
    </row>
    <row r="5674" spans="2:27" x14ac:dyDescent="0.25">
      <c r="B5674" s="42"/>
      <c r="AA5674" s="43"/>
    </row>
    <row r="5675" spans="2:27" x14ac:dyDescent="0.25">
      <c r="B5675" s="42"/>
      <c r="AA5675" s="43"/>
    </row>
    <row r="5676" spans="2:27" x14ac:dyDescent="0.25">
      <c r="B5676" s="42"/>
      <c r="AA5676" s="43"/>
    </row>
    <row r="5677" spans="2:27" x14ac:dyDescent="0.25">
      <c r="B5677" s="42"/>
      <c r="AA5677" s="43"/>
    </row>
    <row r="5678" spans="2:27" x14ac:dyDescent="0.25">
      <c r="B5678" s="42"/>
      <c r="AA5678" s="43"/>
    </row>
    <row r="5679" spans="2:27" x14ac:dyDescent="0.25">
      <c r="B5679" s="42"/>
      <c r="AA5679" s="43"/>
    </row>
    <row r="5680" spans="2:27" x14ac:dyDescent="0.25">
      <c r="B5680" s="42"/>
      <c r="AA5680" s="43"/>
    </row>
    <row r="5681" spans="2:27" x14ac:dyDescent="0.25">
      <c r="B5681" s="42"/>
      <c r="AA5681" s="43"/>
    </row>
    <row r="5682" spans="2:27" x14ac:dyDescent="0.25">
      <c r="B5682" s="42"/>
      <c r="AA5682" s="43"/>
    </row>
    <row r="5683" spans="2:27" x14ac:dyDescent="0.25">
      <c r="B5683" s="42"/>
      <c r="AA5683" s="43"/>
    </row>
    <row r="5684" spans="2:27" x14ac:dyDescent="0.25">
      <c r="B5684" s="42"/>
      <c r="AA5684" s="43"/>
    </row>
    <row r="5685" spans="2:27" x14ac:dyDescent="0.25">
      <c r="B5685" s="42"/>
      <c r="AA5685" s="43"/>
    </row>
    <row r="5686" spans="2:27" x14ac:dyDescent="0.25">
      <c r="B5686" s="42"/>
      <c r="AA5686" s="43"/>
    </row>
    <row r="5687" spans="2:27" x14ac:dyDescent="0.25">
      <c r="B5687" s="42"/>
      <c r="AA5687" s="43"/>
    </row>
    <row r="5688" spans="2:27" x14ac:dyDescent="0.25">
      <c r="B5688" s="42"/>
      <c r="AA5688" s="43"/>
    </row>
    <row r="5689" spans="2:27" x14ac:dyDescent="0.25">
      <c r="B5689" s="42"/>
      <c r="AA5689" s="43"/>
    </row>
    <row r="5690" spans="2:27" x14ac:dyDescent="0.25">
      <c r="B5690" s="42"/>
      <c r="AA5690" s="43"/>
    </row>
    <row r="5691" spans="2:27" x14ac:dyDescent="0.25">
      <c r="B5691" s="42"/>
      <c r="AA5691" s="43"/>
    </row>
    <row r="5692" spans="2:27" x14ac:dyDescent="0.25">
      <c r="B5692" s="42"/>
      <c r="AA5692" s="43"/>
    </row>
    <row r="5693" spans="2:27" x14ac:dyDescent="0.25">
      <c r="B5693" s="42"/>
      <c r="AA5693" s="43"/>
    </row>
    <row r="5694" spans="2:27" x14ac:dyDescent="0.25">
      <c r="B5694" s="42"/>
      <c r="AA5694" s="43"/>
    </row>
    <row r="5695" spans="2:27" x14ac:dyDescent="0.25">
      <c r="B5695" s="42"/>
      <c r="AA5695" s="43"/>
    </row>
    <row r="5696" spans="2:27" x14ac:dyDescent="0.25">
      <c r="B5696" s="42"/>
      <c r="AA5696" s="43"/>
    </row>
    <row r="5697" spans="2:27" x14ac:dyDescent="0.25">
      <c r="B5697" s="42"/>
      <c r="AA5697" s="43"/>
    </row>
    <row r="5698" spans="2:27" x14ac:dyDescent="0.25">
      <c r="B5698" s="42"/>
      <c r="AA5698" s="43"/>
    </row>
    <row r="5699" spans="2:27" x14ac:dyDescent="0.25">
      <c r="B5699" s="42"/>
      <c r="AA5699" s="43"/>
    </row>
    <row r="5700" spans="2:27" x14ac:dyDescent="0.25">
      <c r="B5700" s="42"/>
      <c r="AA5700" s="43"/>
    </row>
    <row r="5701" spans="2:27" x14ac:dyDescent="0.25">
      <c r="B5701" s="42"/>
      <c r="AA5701" s="43"/>
    </row>
    <row r="5702" spans="2:27" x14ac:dyDescent="0.25">
      <c r="B5702" s="42"/>
      <c r="AA5702" s="43"/>
    </row>
    <row r="5703" spans="2:27" x14ac:dyDescent="0.25">
      <c r="B5703" s="42"/>
      <c r="AA5703" s="43"/>
    </row>
    <row r="5704" spans="2:27" x14ac:dyDescent="0.25">
      <c r="B5704" s="42"/>
      <c r="AA5704" s="43"/>
    </row>
    <row r="5705" spans="2:27" x14ac:dyDescent="0.25">
      <c r="B5705" s="42"/>
      <c r="AA5705" s="43"/>
    </row>
    <row r="5706" spans="2:27" x14ac:dyDescent="0.25">
      <c r="B5706" s="42"/>
      <c r="AA5706" s="43"/>
    </row>
    <row r="5707" spans="2:27" x14ac:dyDescent="0.25">
      <c r="B5707" s="42"/>
      <c r="AA5707" s="43"/>
    </row>
    <row r="5708" spans="2:27" x14ac:dyDescent="0.25">
      <c r="B5708" s="42"/>
      <c r="AA5708" s="43"/>
    </row>
    <row r="5709" spans="2:27" x14ac:dyDescent="0.25">
      <c r="B5709" s="42"/>
      <c r="AA5709" s="43"/>
    </row>
    <row r="5710" spans="2:27" x14ac:dyDescent="0.25">
      <c r="B5710" s="42"/>
      <c r="AA5710" s="43"/>
    </row>
    <row r="5711" spans="2:27" x14ac:dyDescent="0.25">
      <c r="B5711" s="42"/>
      <c r="AA5711" s="43"/>
    </row>
    <row r="5712" spans="2:27" x14ac:dyDescent="0.25">
      <c r="B5712" s="42"/>
      <c r="AA5712" s="43"/>
    </row>
    <row r="5713" spans="2:27" x14ac:dyDescent="0.25">
      <c r="B5713" s="42"/>
      <c r="AA5713" s="43"/>
    </row>
    <row r="5714" spans="2:27" x14ac:dyDescent="0.25">
      <c r="B5714" s="42"/>
      <c r="AA5714" s="43"/>
    </row>
    <row r="5715" spans="2:27" x14ac:dyDescent="0.25">
      <c r="B5715" s="42"/>
      <c r="AA5715" s="43"/>
    </row>
    <row r="5716" spans="2:27" x14ac:dyDescent="0.25">
      <c r="B5716" s="42"/>
      <c r="AA5716" s="43"/>
    </row>
    <row r="5717" spans="2:27" x14ac:dyDescent="0.25">
      <c r="B5717" s="42"/>
      <c r="AA5717" s="43"/>
    </row>
    <row r="5718" spans="2:27" x14ac:dyDescent="0.25">
      <c r="B5718" s="42"/>
      <c r="AA5718" s="43"/>
    </row>
    <row r="5719" spans="2:27" x14ac:dyDescent="0.25">
      <c r="B5719" s="42"/>
      <c r="AA5719" s="43"/>
    </row>
    <row r="5720" spans="2:27" x14ac:dyDescent="0.25">
      <c r="B5720" s="42"/>
      <c r="AA5720" s="43"/>
    </row>
    <row r="5721" spans="2:27" x14ac:dyDescent="0.25">
      <c r="B5721" s="42"/>
      <c r="AA5721" s="43"/>
    </row>
    <row r="5722" spans="2:27" x14ac:dyDescent="0.25">
      <c r="B5722" s="42"/>
      <c r="AA5722" s="43"/>
    </row>
    <row r="5723" spans="2:27" x14ac:dyDescent="0.25">
      <c r="B5723" s="42"/>
      <c r="AA5723" s="43"/>
    </row>
    <row r="5724" spans="2:27" x14ac:dyDescent="0.25">
      <c r="B5724" s="42"/>
      <c r="AA5724" s="43"/>
    </row>
    <row r="5725" spans="2:27" x14ac:dyDescent="0.25">
      <c r="B5725" s="42"/>
      <c r="AA5725" s="43"/>
    </row>
    <row r="5726" spans="2:27" x14ac:dyDescent="0.25">
      <c r="B5726" s="42"/>
      <c r="AA5726" s="43"/>
    </row>
    <row r="5727" spans="2:27" x14ac:dyDescent="0.25">
      <c r="B5727" s="42"/>
      <c r="AA5727" s="43"/>
    </row>
    <row r="5728" spans="2:27" x14ac:dyDescent="0.25">
      <c r="B5728" s="42"/>
      <c r="AA5728" s="43"/>
    </row>
    <row r="5729" spans="2:27" x14ac:dyDescent="0.25">
      <c r="B5729" s="42"/>
      <c r="AA5729" s="43"/>
    </row>
    <row r="5730" spans="2:27" x14ac:dyDescent="0.25">
      <c r="B5730" s="42"/>
      <c r="AA5730" s="43"/>
    </row>
    <row r="5731" spans="2:27" x14ac:dyDescent="0.25">
      <c r="B5731" s="42"/>
      <c r="AA5731" s="43"/>
    </row>
    <row r="5732" spans="2:27" x14ac:dyDescent="0.25">
      <c r="B5732" s="42"/>
      <c r="AA5732" s="43"/>
    </row>
    <row r="5733" spans="2:27" x14ac:dyDescent="0.25">
      <c r="B5733" s="42"/>
      <c r="AA5733" s="43"/>
    </row>
    <row r="5734" spans="2:27" x14ac:dyDescent="0.25">
      <c r="B5734" s="42"/>
      <c r="AA5734" s="43"/>
    </row>
    <row r="5735" spans="2:27" x14ac:dyDescent="0.25">
      <c r="B5735" s="42"/>
      <c r="AA5735" s="43"/>
    </row>
    <row r="5736" spans="2:27" x14ac:dyDescent="0.25">
      <c r="B5736" s="42"/>
      <c r="AA5736" s="43"/>
    </row>
    <row r="5737" spans="2:27" x14ac:dyDescent="0.25">
      <c r="B5737" s="42"/>
      <c r="AA5737" s="43"/>
    </row>
    <row r="5738" spans="2:27" x14ac:dyDescent="0.25">
      <c r="B5738" s="42"/>
      <c r="AA5738" s="43"/>
    </row>
    <row r="5739" spans="2:27" x14ac:dyDescent="0.25">
      <c r="B5739" s="42"/>
      <c r="AA5739" s="43"/>
    </row>
    <row r="5740" spans="2:27" x14ac:dyDescent="0.25">
      <c r="B5740" s="42"/>
      <c r="AA5740" s="43"/>
    </row>
    <row r="5741" spans="2:27" x14ac:dyDescent="0.25">
      <c r="B5741" s="42"/>
      <c r="AA5741" s="43"/>
    </row>
    <row r="5742" spans="2:27" x14ac:dyDescent="0.25">
      <c r="B5742" s="42"/>
      <c r="AA5742" s="43"/>
    </row>
    <row r="5743" spans="2:27" x14ac:dyDescent="0.25">
      <c r="B5743" s="42"/>
      <c r="AA5743" s="43"/>
    </row>
    <row r="5744" spans="2:27" x14ac:dyDescent="0.25">
      <c r="B5744" s="42"/>
      <c r="AA5744" s="43"/>
    </row>
    <row r="5745" spans="2:27" x14ac:dyDescent="0.25">
      <c r="B5745" s="42"/>
      <c r="AA5745" s="43"/>
    </row>
    <row r="5746" spans="2:27" x14ac:dyDescent="0.25">
      <c r="B5746" s="42"/>
      <c r="AA5746" s="43"/>
    </row>
    <row r="5747" spans="2:27" x14ac:dyDescent="0.25">
      <c r="B5747" s="42"/>
      <c r="AA5747" s="43"/>
    </row>
    <row r="5748" spans="2:27" x14ac:dyDescent="0.25">
      <c r="B5748" s="42"/>
      <c r="AA5748" s="43"/>
    </row>
    <row r="5749" spans="2:27" x14ac:dyDescent="0.25">
      <c r="B5749" s="42"/>
      <c r="AA5749" s="43"/>
    </row>
    <row r="5750" spans="2:27" x14ac:dyDescent="0.25">
      <c r="B5750" s="42"/>
      <c r="AA5750" s="43"/>
    </row>
    <row r="5751" spans="2:27" x14ac:dyDescent="0.25">
      <c r="B5751" s="42"/>
      <c r="AA5751" s="43"/>
    </row>
    <row r="5752" spans="2:27" x14ac:dyDescent="0.25">
      <c r="B5752" s="42"/>
      <c r="AA5752" s="43"/>
    </row>
    <row r="5753" spans="2:27" x14ac:dyDescent="0.25">
      <c r="B5753" s="42"/>
      <c r="AA5753" s="43"/>
    </row>
    <row r="5754" spans="2:27" x14ac:dyDescent="0.25">
      <c r="B5754" s="42"/>
      <c r="AA5754" s="43"/>
    </row>
    <row r="5755" spans="2:27" x14ac:dyDescent="0.25">
      <c r="B5755" s="42"/>
      <c r="AA5755" s="43"/>
    </row>
    <row r="5756" spans="2:27" x14ac:dyDescent="0.25">
      <c r="B5756" s="42"/>
      <c r="AA5756" s="43"/>
    </row>
    <row r="5757" spans="2:27" x14ac:dyDescent="0.25">
      <c r="B5757" s="42"/>
      <c r="AA5757" s="43"/>
    </row>
    <row r="5758" spans="2:27" x14ac:dyDescent="0.25">
      <c r="B5758" s="42"/>
      <c r="AA5758" s="43"/>
    </row>
    <row r="5759" spans="2:27" x14ac:dyDescent="0.25">
      <c r="B5759" s="42"/>
      <c r="AA5759" s="43"/>
    </row>
    <row r="5760" spans="2:27" x14ac:dyDescent="0.25">
      <c r="B5760" s="42"/>
      <c r="AA5760" s="43"/>
    </row>
    <row r="5761" spans="2:27" x14ac:dyDescent="0.25">
      <c r="B5761" s="42"/>
      <c r="AA5761" s="43"/>
    </row>
    <row r="5762" spans="2:27" x14ac:dyDescent="0.25">
      <c r="B5762" s="42"/>
      <c r="AA5762" s="43"/>
    </row>
    <row r="5763" spans="2:27" x14ac:dyDescent="0.25">
      <c r="B5763" s="42"/>
      <c r="AA5763" s="43"/>
    </row>
    <row r="5764" spans="2:27" x14ac:dyDescent="0.25">
      <c r="B5764" s="42"/>
      <c r="AA5764" s="43"/>
    </row>
    <row r="5765" spans="2:27" x14ac:dyDescent="0.25">
      <c r="B5765" s="42"/>
      <c r="AA5765" s="43"/>
    </row>
    <row r="5766" spans="2:27" x14ac:dyDescent="0.25">
      <c r="B5766" s="42"/>
      <c r="AA5766" s="43"/>
    </row>
    <row r="5767" spans="2:27" x14ac:dyDescent="0.25">
      <c r="B5767" s="42"/>
      <c r="AA5767" s="43"/>
    </row>
    <row r="5768" spans="2:27" x14ac:dyDescent="0.25">
      <c r="B5768" s="42"/>
      <c r="AA5768" s="43"/>
    </row>
    <row r="5769" spans="2:27" x14ac:dyDescent="0.25">
      <c r="B5769" s="42"/>
      <c r="AA5769" s="43"/>
    </row>
    <row r="5770" spans="2:27" x14ac:dyDescent="0.25">
      <c r="B5770" s="42"/>
      <c r="AA5770" s="43"/>
    </row>
    <row r="5771" spans="2:27" x14ac:dyDescent="0.25">
      <c r="B5771" s="42"/>
      <c r="AA5771" s="43"/>
    </row>
    <row r="5772" spans="2:27" x14ac:dyDescent="0.25">
      <c r="B5772" s="42"/>
      <c r="AA5772" s="43"/>
    </row>
    <row r="5773" spans="2:27" x14ac:dyDescent="0.25">
      <c r="B5773" s="42"/>
      <c r="AA5773" s="43"/>
    </row>
    <row r="5774" spans="2:27" x14ac:dyDescent="0.25">
      <c r="B5774" s="42"/>
      <c r="AA5774" s="43"/>
    </row>
    <row r="5775" spans="2:27" x14ac:dyDescent="0.25">
      <c r="B5775" s="42"/>
      <c r="AA5775" s="43"/>
    </row>
    <row r="5776" spans="2:27" x14ac:dyDescent="0.25">
      <c r="B5776" s="42"/>
      <c r="AA5776" s="43"/>
    </row>
    <row r="5777" spans="2:27" x14ac:dyDescent="0.25">
      <c r="B5777" s="42"/>
      <c r="AA5777" s="43"/>
    </row>
    <row r="5778" spans="2:27" x14ac:dyDescent="0.25">
      <c r="B5778" s="42"/>
      <c r="AA5778" s="43"/>
    </row>
    <row r="5779" spans="2:27" x14ac:dyDescent="0.25">
      <c r="B5779" s="42"/>
      <c r="AA5779" s="43"/>
    </row>
    <row r="5780" spans="2:27" x14ac:dyDescent="0.25">
      <c r="B5780" s="42"/>
      <c r="AA5780" s="43"/>
    </row>
    <row r="5781" spans="2:27" x14ac:dyDescent="0.25">
      <c r="B5781" s="42"/>
      <c r="AA5781" s="43"/>
    </row>
    <row r="5782" spans="2:27" x14ac:dyDescent="0.25">
      <c r="B5782" s="42"/>
      <c r="AA5782" s="43"/>
    </row>
    <row r="5783" spans="2:27" x14ac:dyDescent="0.25">
      <c r="B5783" s="42"/>
      <c r="AA5783" s="43"/>
    </row>
    <row r="5784" spans="2:27" x14ac:dyDescent="0.25">
      <c r="B5784" s="42"/>
      <c r="AA5784" s="43"/>
    </row>
    <row r="5785" spans="2:27" x14ac:dyDescent="0.25">
      <c r="B5785" s="42"/>
      <c r="AA5785" s="43"/>
    </row>
    <row r="5786" spans="2:27" x14ac:dyDescent="0.25">
      <c r="B5786" s="42"/>
      <c r="AA5786" s="43"/>
    </row>
    <row r="5787" spans="2:27" x14ac:dyDescent="0.25">
      <c r="B5787" s="42"/>
      <c r="AA5787" s="43"/>
    </row>
    <row r="5788" spans="2:27" x14ac:dyDescent="0.25">
      <c r="B5788" s="42"/>
      <c r="AA5788" s="43"/>
    </row>
    <row r="5789" spans="2:27" x14ac:dyDescent="0.25">
      <c r="B5789" s="42"/>
      <c r="AA5789" s="43"/>
    </row>
    <row r="5790" spans="2:27" x14ac:dyDescent="0.25">
      <c r="B5790" s="42"/>
      <c r="AA5790" s="43"/>
    </row>
    <row r="5791" spans="2:27" x14ac:dyDescent="0.25">
      <c r="B5791" s="42"/>
      <c r="AA5791" s="43"/>
    </row>
    <row r="5792" spans="2:27" x14ac:dyDescent="0.25">
      <c r="B5792" s="42"/>
      <c r="AA5792" s="43"/>
    </row>
    <row r="5793" spans="2:27" x14ac:dyDescent="0.25">
      <c r="B5793" s="42"/>
      <c r="AA5793" s="43"/>
    </row>
    <row r="5794" spans="2:27" x14ac:dyDescent="0.25">
      <c r="B5794" s="42"/>
      <c r="AA5794" s="43"/>
    </row>
    <row r="5795" spans="2:27" x14ac:dyDescent="0.25">
      <c r="B5795" s="42"/>
      <c r="AA5795" s="43"/>
    </row>
    <row r="5796" spans="2:27" x14ac:dyDescent="0.25">
      <c r="B5796" s="42"/>
      <c r="AA5796" s="43"/>
    </row>
    <row r="5797" spans="2:27" x14ac:dyDescent="0.25">
      <c r="B5797" s="42"/>
      <c r="AA5797" s="43"/>
    </row>
    <row r="5798" spans="2:27" x14ac:dyDescent="0.25">
      <c r="B5798" s="42"/>
      <c r="AA5798" s="43"/>
    </row>
    <row r="5799" spans="2:27" x14ac:dyDescent="0.25">
      <c r="B5799" s="42"/>
      <c r="AA5799" s="43"/>
    </row>
    <row r="5800" spans="2:27" x14ac:dyDescent="0.25">
      <c r="B5800" s="42"/>
      <c r="AA5800" s="43"/>
    </row>
    <row r="5801" spans="2:27" x14ac:dyDescent="0.25">
      <c r="B5801" s="42"/>
      <c r="AA5801" s="43"/>
    </row>
    <row r="5802" spans="2:27" x14ac:dyDescent="0.25">
      <c r="B5802" s="42"/>
      <c r="AA5802" s="43"/>
    </row>
    <row r="5803" spans="2:27" x14ac:dyDescent="0.25">
      <c r="B5803" s="42"/>
      <c r="AA5803" s="43"/>
    </row>
    <row r="5804" spans="2:27" x14ac:dyDescent="0.25">
      <c r="B5804" s="42"/>
      <c r="AA5804" s="43"/>
    </row>
    <row r="5805" spans="2:27" x14ac:dyDescent="0.25">
      <c r="B5805" s="42"/>
      <c r="AA5805" s="43"/>
    </row>
    <row r="5806" spans="2:27" x14ac:dyDescent="0.25">
      <c r="B5806" s="42"/>
      <c r="AA5806" s="43"/>
    </row>
    <row r="5807" spans="2:27" x14ac:dyDescent="0.25">
      <c r="B5807" s="42"/>
      <c r="AA5807" s="43"/>
    </row>
    <row r="5808" spans="2:27" x14ac:dyDescent="0.25">
      <c r="B5808" s="42"/>
      <c r="AA5808" s="43"/>
    </row>
    <row r="5809" spans="2:27" x14ac:dyDescent="0.25">
      <c r="B5809" s="42"/>
      <c r="AA5809" s="43"/>
    </row>
    <row r="5810" spans="2:27" x14ac:dyDescent="0.25">
      <c r="B5810" s="42"/>
      <c r="AA5810" s="43"/>
    </row>
    <row r="5811" spans="2:27" x14ac:dyDescent="0.25">
      <c r="B5811" s="42"/>
      <c r="AA5811" s="43"/>
    </row>
    <row r="5812" spans="2:27" x14ac:dyDescent="0.25">
      <c r="B5812" s="42"/>
      <c r="AA5812" s="43"/>
    </row>
    <row r="5813" spans="2:27" x14ac:dyDescent="0.25">
      <c r="B5813" s="42"/>
      <c r="AA5813" s="43"/>
    </row>
    <row r="5814" spans="2:27" x14ac:dyDescent="0.25">
      <c r="B5814" s="42"/>
      <c r="AA5814" s="43"/>
    </row>
    <row r="5815" spans="2:27" x14ac:dyDescent="0.25">
      <c r="B5815" s="42"/>
      <c r="AA5815" s="43"/>
    </row>
    <row r="5816" spans="2:27" x14ac:dyDescent="0.25">
      <c r="B5816" s="42"/>
      <c r="AA5816" s="43"/>
    </row>
    <row r="5817" spans="2:27" x14ac:dyDescent="0.25">
      <c r="B5817" s="42"/>
      <c r="AA5817" s="43"/>
    </row>
    <row r="5818" spans="2:27" x14ac:dyDescent="0.25">
      <c r="B5818" s="42"/>
      <c r="AA5818" s="43"/>
    </row>
    <row r="5819" spans="2:27" x14ac:dyDescent="0.25">
      <c r="B5819" s="42"/>
      <c r="AA5819" s="43"/>
    </row>
    <row r="5820" spans="2:27" x14ac:dyDescent="0.25">
      <c r="B5820" s="42"/>
      <c r="AA5820" s="43"/>
    </row>
    <row r="5821" spans="2:27" x14ac:dyDescent="0.25">
      <c r="B5821" s="42"/>
      <c r="AA5821" s="43"/>
    </row>
    <row r="5822" spans="2:27" x14ac:dyDescent="0.25">
      <c r="B5822" s="42"/>
      <c r="AA5822" s="43"/>
    </row>
    <row r="5823" spans="2:27" x14ac:dyDescent="0.25">
      <c r="B5823" s="42"/>
      <c r="AA5823" s="43"/>
    </row>
    <row r="5824" spans="2:27" x14ac:dyDescent="0.25">
      <c r="B5824" s="42"/>
      <c r="AA5824" s="43"/>
    </row>
    <row r="5825" spans="2:27" x14ac:dyDescent="0.25">
      <c r="B5825" s="42"/>
      <c r="AA5825" s="43"/>
    </row>
    <row r="5826" spans="2:27" x14ac:dyDescent="0.25">
      <c r="B5826" s="42"/>
      <c r="AA5826" s="43"/>
    </row>
    <row r="5827" spans="2:27" x14ac:dyDescent="0.25">
      <c r="B5827" s="42"/>
      <c r="AA5827" s="43"/>
    </row>
    <row r="5828" spans="2:27" x14ac:dyDescent="0.25">
      <c r="B5828" s="42"/>
      <c r="AA5828" s="43"/>
    </row>
    <row r="5829" spans="2:27" x14ac:dyDescent="0.25">
      <c r="B5829" s="42"/>
      <c r="AA5829" s="43"/>
    </row>
    <row r="5830" spans="2:27" x14ac:dyDescent="0.25">
      <c r="B5830" s="42"/>
      <c r="AA5830" s="43"/>
    </row>
    <row r="5831" spans="2:27" x14ac:dyDescent="0.25">
      <c r="B5831" s="42"/>
      <c r="AA5831" s="43"/>
    </row>
    <row r="5832" spans="2:27" x14ac:dyDescent="0.25">
      <c r="B5832" s="42"/>
      <c r="AA5832" s="43"/>
    </row>
    <row r="5833" spans="2:27" x14ac:dyDescent="0.25">
      <c r="B5833" s="42"/>
      <c r="AA5833" s="43"/>
    </row>
    <row r="5834" spans="2:27" x14ac:dyDescent="0.25">
      <c r="B5834" s="42"/>
      <c r="AA5834" s="43"/>
    </row>
    <row r="5835" spans="2:27" x14ac:dyDescent="0.25">
      <c r="B5835" s="42"/>
      <c r="AA5835" s="43"/>
    </row>
    <row r="5836" spans="2:27" x14ac:dyDescent="0.25">
      <c r="B5836" s="42"/>
      <c r="AA5836" s="43"/>
    </row>
    <row r="5837" spans="2:27" x14ac:dyDescent="0.25">
      <c r="B5837" s="42"/>
      <c r="AA5837" s="43"/>
    </row>
    <row r="5838" spans="2:27" x14ac:dyDescent="0.25">
      <c r="B5838" s="42"/>
      <c r="AA5838" s="43"/>
    </row>
    <row r="5839" spans="2:27" x14ac:dyDescent="0.25">
      <c r="B5839" s="42"/>
      <c r="AA5839" s="43"/>
    </row>
    <row r="5840" spans="2:27" x14ac:dyDescent="0.25">
      <c r="B5840" s="42"/>
      <c r="AA5840" s="43"/>
    </row>
    <row r="5841" spans="2:27" x14ac:dyDescent="0.25">
      <c r="B5841" s="42"/>
      <c r="AA5841" s="43"/>
    </row>
    <row r="5842" spans="2:27" x14ac:dyDescent="0.25">
      <c r="B5842" s="42"/>
      <c r="AA5842" s="43"/>
    </row>
    <row r="5843" spans="2:27" x14ac:dyDescent="0.25">
      <c r="B5843" s="42"/>
      <c r="AA5843" s="43"/>
    </row>
    <row r="5844" spans="2:27" x14ac:dyDescent="0.25">
      <c r="B5844" s="42"/>
      <c r="AA5844" s="43"/>
    </row>
    <row r="5845" spans="2:27" x14ac:dyDescent="0.25">
      <c r="B5845" s="42"/>
      <c r="AA5845" s="43"/>
    </row>
    <row r="5846" spans="2:27" x14ac:dyDescent="0.25">
      <c r="B5846" s="42"/>
      <c r="AA5846" s="43"/>
    </row>
    <row r="5847" spans="2:27" x14ac:dyDescent="0.25">
      <c r="B5847" s="42"/>
      <c r="AA5847" s="43"/>
    </row>
    <row r="5848" spans="2:27" x14ac:dyDescent="0.25">
      <c r="B5848" s="42"/>
      <c r="AA5848" s="43"/>
    </row>
    <row r="5849" spans="2:27" x14ac:dyDescent="0.25">
      <c r="B5849" s="42"/>
      <c r="AA5849" s="43"/>
    </row>
    <row r="5850" spans="2:27" x14ac:dyDescent="0.25">
      <c r="B5850" s="42"/>
      <c r="AA5850" s="43"/>
    </row>
    <row r="5851" spans="2:27" x14ac:dyDescent="0.25">
      <c r="B5851" s="42"/>
      <c r="AA5851" s="43"/>
    </row>
    <row r="5852" spans="2:27" x14ac:dyDescent="0.25">
      <c r="B5852" s="42"/>
      <c r="AA5852" s="43"/>
    </row>
    <row r="5853" spans="2:27" x14ac:dyDescent="0.25">
      <c r="B5853" s="42"/>
      <c r="AA5853" s="43"/>
    </row>
    <row r="5854" spans="2:27" x14ac:dyDescent="0.25">
      <c r="B5854" s="42"/>
      <c r="AA5854" s="43"/>
    </row>
    <row r="5855" spans="2:27" x14ac:dyDescent="0.25">
      <c r="B5855" s="42"/>
      <c r="AA5855" s="43"/>
    </row>
    <row r="5856" spans="2:27" x14ac:dyDescent="0.25">
      <c r="B5856" s="42"/>
      <c r="AA5856" s="43"/>
    </row>
    <row r="5857" spans="2:27" x14ac:dyDescent="0.25">
      <c r="B5857" s="42"/>
      <c r="AA5857" s="43"/>
    </row>
    <row r="5858" spans="2:27" x14ac:dyDescent="0.25">
      <c r="B5858" s="42"/>
      <c r="AA5858" s="43"/>
    </row>
    <row r="5859" spans="2:27" x14ac:dyDescent="0.25">
      <c r="B5859" s="42"/>
      <c r="AA5859" s="43"/>
    </row>
    <row r="5860" spans="2:27" x14ac:dyDescent="0.25">
      <c r="B5860" s="42"/>
      <c r="AA5860" s="43"/>
    </row>
    <row r="5861" spans="2:27" x14ac:dyDescent="0.25">
      <c r="B5861" s="42"/>
      <c r="AA5861" s="43"/>
    </row>
    <row r="5862" spans="2:27" x14ac:dyDescent="0.25">
      <c r="B5862" s="42"/>
      <c r="AA5862" s="43"/>
    </row>
    <row r="5863" spans="2:27" x14ac:dyDescent="0.25">
      <c r="B5863" s="42"/>
      <c r="AA5863" s="43"/>
    </row>
    <row r="5864" spans="2:27" x14ac:dyDescent="0.25">
      <c r="B5864" s="42"/>
      <c r="AA5864" s="43"/>
    </row>
    <row r="5865" spans="2:27" x14ac:dyDescent="0.25">
      <c r="B5865" s="42"/>
      <c r="AA5865" s="43"/>
    </row>
    <row r="5866" spans="2:27" x14ac:dyDescent="0.25">
      <c r="B5866" s="42"/>
      <c r="AA5866" s="43"/>
    </row>
    <row r="5867" spans="2:27" x14ac:dyDescent="0.25">
      <c r="B5867" s="42"/>
      <c r="AA5867" s="43"/>
    </row>
    <row r="5868" spans="2:27" x14ac:dyDescent="0.25">
      <c r="B5868" s="42"/>
      <c r="AA5868" s="43"/>
    </row>
    <row r="5869" spans="2:27" x14ac:dyDescent="0.25">
      <c r="B5869" s="42"/>
      <c r="AA5869" s="43"/>
    </row>
    <row r="5870" spans="2:27" x14ac:dyDescent="0.25">
      <c r="B5870" s="42"/>
      <c r="AA5870" s="43"/>
    </row>
    <row r="5871" spans="2:27" x14ac:dyDescent="0.25">
      <c r="B5871" s="42"/>
      <c r="AA5871" s="43"/>
    </row>
    <row r="5872" spans="2:27" x14ac:dyDescent="0.25">
      <c r="B5872" s="42"/>
      <c r="AA5872" s="43"/>
    </row>
    <row r="5873" spans="2:27" x14ac:dyDescent="0.25">
      <c r="B5873" s="42"/>
      <c r="AA5873" s="43"/>
    </row>
    <row r="5874" spans="2:27" x14ac:dyDescent="0.25">
      <c r="B5874" s="42"/>
      <c r="AA5874" s="43"/>
    </row>
    <row r="5875" spans="2:27" x14ac:dyDescent="0.25">
      <c r="B5875" s="42"/>
      <c r="AA5875" s="43"/>
    </row>
    <row r="5876" spans="2:27" x14ac:dyDescent="0.25">
      <c r="B5876" s="42"/>
      <c r="AA5876" s="43"/>
    </row>
    <row r="5877" spans="2:27" x14ac:dyDescent="0.25">
      <c r="B5877" s="42"/>
      <c r="AA5877" s="43"/>
    </row>
    <row r="5878" spans="2:27" x14ac:dyDescent="0.25">
      <c r="B5878" s="42"/>
      <c r="AA5878" s="43"/>
    </row>
    <row r="5879" spans="2:27" x14ac:dyDescent="0.25">
      <c r="B5879" s="42"/>
      <c r="AA5879" s="43"/>
    </row>
    <row r="5880" spans="2:27" x14ac:dyDescent="0.25">
      <c r="B5880" s="42"/>
      <c r="AA5880" s="43"/>
    </row>
    <row r="5881" spans="2:27" x14ac:dyDescent="0.25">
      <c r="B5881" s="42"/>
      <c r="AA5881" s="43"/>
    </row>
    <row r="5882" spans="2:27" x14ac:dyDescent="0.25">
      <c r="B5882" s="42"/>
      <c r="AA5882" s="43"/>
    </row>
    <row r="5883" spans="2:27" x14ac:dyDescent="0.25">
      <c r="B5883" s="42"/>
      <c r="AA5883" s="43"/>
    </row>
    <row r="5884" spans="2:27" x14ac:dyDescent="0.25">
      <c r="B5884" s="42"/>
      <c r="AA5884" s="43"/>
    </row>
    <row r="5885" spans="2:27" x14ac:dyDescent="0.25">
      <c r="B5885" s="42"/>
      <c r="AA5885" s="43"/>
    </row>
    <row r="5886" spans="2:27" x14ac:dyDescent="0.25">
      <c r="B5886" s="42"/>
      <c r="AA5886" s="43"/>
    </row>
    <row r="5887" spans="2:27" x14ac:dyDescent="0.25">
      <c r="B5887" s="42"/>
      <c r="AA5887" s="43"/>
    </row>
    <row r="5888" spans="2:27" x14ac:dyDescent="0.25">
      <c r="B5888" s="42"/>
      <c r="AA5888" s="43"/>
    </row>
    <row r="5889" spans="2:27" x14ac:dyDescent="0.25">
      <c r="B5889" s="42"/>
      <c r="AA5889" s="43"/>
    </row>
    <row r="5890" spans="2:27" x14ac:dyDescent="0.25">
      <c r="B5890" s="42"/>
      <c r="AA5890" s="43"/>
    </row>
    <row r="5891" spans="2:27" x14ac:dyDescent="0.25">
      <c r="B5891" s="42"/>
      <c r="AA5891" s="43"/>
    </row>
    <row r="5892" spans="2:27" x14ac:dyDescent="0.25">
      <c r="B5892" s="42"/>
      <c r="AA5892" s="43"/>
    </row>
    <row r="5893" spans="2:27" x14ac:dyDescent="0.25">
      <c r="B5893" s="42"/>
      <c r="AA5893" s="43"/>
    </row>
    <row r="5894" spans="2:27" x14ac:dyDescent="0.25">
      <c r="B5894" s="42"/>
      <c r="AA5894" s="43"/>
    </row>
    <row r="5895" spans="2:27" x14ac:dyDescent="0.25">
      <c r="B5895" s="42"/>
      <c r="AA5895" s="43"/>
    </row>
    <row r="5896" spans="2:27" x14ac:dyDescent="0.25">
      <c r="B5896" s="42"/>
      <c r="AA5896" s="43"/>
    </row>
    <row r="5897" spans="2:27" x14ac:dyDescent="0.25">
      <c r="B5897" s="42"/>
      <c r="AA5897" s="43"/>
    </row>
    <row r="5898" spans="2:27" x14ac:dyDescent="0.25">
      <c r="B5898" s="42"/>
      <c r="AA5898" s="43"/>
    </row>
    <row r="5899" spans="2:27" x14ac:dyDescent="0.25">
      <c r="B5899" s="42"/>
      <c r="AA5899" s="43"/>
    </row>
    <row r="5900" spans="2:27" x14ac:dyDescent="0.25">
      <c r="B5900" s="42"/>
      <c r="AA5900" s="43"/>
    </row>
    <row r="5901" spans="2:27" x14ac:dyDescent="0.25">
      <c r="B5901" s="42"/>
      <c r="AA5901" s="43"/>
    </row>
    <row r="5902" spans="2:27" x14ac:dyDescent="0.25">
      <c r="B5902" s="42"/>
      <c r="AA5902" s="43"/>
    </row>
    <row r="5903" spans="2:27" x14ac:dyDescent="0.25">
      <c r="B5903" s="42"/>
      <c r="AA5903" s="43"/>
    </row>
    <row r="5904" spans="2:27" x14ac:dyDescent="0.25">
      <c r="B5904" s="42"/>
      <c r="AA5904" s="43"/>
    </row>
    <row r="5905" spans="2:27" x14ac:dyDescent="0.25">
      <c r="B5905" s="42"/>
      <c r="AA5905" s="43"/>
    </row>
    <row r="5906" spans="2:27" x14ac:dyDescent="0.25">
      <c r="B5906" s="42"/>
      <c r="AA5906" s="43"/>
    </row>
    <row r="5907" spans="2:27" x14ac:dyDescent="0.25">
      <c r="B5907" s="42"/>
      <c r="AA5907" s="43"/>
    </row>
    <row r="5908" spans="2:27" x14ac:dyDescent="0.25">
      <c r="B5908" s="42"/>
      <c r="AA5908" s="43"/>
    </row>
    <row r="5909" spans="2:27" x14ac:dyDescent="0.25">
      <c r="B5909" s="42"/>
      <c r="AA5909" s="43"/>
    </row>
    <row r="5910" spans="2:27" x14ac:dyDescent="0.25">
      <c r="B5910" s="42"/>
      <c r="AA5910" s="43"/>
    </row>
    <row r="5911" spans="2:27" x14ac:dyDescent="0.25">
      <c r="B5911" s="42"/>
      <c r="AA5911" s="43"/>
    </row>
    <row r="5912" spans="2:27" x14ac:dyDescent="0.25">
      <c r="B5912" s="42"/>
      <c r="AA5912" s="43"/>
    </row>
    <row r="5913" spans="2:27" x14ac:dyDescent="0.25">
      <c r="B5913" s="42"/>
      <c r="AA5913" s="43"/>
    </row>
    <row r="5914" spans="2:27" x14ac:dyDescent="0.25">
      <c r="B5914" s="42"/>
      <c r="AA5914" s="43"/>
    </row>
    <row r="5915" spans="2:27" x14ac:dyDescent="0.25">
      <c r="B5915" s="42"/>
      <c r="AA5915" s="43"/>
    </row>
    <row r="5916" spans="2:27" x14ac:dyDescent="0.25">
      <c r="B5916" s="42"/>
      <c r="AA5916" s="43"/>
    </row>
    <row r="5917" spans="2:27" x14ac:dyDescent="0.25">
      <c r="B5917" s="42"/>
      <c r="AA5917" s="43"/>
    </row>
    <row r="5918" spans="2:27" x14ac:dyDescent="0.25">
      <c r="B5918" s="42"/>
      <c r="AA5918" s="43"/>
    </row>
    <row r="5919" spans="2:27" x14ac:dyDescent="0.25">
      <c r="B5919" s="42"/>
      <c r="AA5919" s="43"/>
    </row>
    <row r="5920" spans="2:27" x14ac:dyDescent="0.25">
      <c r="B5920" s="42"/>
      <c r="AA5920" s="43"/>
    </row>
    <row r="5921" spans="2:27" x14ac:dyDescent="0.25">
      <c r="B5921" s="42"/>
      <c r="AA5921" s="43"/>
    </row>
    <row r="5922" spans="2:27" x14ac:dyDescent="0.25">
      <c r="B5922" s="42"/>
      <c r="AA5922" s="43"/>
    </row>
    <row r="5923" spans="2:27" x14ac:dyDescent="0.25">
      <c r="B5923" s="42"/>
      <c r="AA5923" s="43"/>
    </row>
    <row r="5924" spans="2:27" x14ac:dyDescent="0.25">
      <c r="B5924" s="42"/>
      <c r="AA5924" s="43"/>
    </row>
    <row r="5925" spans="2:27" x14ac:dyDescent="0.25">
      <c r="B5925" s="42"/>
      <c r="AA5925" s="43"/>
    </row>
    <row r="5926" spans="2:27" x14ac:dyDescent="0.25">
      <c r="B5926" s="42"/>
      <c r="AA5926" s="43"/>
    </row>
    <row r="5927" spans="2:27" x14ac:dyDescent="0.25">
      <c r="B5927" s="42"/>
      <c r="AA5927" s="43"/>
    </row>
    <row r="5928" spans="2:27" x14ac:dyDescent="0.25">
      <c r="B5928" s="42"/>
      <c r="AA5928" s="43"/>
    </row>
    <row r="5929" spans="2:27" x14ac:dyDescent="0.25">
      <c r="B5929" s="42"/>
      <c r="AA5929" s="43"/>
    </row>
    <row r="5930" spans="2:27" x14ac:dyDescent="0.25">
      <c r="B5930" s="42"/>
      <c r="AA5930" s="43"/>
    </row>
    <row r="5931" spans="2:27" x14ac:dyDescent="0.25">
      <c r="B5931" s="42"/>
      <c r="AA5931" s="43"/>
    </row>
    <row r="5932" spans="2:27" x14ac:dyDescent="0.25">
      <c r="B5932" s="42"/>
      <c r="AA5932" s="43"/>
    </row>
    <row r="5933" spans="2:27" x14ac:dyDescent="0.25">
      <c r="B5933" s="42"/>
      <c r="AA5933" s="43"/>
    </row>
    <row r="5934" spans="2:27" x14ac:dyDescent="0.25">
      <c r="B5934" s="42"/>
      <c r="AA5934" s="43"/>
    </row>
    <row r="5935" spans="2:27" x14ac:dyDescent="0.25">
      <c r="B5935" s="42"/>
      <c r="AA5935" s="43"/>
    </row>
    <row r="5936" spans="2:27" x14ac:dyDescent="0.25">
      <c r="B5936" s="42"/>
      <c r="AA5936" s="43"/>
    </row>
    <row r="5937" spans="2:27" x14ac:dyDescent="0.25">
      <c r="B5937" s="42"/>
      <c r="AA5937" s="43"/>
    </row>
    <row r="5938" spans="2:27" x14ac:dyDescent="0.25">
      <c r="B5938" s="42"/>
      <c r="AA5938" s="43"/>
    </row>
    <row r="5939" spans="2:27" x14ac:dyDescent="0.25">
      <c r="B5939" s="42"/>
      <c r="AA5939" s="43"/>
    </row>
    <row r="5940" spans="2:27" x14ac:dyDescent="0.25">
      <c r="B5940" s="42"/>
      <c r="AA5940" s="43"/>
    </row>
    <row r="5941" spans="2:27" x14ac:dyDescent="0.25">
      <c r="B5941" s="42"/>
      <c r="AA5941" s="43"/>
    </row>
    <row r="5942" spans="2:27" x14ac:dyDescent="0.25">
      <c r="B5942" s="42"/>
      <c r="AA5942" s="43"/>
    </row>
    <row r="5943" spans="2:27" x14ac:dyDescent="0.25">
      <c r="B5943" s="42"/>
      <c r="AA5943" s="43"/>
    </row>
    <row r="5944" spans="2:27" x14ac:dyDescent="0.25">
      <c r="B5944" s="42"/>
      <c r="AA5944" s="43"/>
    </row>
    <row r="5945" spans="2:27" x14ac:dyDescent="0.25">
      <c r="B5945" s="42"/>
      <c r="AA5945" s="43"/>
    </row>
    <row r="5946" spans="2:27" x14ac:dyDescent="0.25">
      <c r="B5946" s="42"/>
      <c r="AA5946" s="43"/>
    </row>
    <row r="5947" spans="2:27" x14ac:dyDescent="0.25">
      <c r="B5947" s="42"/>
      <c r="AA5947" s="43"/>
    </row>
    <row r="5948" spans="2:27" x14ac:dyDescent="0.25">
      <c r="B5948" s="42"/>
      <c r="AA5948" s="43"/>
    </row>
    <row r="5949" spans="2:27" x14ac:dyDescent="0.25">
      <c r="B5949" s="42"/>
      <c r="AA5949" s="43"/>
    </row>
    <row r="5950" spans="2:27" x14ac:dyDescent="0.25">
      <c r="B5950" s="42"/>
      <c r="AA5950" s="43"/>
    </row>
    <row r="5951" spans="2:27" x14ac:dyDescent="0.25">
      <c r="B5951" s="42"/>
      <c r="AA5951" s="43"/>
    </row>
    <row r="5952" spans="2:27" x14ac:dyDescent="0.25">
      <c r="B5952" s="42"/>
      <c r="AA5952" s="43"/>
    </row>
    <row r="5953" spans="2:27" x14ac:dyDescent="0.25">
      <c r="B5953" s="42"/>
      <c r="AA5953" s="43"/>
    </row>
    <row r="5954" spans="2:27" x14ac:dyDescent="0.25">
      <c r="B5954" s="42"/>
      <c r="AA5954" s="43"/>
    </row>
    <row r="5955" spans="2:27" x14ac:dyDescent="0.25">
      <c r="B5955" s="42"/>
      <c r="AA5955" s="43"/>
    </row>
    <row r="5956" spans="2:27" x14ac:dyDescent="0.25">
      <c r="B5956" s="42"/>
      <c r="AA5956" s="43"/>
    </row>
    <row r="5957" spans="2:27" x14ac:dyDescent="0.25">
      <c r="B5957" s="42"/>
      <c r="AA5957" s="43"/>
    </row>
    <row r="5958" spans="2:27" x14ac:dyDescent="0.25">
      <c r="B5958" s="42"/>
      <c r="AA5958" s="43"/>
    </row>
    <row r="5959" spans="2:27" x14ac:dyDescent="0.25">
      <c r="B5959" s="42"/>
      <c r="AA5959" s="43"/>
    </row>
    <row r="5960" spans="2:27" x14ac:dyDescent="0.25">
      <c r="B5960" s="42"/>
      <c r="AA5960" s="43"/>
    </row>
    <row r="5961" spans="2:27" x14ac:dyDescent="0.25">
      <c r="B5961" s="42"/>
      <c r="AA5961" s="43"/>
    </row>
    <row r="5962" spans="2:27" x14ac:dyDescent="0.25">
      <c r="B5962" s="42"/>
      <c r="AA5962" s="43"/>
    </row>
    <row r="5963" spans="2:27" x14ac:dyDescent="0.25">
      <c r="B5963" s="42"/>
      <c r="AA5963" s="43"/>
    </row>
    <row r="5964" spans="2:27" x14ac:dyDescent="0.25">
      <c r="B5964" s="42"/>
      <c r="AA5964" s="43"/>
    </row>
    <row r="5965" spans="2:27" x14ac:dyDescent="0.25">
      <c r="B5965" s="42"/>
      <c r="AA5965" s="43"/>
    </row>
    <row r="5966" spans="2:27" x14ac:dyDescent="0.25">
      <c r="B5966" s="42"/>
      <c r="AA5966" s="43"/>
    </row>
    <row r="5967" spans="2:27" x14ac:dyDescent="0.25">
      <c r="B5967" s="42"/>
      <c r="AA5967" s="43"/>
    </row>
    <row r="5968" spans="2:27" x14ac:dyDescent="0.25">
      <c r="B5968" s="42"/>
      <c r="AA5968" s="43"/>
    </row>
    <row r="5969" spans="2:27" x14ac:dyDescent="0.25">
      <c r="B5969" s="42"/>
      <c r="AA5969" s="43"/>
    </row>
    <row r="5970" spans="2:27" x14ac:dyDescent="0.25">
      <c r="B5970" s="42"/>
      <c r="AA5970" s="43"/>
    </row>
    <row r="5971" spans="2:27" x14ac:dyDescent="0.25">
      <c r="B5971" s="42"/>
      <c r="AA5971" s="43"/>
    </row>
    <row r="5972" spans="2:27" x14ac:dyDescent="0.25">
      <c r="B5972" s="42"/>
      <c r="AA5972" s="43"/>
    </row>
    <row r="5973" spans="2:27" x14ac:dyDescent="0.25">
      <c r="B5973" s="42"/>
      <c r="AA5973" s="43"/>
    </row>
    <row r="5974" spans="2:27" x14ac:dyDescent="0.25">
      <c r="B5974" s="42"/>
      <c r="AA5974" s="43"/>
    </row>
    <row r="5975" spans="2:27" x14ac:dyDescent="0.25">
      <c r="B5975" s="42"/>
      <c r="AA5975" s="43"/>
    </row>
    <row r="5976" spans="2:27" x14ac:dyDescent="0.25">
      <c r="B5976" s="42"/>
      <c r="AA5976" s="43"/>
    </row>
    <row r="5977" spans="2:27" x14ac:dyDescent="0.25">
      <c r="B5977" s="42"/>
      <c r="AA5977" s="43"/>
    </row>
    <row r="5978" spans="2:27" x14ac:dyDescent="0.25">
      <c r="B5978" s="42"/>
      <c r="AA5978" s="43"/>
    </row>
    <row r="5979" spans="2:27" x14ac:dyDescent="0.25">
      <c r="B5979" s="42"/>
      <c r="AA5979" s="43"/>
    </row>
    <row r="5980" spans="2:27" x14ac:dyDescent="0.25">
      <c r="B5980" s="42"/>
      <c r="AA5980" s="43"/>
    </row>
    <row r="5981" spans="2:27" x14ac:dyDescent="0.25">
      <c r="B5981" s="42"/>
      <c r="AA5981" s="43"/>
    </row>
    <row r="5982" spans="2:27" x14ac:dyDescent="0.25">
      <c r="B5982" s="42"/>
      <c r="AA5982" s="43"/>
    </row>
    <row r="5983" spans="2:27" x14ac:dyDescent="0.25">
      <c r="B5983" s="42"/>
      <c r="AA5983" s="43"/>
    </row>
    <row r="5984" spans="2:27" x14ac:dyDescent="0.25">
      <c r="B5984" s="42"/>
      <c r="AA5984" s="43"/>
    </row>
    <row r="5985" spans="2:27" x14ac:dyDescent="0.25">
      <c r="B5985" s="42"/>
      <c r="AA5985" s="43"/>
    </row>
    <row r="5986" spans="2:27" x14ac:dyDescent="0.25">
      <c r="B5986" s="42"/>
      <c r="AA5986" s="43"/>
    </row>
    <row r="5987" spans="2:27" x14ac:dyDescent="0.25">
      <c r="B5987" s="42"/>
      <c r="AA5987" s="43"/>
    </row>
    <row r="5988" spans="2:27" x14ac:dyDescent="0.25">
      <c r="B5988" s="42"/>
      <c r="AA5988" s="43"/>
    </row>
    <row r="5989" spans="2:27" x14ac:dyDescent="0.25">
      <c r="B5989" s="42"/>
      <c r="AA5989" s="43"/>
    </row>
    <row r="5990" spans="2:27" x14ac:dyDescent="0.25">
      <c r="B5990" s="42"/>
      <c r="AA5990" s="43"/>
    </row>
    <row r="5991" spans="2:27" x14ac:dyDescent="0.25">
      <c r="B5991" s="42"/>
      <c r="AA5991" s="43"/>
    </row>
    <row r="5992" spans="2:27" x14ac:dyDescent="0.25">
      <c r="B5992" s="42"/>
      <c r="AA5992" s="43"/>
    </row>
    <row r="5993" spans="2:27" x14ac:dyDescent="0.25">
      <c r="B5993" s="42"/>
      <c r="AA5993" s="43"/>
    </row>
    <row r="5994" spans="2:27" x14ac:dyDescent="0.25">
      <c r="B5994" s="42"/>
      <c r="AA5994" s="43"/>
    </row>
    <row r="5995" spans="2:27" x14ac:dyDescent="0.25">
      <c r="B5995" s="42"/>
      <c r="AA5995" s="43"/>
    </row>
    <row r="5996" spans="2:27" x14ac:dyDescent="0.25">
      <c r="B5996" s="42"/>
      <c r="AA5996" s="43"/>
    </row>
    <row r="5997" spans="2:27" x14ac:dyDescent="0.25">
      <c r="B5997" s="42"/>
      <c r="AA5997" s="43"/>
    </row>
    <row r="5998" spans="2:27" x14ac:dyDescent="0.25">
      <c r="B5998" s="42"/>
      <c r="AA5998" s="43"/>
    </row>
    <row r="5999" spans="2:27" x14ac:dyDescent="0.25">
      <c r="B5999" s="42"/>
      <c r="AA5999" s="43"/>
    </row>
    <row r="6000" spans="2:27" x14ac:dyDescent="0.25">
      <c r="B6000" s="42"/>
      <c r="AA6000" s="43"/>
    </row>
    <row r="6001" spans="2:27" x14ac:dyDescent="0.25">
      <c r="B6001" s="42"/>
      <c r="AA6001" s="43"/>
    </row>
    <row r="6002" spans="2:27" x14ac:dyDescent="0.25">
      <c r="B6002" s="42"/>
      <c r="AA6002" s="43"/>
    </row>
    <row r="6003" spans="2:27" x14ac:dyDescent="0.25">
      <c r="B6003" s="42"/>
      <c r="AA6003" s="43"/>
    </row>
    <row r="6004" spans="2:27" x14ac:dyDescent="0.25">
      <c r="B6004" s="42"/>
      <c r="AA6004" s="43"/>
    </row>
    <row r="6005" spans="2:27" x14ac:dyDescent="0.25">
      <c r="B6005" s="42"/>
      <c r="AA6005" s="43"/>
    </row>
    <row r="6006" spans="2:27" x14ac:dyDescent="0.25">
      <c r="B6006" s="42"/>
      <c r="AA6006" s="43"/>
    </row>
    <row r="6007" spans="2:27" x14ac:dyDescent="0.25">
      <c r="B6007" s="42"/>
      <c r="AA6007" s="43"/>
    </row>
    <row r="6008" spans="2:27" x14ac:dyDescent="0.25">
      <c r="B6008" s="42"/>
      <c r="AA6008" s="43"/>
    </row>
    <row r="6009" spans="2:27" x14ac:dyDescent="0.25">
      <c r="B6009" s="42"/>
      <c r="AA6009" s="43"/>
    </row>
    <row r="6010" spans="2:27" x14ac:dyDescent="0.25">
      <c r="B6010" s="42"/>
      <c r="AA6010" s="43"/>
    </row>
    <row r="6011" spans="2:27" x14ac:dyDescent="0.25">
      <c r="B6011" s="42"/>
      <c r="AA6011" s="43"/>
    </row>
    <row r="6012" spans="2:27" x14ac:dyDescent="0.25">
      <c r="B6012" s="42"/>
      <c r="AA6012" s="43"/>
    </row>
    <row r="6013" spans="2:27" x14ac:dyDescent="0.25">
      <c r="B6013" s="42"/>
      <c r="AA6013" s="43"/>
    </row>
    <row r="6014" spans="2:27" x14ac:dyDescent="0.25">
      <c r="B6014" s="42"/>
      <c r="AA6014" s="43"/>
    </row>
    <row r="6015" spans="2:27" x14ac:dyDescent="0.25">
      <c r="B6015" s="42"/>
      <c r="AA6015" s="43"/>
    </row>
    <row r="6016" spans="2:27" x14ac:dyDescent="0.25">
      <c r="B6016" s="42"/>
      <c r="AA6016" s="43"/>
    </row>
    <row r="6017" spans="2:27" x14ac:dyDescent="0.25">
      <c r="B6017" s="42"/>
      <c r="AA6017" s="43"/>
    </row>
    <row r="6018" spans="2:27" x14ac:dyDescent="0.25">
      <c r="B6018" s="42"/>
      <c r="AA6018" s="43"/>
    </row>
    <row r="6019" spans="2:27" x14ac:dyDescent="0.25">
      <c r="B6019" s="42"/>
      <c r="AA6019" s="43"/>
    </row>
    <row r="6020" spans="2:27" x14ac:dyDescent="0.25">
      <c r="B6020" s="42"/>
      <c r="AA6020" s="43"/>
    </row>
    <row r="6021" spans="2:27" x14ac:dyDescent="0.25">
      <c r="B6021" s="42"/>
      <c r="AA6021" s="43"/>
    </row>
    <row r="6022" spans="2:27" x14ac:dyDescent="0.25">
      <c r="B6022" s="42"/>
      <c r="AA6022" s="43"/>
    </row>
    <row r="6023" spans="2:27" x14ac:dyDescent="0.25">
      <c r="B6023" s="42"/>
      <c r="AA6023" s="43"/>
    </row>
    <row r="6024" spans="2:27" x14ac:dyDescent="0.25">
      <c r="B6024" s="42"/>
      <c r="AA6024" s="43"/>
    </row>
    <row r="6025" spans="2:27" x14ac:dyDescent="0.25">
      <c r="B6025" s="42"/>
      <c r="AA6025" s="43"/>
    </row>
    <row r="6026" spans="2:27" x14ac:dyDescent="0.25">
      <c r="B6026" s="42"/>
      <c r="AA6026" s="43"/>
    </row>
    <row r="6027" spans="2:27" x14ac:dyDescent="0.25">
      <c r="B6027" s="42"/>
      <c r="AA6027" s="43"/>
    </row>
    <row r="6028" spans="2:27" x14ac:dyDescent="0.25">
      <c r="B6028" s="42"/>
      <c r="AA6028" s="43"/>
    </row>
    <row r="6029" spans="2:27" x14ac:dyDescent="0.25">
      <c r="B6029" s="42"/>
      <c r="AA6029" s="43"/>
    </row>
    <row r="6030" spans="2:27" x14ac:dyDescent="0.25">
      <c r="B6030" s="42"/>
      <c r="AA6030" s="43"/>
    </row>
    <row r="6031" spans="2:27" x14ac:dyDescent="0.25">
      <c r="B6031" s="42"/>
      <c r="AA6031" s="43"/>
    </row>
    <row r="6032" spans="2:27" x14ac:dyDescent="0.25">
      <c r="B6032" s="42"/>
      <c r="AA6032" s="43"/>
    </row>
    <row r="6033" spans="2:27" x14ac:dyDescent="0.25">
      <c r="B6033" s="42"/>
      <c r="AA6033" s="43"/>
    </row>
    <row r="6034" spans="2:27" x14ac:dyDescent="0.25">
      <c r="B6034" s="42"/>
      <c r="AA6034" s="43"/>
    </row>
    <row r="6035" spans="2:27" x14ac:dyDescent="0.25">
      <c r="B6035" s="42"/>
      <c r="AA6035" s="43"/>
    </row>
    <row r="6036" spans="2:27" x14ac:dyDescent="0.25">
      <c r="B6036" s="42"/>
      <c r="AA6036" s="43"/>
    </row>
    <row r="6037" spans="2:27" x14ac:dyDescent="0.25">
      <c r="B6037" s="42"/>
      <c r="AA6037" s="43"/>
    </row>
    <row r="6038" spans="2:27" x14ac:dyDescent="0.25">
      <c r="B6038" s="42"/>
      <c r="AA6038" s="43"/>
    </row>
    <row r="6039" spans="2:27" x14ac:dyDescent="0.25">
      <c r="B6039" s="42"/>
      <c r="AA6039" s="43"/>
    </row>
    <row r="6040" spans="2:27" x14ac:dyDescent="0.25">
      <c r="B6040" s="42"/>
      <c r="AA6040" s="43"/>
    </row>
    <row r="6041" spans="2:27" x14ac:dyDescent="0.25">
      <c r="B6041" s="42"/>
      <c r="AA6041" s="43"/>
    </row>
    <row r="6042" spans="2:27" x14ac:dyDescent="0.25">
      <c r="B6042" s="42"/>
      <c r="AA6042" s="43"/>
    </row>
    <row r="6043" spans="2:27" x14ac:dyDescent="0.25">
      <c r="B6043" s="42"/>
      <c r="AA6043" s="43"/>
    </row>
    <row r="6044" spans="2:27" x14ac:dyDescent="0.25">
      <c r="B6044" s="42"/>
      <c r="AA6044" s="43"/>
    </row>
    <row r="6045" spans="2:27" x14ac:dyDescent="0.25">
      <c r="B6045" s="42"/>
      <c r="AA6045" s="43"/>
    </row>
    <row r="6046" spans="2:27" x14ac:dyDescent="0.25">
      <c r="B6046" s="42"/>
      <c r="AA6046" s="43"/>
    </row>
    <row r="6047" spans="2:27" x14ac:dyDescent="0.25">
      <c r="B6047" s="42"/>
      <c r="AA6047" s="43"/>
    </row>
    <row r="6048" spans="2:27" x14ac:dyDescent="0.25">
      <c r="B6048" s="42"/>
      <c r="AA6048" s="43"/>
    </row>
    <row r="6049" spans="2:27" x14ac:dyDescent="0.25">
      <c r="B6049" s="42"/>
      <c r="AA6049" s="43"/>
    </row>
    <row r="6050" spans="2:27" x14ac:dyDescent="0.25">
      <c r="B6050" s="42"/>
      <c r="AA6050" s="43"/>
    </row>
    <row r="6051" spans="2:27" x14ac:dyDescent="0.25">
      <c r="B6051" s="42"/>
      <c r="AA6051" s="43"/>
    </row>
    <row r="6052" spans="2:27" x14ac:dyDescent="0.25">
      <c r="B6052" s="42"/>
      <c r="AA6052" s="43"/>
    </row>
    <row r="6053" spans="2:27" x14ac:dyDescent="0.25">
      <c r="B6053" s="42"/>
      <c r="AA6053" s="43"/>
    </row>
    <row r="6054" spans="2:27" x14ac:dyDescent="0.25">
      <c r="B6054" s="42"/>
      <c r="AA6054" s="43"/>
    </row>
    <row r="6055" spans="2:27" x14ac:dyDescent="0.25">
      <c r="B6055" s="42"/>
      <c r="AA6055" s="43"/>
    </row>
    <row r="6056" spans="2:27" x14ac:dyDescent="0.25">
      <c r="B6056" s="42"/>
      <c r="AA6056" s="43"/>
    </row>
    <row r="6057" spans="2:27" x14ac:dyDescent="0.25">
      <c r="B6057" s="42"/>
      <c r="AA6057" s="43"/>
    </row>
    <row r="6058" spans="2:27" x14ac:dyDescent="0.25">
      <c r="B6058" s="42"/>
      <c r="AA6058" s="43"/>
    </row>
    <row r="6059" spans="2:27" x14ac:dyDescent="0.25">
      <c r="B6059" s="42"/>
      <c r="AA6059" s="43"/>
    </row>
    <row r="6060" spans="2:27" x14ac:dyDescent="0.25">
      <c r="B6060" s="42"/>
      <c r="AA6060" s="43"/>
    </row>
    <row r="6061" spans="2:27" x14ac:dyDescent="0.25">
      <c r="B6061" s="42"/>
      <c r="AA6061" s="43"/>
    </row>
    <row r="6062" spans="2:27" x14ac:dyDescent="0.25">
      <c r="B6062" s="42"/>
      <c r="AA6062" s="43"/>
    </row>
    <row r="6063" spans="2:27" x14ac:dyDescent="0.25">
      <c r="B6063" s="42"/>
      <c r="AA6063" s="43"/>
    </row>
    <row r="6064" spans="2:27" x14ac:dyDescent="0.25">
      <c r="B6064" s="42"/>
      <c r="AA6064" s="43"/>
    </row>
    <row r="6065" spans="2:27" x14ac:dyDescent="0.25">
      <c r="B6065" s="42"/>
      <c r="AA6065" s="43"/>
    </row>
    <row r="6066" spans="2:27" x14ac:dyDescent="0.25">
      <c r="B6066" s="42"/>
      <c r="AA6066" s="43"/>
    </row>
    <row r="6067" spans="2:27" x14ac:dyDescent="0.25">
      <c r="B6067" s="42"/>
      <c r="AA6067" s="43"/>
    </row>
    <row r="6068" spans="2:27" x14ac:dyDescent="0.25">
      <c r="B6068" s="42"/>
      <c r="AA6068" s="43"/>
    </row>
    <row r="6069" spans="2:27" x14ac:dyDescent="0.25">
      <c r="B6069" s="42"/>
      <c r="AA6069" s="43"/>
    </row>
    <row r="6070" spans="2:27" x14ac:dyDescent="0.25">
      <c r="B6070" s="42"/>
      <c r="AA6070" s="43"/>
    </row>
    <row r="6071" spans="2:27" x14ac:dyDescent="0.25">
      <c r="B6071" s="42"/>
      <c r="AA6071" s="43"/>
    </row>
    <row r="6072" spans="2:27" x14ac:dyDescent="0.25">
      <c r="B6072" s="42"/>
      <c r="AA6072" s="43"/>
    </row>
    <row r="6073" spans="2:27" x14ac:dyDescent="0.25">
      <c r="B6073" s="42"/>
      <c r="AA6073" s="43"/>
    </row>
    <row r="6074" spans="2:27" x14ac:dyDescent="0.25">
      <c r="B6074" s="42"/>
      <c r="AA6074" s="43"/>
    </row>
    <row r="6075" spans="2:27" x14ac:dyDescent="0.25">
      <c r="B6075" s="42"/>
      <c r="AA6075" s="43"/>
    </row>
    <row r="6076" spans="2:27" x14ac:dyDescent="0.25">
      <c r="B6076" s="42"/>
      <c r="AA6076" s="43"/>
    </row>
    <row r="6077" spans="2:27" x14ac:dyDescent="0.25">
      <c r="B6077" s="42"/>
      <c r="AA6077" s="43"/>
    </row>
    <row r="6078" spans="2:27" x14ac:dyDescent="0.25">
      <c r="B6078" s="42"/>
      <c r="AA6078" s="43"/>
    </row>
    <row r="6079" spans="2:27" x14ac:dyDescent="0.25">
      <c r="B6079" s="42"/>
      <c r="AA6079" s="43"/>
    </row>
    <row r="6080" spans="2:27" x14ac:dyDescent="0.25">
      <c r="B6080" s="42"/>
      <c r="AA6080" s="43"/>
    </row>
    <row r="6081" spans="2:27" x14ac:dyDescent="0.25">
      <c r="B6081" s="42"/>
      <c r="AA6081" s="43"/>
    </row>
    <row r="6082" spans="2:27" x14ac:dyDescent="0.25">
      <c r="B6082" s="42"/>
      <c r="AA6082" s="43"/>
    </row>
    <row r="6083" spans="2:27" x14ac:dyDescent="0.25">
      <c r="B6083" s="42"/>
      <c r="AA6083" s="43"/>
    </row>
    <row r="6084" spans="2:27" x14ac:dyDescent="0.25">
      <c r="B6084" s="42"/>
      <c r="AA6084" s="43"/>
    </row>
    <row r="6085" spans="2:27" x14ac:dyDescent="0.25">
      <c r="B6085" s="42"/>
      <c r="AA6085" s="43"/>
    </row>
    <row r="6086" spans="2:27" x14ac:dyDescent="0.25">
      <c r="B6086" s="42"/>
      <c r="AA6086" s="43"/>
    </row>
    <row r="6087" spans="2:27" x14ac:dyDescent="0.25">
      <c r="B6087" s="42"/>
      <c r="AA6087" s="43"/>
    </row>
    <row r="6088" spans="2:27" x14ac:dyDescent="0.25">
      <c r="B6088" s="42"/>
      <c r="AA6088" s="43"/>
    </row>
    <row r="6089" spans="2:27" x14ac:dyDescent="0.25">
      <c r="B6089" s="42"/>
      <c r="AA6089" s="43"/>
    </row>
    <row r="6090" spans="2:27" x14ac:dyDescent="0.25">
      <c r="B6090" s="42"/>
      <c r="AA6090" s="43"/>
    </row>
    <row r="6091" spans="2:27" x14ac:dyDescent="0.25">
      <c r="B6091" s="42"/>
      <c r="AA6091" s="43"/>
    </row>
    <row r="6092" spans="2:27" x14ac:dyDescent="0.25">
      <c r="B6092" s="42"/>
      <c r="AA6092" s="43"/>
    </row>
    <row r="6093" spans="2:27" x14ac:dyDescent="0.25">
      <c r="B6093" s="42"/>
      <c r="AA6093" s="43"/>
    </row>
    <row r="6094" spans="2:27" x14ac:dyDescent="0.25">
      <c r="B6094" s="42"/>
      <c r="AA6094" s="43"/>
    </row>
    <row r="6095" spans="2:27" x14ac:dyDescent="0.25">
      <c r="B6095" s="42"/>
      <c r="AA6095" s="43"/>
    </row>
    <row r="6096" spans="2:27" x14ac:dyDescent="0.25">
      <c r="B6096" s="42"/>
      <c r="AA6096" s="43"/>
    </row>
    <row r="6097" spans="2:27" x14ac:dyDescent="0.25">
      <c r="B6097" s="42"/>
      <c r="AA6097" s="43"/>
    </row>
    <row r="6098" spans="2:27" x14ac:dyDescent="0.25">
      <c r="B6098" s="42"/>
      <c r="AA6098" s="43"/>
    </row>
    <row r="6099" spans="2:27" x14ac:dyDescent="0.25">
      <c r="B6099" s="42"/>
      <c r="AA6099" s="43"/>
    </row>
    <row r="6100" spans="2:27" x14ac:dyDescent="0.25">
      <c r="B6100" s="42"/>
      <c r="AA6100" s="43"/>
    </row>
    <row r="6101" spans="2:27" x14ac:dyDescent="0.25">
      <c r="B6101" s="42"/>
      <c r="AA6101" s="43"/>
    </row>
    <row r="6102" spans="2:27" x14ac:dyDescent="0.25">
      <c r="B6102" s="42"/>
      <c r="AA6102" s="43"/>
    </row>
    <row r="6103" spans="2:27" x14ac:dyDescent="0.25">
      <c r="B6103" s="42"/>
      <c r="AA6103" s="43"/>
    </row>
    <row r="6104" spans="2:27" x14ac:dyDescent="0.25">
      <c r="B6104" s="42"/>
      <c r="AA6104" s="43"/>
    </row>
    <row r="6105" spans="2:27" x14ac:dyDescent="0.25">
      <c r="B6105" s="42"/>
      <c r="AA6105" s="43"/>
    </row>
    <row r="6106" spans="2:27" x14ac:dyDescent="0.25">
      <c r="B6106" s="42"/>
      <c r="AA6106" s="43"/>
    </row>
    <row r="6107" spans="2:27" x14ac:dyDescent="0.25">
      <c r="B6107" s="42"/>
      <c r="AA6107" s="43"/>
    </row>
    <row r="6108" spans="2:27" x14ac:dyDescent="0.25">
      <c r="B6108" s="42"/>
      <c r="AA6108" s="43"/>
    </row>
    <row r="6109" spans="2:27" x14ac:dyDescent="0.25">
      <c r="B6109" s="42"/>
      <c r="AA6109" s="43"/>
    </row>
    <row r="6110" spans="2:27" x14ac:dyDescent="0.25">
      <c r="B6110" s="42"/>
      <c r="AA6110" s="43"/>
    </row>
    <row r="6111" spans="2:27" x14ac:dyDescent="0.25">
      <c r="B6111" s="42"/>
      <c r="AA6111" s="43"/>
    </row>
    <row r="6112" spans="2:27" x14ac:dyDescent="0.25">
      <c r="B6112" s="42"/>
      <c r="AA6112" s="43"/>
    </row>
    <row r="6113" spans="2:27" x14ac:dyDescent="0.25">
      <c r="B6113" s="42"/>
      <c r="AA6113" s="43"/>
    </row>
    <row r="6114" spans="2:27" x14ac:dyDescent="0.25">
      <c r="B6114" s="42"/>
      <c r="AA6114" s="43"/>
    </row>
    <row r="6115" spans="2:27" x14ac:dyDescent="0.25">
      <c r="B6115" s="42"/>
      <c r="AA6115" s="43"/>
    </row>
    <row r="6116" spans="2:27" x14ac:dyDescent="0.25">
      <c r="B6116" s="42"/>
      <c r="AA6116" s="43"/>
    </row>
    <row r="6117" spans="2:27" x14ac:dyDescent="0.25">
      <c r="B6117" s="42"/>
      <c r="AA6117" s="43"/>
    </row>
    <row r="6118" spans="2:27" x14ac:dyDescent="0.25">
      <c r="B6118" s="42"/>
      <c r="AA6118" s="43"/>
    </row>
    <row r="6119" spans="2:27" x14ac:dyDescent="0.25">
      <c r="B6119" s="42"/>
      <c r="AA6119" s="43"/>
    </row>
    <row r="6120" spans="2:27" x14ac:dyDescent="0.25">
      <c r="B6120" s="42"/>
      <c r="AA6120" s="43"/>
    </row>
    <row r="6121" spans="2:27" x14ac:dyDescent="0.25">
      <c r="B6121" s="42"/>
      <c r="AA6121" s="43"/>
    </row>
    <row r="6122" spans="2:27" x14ac:dyDescent="0.25">
      <c r="B6122" s="42"/>
      <c r="AA6122" s="43"/>
    </row>
    <row r="6123" spans="2:27" x14ac:dyDescent="0.25">
      <c r="B6123" s="42"/>
      <c r="AA6123" s="43"/>
    </row>
    <row r="6124" spans="2:27" x14ac:dyDescent="0.25">
      <c r="B6124" s="42"/>
      <c r="AA6124" s="43"/>
    </row>
    <row r="6125" spans="2:27" x14ac:dyDescent="0.25">
      <c r="B6125" s="42"/>
      <c r="AA6125" s="43"/>
    </row>
    <row r="6126" spans="2:27" x14ac:dyDescent="0.25">
      <c r="B6126" s="42"/>
      <c r="AA6126" s="43"/>
    </row>
    <row r="6127" spans="2:27" x14ac:dyDescent="0.25">
      <c r="B6127" s="42"/>
      <c r="AA6127" s="43"/>
    </row>
    <row r="6128" spans="2:27" x14ac:dyDescent="0.25">
      <c r="B6128" s="42"/>
      <c r="AA6128" s="43"/>
    </row>
    <row r="6129" spans="2:27" x14ac:dyDescent="0.25">
      <c r="B6129" s="42"/>
      <c r="AA6129" s="43"/>
    </row>
    <row r="6130" spans="2:27" x14ac:dyDescent="0.25">
      <c r="B6130" s="42"/>
      <c r="AA6130" s="43"/>
    </row>
    <row r="6131" spans="2:27" x14ac:dyDescent="0.25">
      <c r="B6131" s="42"/>
      <c r="AA6131" s="43"/>
    </row>
    <row r="6132" spans="2:27" x14ac:dyDescent="0.25">
      <c r="B6132" s="42"/>
      <c r="AA6132" s="43"/>
    </row>
    <row r="6133" spans="2:27" x14ac:dyDescent="0.25">
      <c r="B6133" s="42"/>
      <c r="AA6133" s="43"/>
    </row>
    <row r="6134" spans="2:27" x14ac:dyDescent="0.25">
      <c r="B6134" s="42"/>
      <c r="AA6134" s="43"/>
    </row>
    <row r="6135" spans="2:27" x14ac:dyDescent="0.25">
      <c r="B6135" s="42"/>
      <c r="AA6135" s="43"/>
    </row>
    <row r="6136" spans="2:27" x14ac:dyDescent="0.25">
      <c r="B6136" s="42"/>
      <c r="AA6136" s="43"/>
    </row>
    <row r="6137" spans="2:27" x14ac:dyDescent="0.25">
      <c r="B6137" s="42"/>
      <c r="AA6137" s="43"/>
    </row>
    <row r="6138" spans="2:27" x14ac:dyDescent="0.25">
      <c r="B6138" s="42"/>
      <c r="AA6138" s="43"/>
    </row>
    <row r="6139" spans="2:27" x14ac:dyDescent="0.25">
      <c r="B6139" s="42"/>
      <c r="AA6139" s="43"/>
    </row>
    <row r="6140" spans="2:27" x14ac:dyDescent="0.25">
      <c r="B6140" s="42"/>
      <c r="AA6140" s="43"/>
    </row>
    <row r="6141" spans="2:27" x14ac:dyDescent="0.25">
      <c r="B6141" s="42"/>
      <c r="AA6141" s="43"/>
    </row>
    <row r="6142" spans="2:27" x14ac:dyDescent="0.25">
      <c r="B6142" s="42"/>
      <c r="AA6142" s="43"/>
    </row>
    <row r="6143" spans="2:27" x14ac:dyDescent="0.25">
      <c r="B6143" s="42"/>
      <c r="AA6143" s="43"/>
    </row>
    <row r="6144" spans="2:27" x14ac:dyDescent="0.25">
      <c r="B6144" s="42"/>
      <c r="AA6144" s="43"/>
    </row>
    <row r="6145" spans="2:27" x14ac:dyDescent="0.25">
      <c r="B6145" s="42"/>
      <c r="AA6145" s="43"/>
    </row>
    <row r="6146" spans="2:27" x14ac:dyDescent="0.25">
      <c r="B6146" s="42"/>
      <c r="AA6146" s="43"/>
    </row>
    <row r="6147" spans="2:27" x14ac:dyDescent="0.25">
      <c r="B6147" s="42"/>
      <c r="AA6147" s="43"/>
    </row>
    <row r="6148" spans="2:27" x14ac:dyDescent="0.25">
      <c r="B6148" s="42"/>
      <c r="AA6148" s="43"/>
    </row>
    <row r="6149" spans="2:27" x14ac:dyDescent="0.25">
      <c r="B6149" s="42"/>
      <c r="AA6149" s="43"/>
    </row>
    <row r="6150" spans="2:27" x14ac:dyDescent="0.25">
      <c r="B6150" s="42"/>
      <c r="AA6150" s="43"/>
    </row>
    <row r="6151" spans="2:27" x14ac:dyDescent="0.25">
      <c r="B6151" s="42"/>
      <c r="AA6151" s="43"/>
    </row>
    <row r="6152" spans="2:27" x14ac:dyDescent="0.25">
      <c r="B6152" s="42"/>
      <c r="AA6152" s="43"/>
    </row>
    <row r="6153" spans="2:27" x14ac:dyDescent="0.25">
      <c r="B6153" s="42"/>
      <c r="AA6153" s="43"/>
    </row>
    <row r="6154" spans="2:27" x14ac:dyDescent="0.25">
      <c r="B6154" s="42"/>
      <c r="AA6154" s="43"/>
    </row>
    <row r="6155" spans="2:27" x14ac:dyDescent="0.25">
      <c r="B6155" s="42"/>
      <c r="AA6155" s="43"/>
    </row>
    <row r="6156" spans="2:27" x14ac:dyDescent="0.25">
      <c r="B6156" s="42"/>
      <c r="AA6156" s="43"/>
    </row>
    <row r="6157" spans="2:27" x14ac:dyDescent="0.25">
      <c r="B6157" s="42"/>
      <c r="AA6157" s="43"/>
    </row>
    <row r="6158" spans="2:27" x14ac:dyDescent="0.25">
      <c r="B6158" s="42"/>
      <c r="AA6158" s="43"/>
    </row>
    <row r="6159" spans="2:27" x14ac:dyDescent="0.25">
      <c r="B6159" s="42"/>
      <c r="AA6159" s="43"/>
    </row>
    <row r="6160" spans="2:27" x14ac:dyDescent="0.25">
      <c r="B6160" s="42"/>
      <c r="AA6160" s="43"/>
    </row>
    <row r="6161" spans="2:27" x14ac:dyDescent="0.25">
      <c r="B6161" s="42"/>
      <c r="AA6161" s="43"/>
    </row>
    <row r="6162" spans="2:27" x14ac:dyDescent="0.25">
      <c r="B6162" s="42"/>
      <c r="AA6162" s="43"/>
    </row>
    <row r="6163" spans="2:27" x14ac:dyDescent="0.25">
      <c r="B6163" s="42"/>
      <c r="AA6163" s="43"/>
    </row>
    <row r="6164" spans="2:27" x14ac:dyDescent="0.25">
      <c r="B6164" s="42"/>
      <c r="AA6164" s="43"/>
    </row>
    <row r="6165" spans="2:27" x14ac:dyDescent="0.25">
      <c r="B6165" s="42"/>
      <c r="AA6165" s="43"/>
    </row>
    <row r="6166" spans="2:27" x14ac:dyDescent="0.25">
      <c r="B6166" s="42"/>
      <c r="AA6166" s="43"/>
    </row>
    <row r="6167" spans="2:27" x14ac:dyDescent="0.25">
      <c r="B6167" s="42"/>
      <c r="AA6167" s="43"/>
    </row>
    <row r="6168" spans="2:27" x14ac:dyDescent="0.25">
      <c r="B6168" s="42"/>
      <c r="AA6168" s="43"/>
    </row>
    <row r="6169" spans="2:27" x14ac:dyDescent="0.25">
      <c r="B6169" s="42"/>
      <c r="AA6169" s="43"/>
    </row>
    <row r="6170" spans="2:27" x14ac:dyDescent="0.25">
      <c r="B6170" s="42"/>
      <c r="AA6170" s="43"/>
    </row>
    <row r="6171" spans="2:27" x14ac:dyDescent="0.25">
      <c r="B6171" s="42"/>
      <c r="AA6171" s="43"/>
    </row>
    <row r="6172" spans="2:27" x14ac:dyDescent="0.25">
      <c r="B6172" s="42"/>
      <c r="AA6172" s="43"/>
    </row>
    <row r="6173" spans="2:27" x14ac:dyDescent="0.25">
      <c r="B6173" s="42"/>
      <c r="AA6173" s="43"/>
    </row>
    <row r="6174" spans="2:27" x14ac:dyDescent="0.25">
      <c r="B6174" s="42"/>
      <c r="AA6174" s="43"/>
    </row>
    <row r="6175" spans="2:27" x14ac:dyDescent="0.25">
      <c r="B6175" s="42"/>
      <c r="AA6175" s="43"/>
    </row>
    <row r="6176" spans="2:27" x14ac:dyDescent="0.25">
      <c r="B6176" s="42"/>
      <c r="AA6176" s="43"/>
    </row>
    <row r="6177" spans="2:27" x14ac:dyDescent="0.25">
      <c r="B6177" s="42"/>
      <c r="AA6177" s="43"/>
    </row>
    <row r="6178" spans="2:27" x14ac:dyDescent="0.25">
      <c r="B6178" s="42"/>
      <c r="AA6178" s="43"/>
    </row>
    <row r="6179" spans="2:27" x14ac:dyDescent="0.25">
      <c r="B6179" s="42"/>
      <c r="AA6179" s="43"/>
    </row>
    <row r="6180" spans="2:27" x14ac:dyDescent="0.25">
      <c r="B6180" s="42"/>
      <c r="AA6180" s="43"/>
    </row>
    <row r="6181" spans="2:27" x14ac:dyDescent="0.25">
      <c r="B6181" s="42"/>
      <c r="AA6181" s="43"/>
    </row>
    <row r="6182" spans="2:27" x14ac:dyDescent="0.25">
      <c r="B6182" s="42"/>
      <c r="AA6182" s="43"/>
    </row>
    <row r="6183" spans="2:27" x14ac:dyDescent="0.25">
      <c r="B6183" s="42"/>
      <c r="AA6183" s="43"/>
    </row>
    <row r="6184" spans="2:27" x14ac:dyDescent="0.25">
      <c r="B6184" s="42"/>
      <c r="AA6184" s="43"/>
    </row>
    <row r="6185" spans="2:27" x14ac:dyDescent="0.25">
      <c r="B6185" s="42"/>
      <c r="AA6185" s="43"/>
    </row>
    <row r="6186" spans="2:27" x14ac:dyDescent="0.25">
      <c r="B6186" s="42"/>
      <c r="AA6186" s="43"/>
    </row>
    <row r="6187" spans="2:27" x14ac:dyDescent="0.25">
      <c r="B6187" s="42"/>
      <c r="AA6187" s="43"/>
    </row>
    <row r="6188" spans="2:27" x14ac:dyDescent="0.25">
      <c r="B6188" s="42"/>
      <c r="AA6188" s="43"/>
    </row>
    <row r="6189" spans="2:27" x14ac:dyDescent="0.25">
      <c r="B6189" s="42"/>
      <c r="AA6189" s="43"/>
    </row>
    <row r="6190" spans="2:27" x14ac:dyDescent="0.25">
      <c r="B6190" s="42"/>
      <c r="AA6190" s="43"/>
    </row>
    <row r="6191" spans="2:27" x14ac:dyDescent="0.25">
      <c r="B6191" s="42"/>
      <c r="AA6191" s="43"/>
    </row>
    <row r="6192" spans="2:27" x14ac:dyDescent="0.25">
      <c r="B6192" s="42"/>
      <c r="AA6192" s="43"/>
    </row>
    <row r="6193" spans="2:27" x14ac:dyDescent="0.25">
      <c r="B6193" s="42"/>
      <c r="AA6193" s="43"/>
    </row>
    <row r="6194" spans="2:27" x14ac:dyDescent="0.25">
      <c r="B6194" s="42"/>
      <c r="AA6194" s="43"/>
    </row>
    <row r="6195" spans="2:27" x14ac:dyDescent="0.25">
      <c r="B6195" s="42"/>
      <c r="AA6195" s="43"/>
    </row>
    <row r="6196" spans="2:27" x14ac:dyDescent="0.25">
      <c r="B6196" s="42"/>
      <c r="AA6196" s="43"/>
    </row>
    <row r="6197" spans="2:27" x14ac:dyDescent="0.25">
      <c r="B6197" s="42"/>
      <c r="AA6197" s="43"/>
    </row>
    <row r="6198" spans="2:27" x14ac:dyDescent="0.25">
      <c r="B6198" s="42"/>
      <c r="AA6198" s="43"/>
    </row>
    <row r="6199" spans="2:27" x14ac:dyDescent="0.25">
      <c r="B6199" s="42"/>
      <c r="AA6199" s="43"/>
    </row>
    <row r="6200" spans="2:27" x14ac:dyDescent="0.25">
      <c r="B6200" s="42"/>
      <c r="AA6200" s="43"/>
    </row>
    <row r="6201" spans="2:27" x14ac:dyDescent="0.25">
      <c r="B6201" s="42"/>
      <c r="AA6201" s="43"/>
    </row>
    <row r="6202" spans="2:27" x14ac:dyDescent="0.25">
      <c r="B6202" s="42"/>
      <c r="AA6202" s="43"/>
    </row>
    <row r="6203" spans="2:27" x14ac:dyDescent="0.25">
      <c r="B6203" s="42"/>
      <c r="AA6203" s="43"/>
    </row>
    <row r="6204" spans="2:27" x14ac:dyDescent="0.25">
      <c r="B6204" s="42"/>
      <c r="AA6204" s="43"/>
    </row>
    <row r="6205" spans="2:27" x14ac:dyDescent="0.25">
      <c r="B6205" s="42"/>
      <c r="AA6205" s="43"/>
    </row>
    <row r="6206" spans="2:27" x14ac:dyDescent="0.25">
      <c r="B6206" s="42"/>
      <c r="AA6206" s="43"/>
    </row>
    <row r="6207" spans="2:27" x14ac:dyDescent="0.25">
      <c r="B6207" s="42"/>
      <c r="AA6207" s="43"/>
    </row>
    <row r="6208" spans="2:27" x14ac:dyDescent="0.25">
      <c r="B6208" s="42"/>
      <c r="AA6208" s="43"/>
    </row>
    <row r="6209" spans="2:27" x14ac:dyDescent="0.25">
      <c r="B6209" s="42"/>
      <c r="AA6209" s="43"/>
    </row>
    <row r="6210" spans="2:27" x14ac:dyDescent="0.25">
      <c r="B6210" s="42"/>
      <c r="AA6210" s="43"/>
    </row>
    <row r="6211" spans="2:27" x14ac:dyDescent="0.25">
      <c r="B6211" s="42"/>
      <c r="AA6211" s="43"/>
    </row>
    <row r="6212" spans="2:27" x14ac:dyDescent="0.25">
      <c r="B6212" s="42"/>
      <c r="AA6212" s="43"/>
    </row>
    <row r="6213" spans="2:27" x14ac:dyDescent="0.25">
      <c r="B6213" s="42"/>
      <c r="AA6213" s="43"/>
    </row>
    <row r="6214" spans="2:27" x14ac:dyDescent="0.25">
      <c r="B6214" s="42"/>
      <c r="AA6214" s="43"/>
    </row>
    <row r="6215" spans="2:27" x14ac:dyDescent="0.25">
      <c r="B6215" s="42"/>
      <c r="AA6215" s="43"/>
    </row>
    <row r="6216" spans="2:27" x14ac:dyDescent="0.25">
      <c r="B6216" s="42"/>
      <c r="AA6216" s="43"/>
    </row>
    <row r="6217" spans="2:27" x14ac:dyDescent="0.25">
      <c r="B6217" s="42"/>
      <c r="AA6217" s="43"/>
    </row>
    <row r="6218" spans="2:27" x14ac:dyDescent="0.25">
      <c r="B6218" s="42"/>
      <c r="AA6218" s="43"/>
    </row>
    <row r="6219" spans="2:27" x14ac:dyDescent="0.25">
      <c r="B6219" s="42"/>
      <c r="AA6219" s="43"/>
    </row>
    <row r="6220" spans="2:27" x14ac:dyDescent="0.25">
      <c r="B6220" s="42"/>
      <c r="AA6220" s="43"/>
    </row>
    <row r="6221" spans="2:27" x14ac:dyDescent="0.25">
      <c r="B6221" s="42"/>
      <c r="AA6221" s="43"/>
    </row>
    <row r="6222" spans="2:27" x14ac:dyDescent="0.25">
      <c r="B6222" s="42"/>
      <c r="AA6222" s="43"/>
    </row>
    <row r="6223" spans="2:27" x14ac:dyDescent="0.25">
      <c r="B6223" s="42"/>
      <c r="AA6223" s="43"/>
    </row>
    <row r="6224" spans="2:27" x14ac:dyDescent="0.25">
      <c r="B6224" s="42"/>
      <c r="AA6224" s="43"/>
    </row>
    <row r="6225" spans="2:27" x14ac:dyDescent="0.25">
      <c r="B6225" s="42"/>
      <c r="AA6225" s="43"/>
    </row>
    <row r="6226" spans="2:27" x14ac:dyDescent="0.25">
      <c r="B6226" s="42"/>
      <c r="AA6226" s="43"/>
    </row>
    <row r="6227" spans="2:27" x14ac:dyDescent="0.25">
      <c r="B6227" s="42"/>
      <c r="AA6227" s="43"/>
    </row>
    <row r="6228" spans="2:27" x14ac:dyDescent="0.25">
      <c r="B6228" s="42"/>
      <c r="AA6228" s="43"/>
    </row>
    <row r="6229" spans="2:27" x14ac:dyDescent="0.25">
      <c r="B6229" s="42"/>
      <c r="AA6229" s="43"/>
    </row>
    <row r="6230" spans="2:27" x14ac:dyDescent="0.25">
      <c r="B6230" s="42"/>
      <c r="AA6230" s="43"/>
    </row>
    <row r="6231" spans="2:27" x14ac:dyDescent="0.25">
      <c r="B6231" s="42"/>
      <c r="AA6231" s="43"/>
    </row>
    <row r="6232" spans="2:27" x14ac:dyDescent="0.25">
      <c r="B6232" s="42"/>
      <c r="AA6232" s="43"/>
    </row>
    <row r="6233" spans="2:27" x14ac:dyDescent="0.25">
      <c r="B6233" s="42"/>
      <c r="AA6233" s="43"/>
    </row>
    <row r="6234" spans="2:27" x14ac:dyDescent="0.25">
      <c r="B6234" s="42"/>
      <c r="AA6234" s="43"/>
    </row>
    <row r="6235" spans="2:27" x14ac:dyDescent="0.25">
      <c r="B6235" s="42"/>
      <c r="AA6235" s="43"/>
    </row>
    <row r="6236" spans="2:27" x14ac:dyDescent="0.25">
      <c r="B6236" s="42"/>
      <c r="AA6236" s="43"/>
    </row>
    <row r="6237" spans="2:27" x14ac:dyDescent="0.25">
      <c r="B6237" s="42"/>
      <c r="AA6237" s="43"/>
    </row>
    <row r="6238" spans="2:27" x14ac:dyDescent="0.25">
      <c r="B6238" s="42"/>
      <c r="AA6238" s="43"/>
    </row>
    <row r="6239" spans="2:27" x14ac:dyDescent="0.25">
      <c r="B6239" s="42"/>
      <c r="AA6239" s="43"/>
    </row>
    <row r="6240" spans="2:27" x14ac:dyDescent="0.25">
      <c r="B6240" s="42"/>
      <c r="AA6240" s="43"/>
    </row>
    <row r="6241" spans="2:27" x14ac:dyDescent="0.25">
      <c r="B6241" s="42"/>
      <c r="AA6241" s="43"/>
    </row>
    <row r="6242" spans="2:27" x14ac:dyDescent="0.25">
      <c r="B6242" s="42"/>
      <c r="AA6242" s="43"/>
    </row>
    <row r="6243" spans="2:27" x14ac:dyDescent="0.25">
      <c r="B6243" s="42"/>
      <c r="AA6243" s="43"/>
    </row>
    <row r="6244" spans="2:27" x14ac:dyDescent="0.25">
      <c r="B6244" s="42"/>
      <c r="AA6244" s="43"/>
    </row>
    <row r="6245" spans="2:27" x14ac:dyDescent="0.25">
      <c r="B6245" s="42"/>
      <c r="AA6245" s="43"/>
    </row>
    <row r="6246" spans="2:27" x14ac:dyDescent="0.25">
      <c r="B6246" s="42"/>
      <c r="AA6246" s="43"/>
    </row>
    <row r="6247" spans="2:27" x14ac:dyDescent="0.25">
      <c r="B6247" s="42"/>
      <c r="AA6247" s="43"/>
    </row>
    <row r="6248" spans="2:27" x14ac:dyDescent="0.25">
      <c r="B6248" s="42"/>
      <c r="AA6248" s="43"/>
    </row>
    <row r="6249" spans="2:27" x14ac:dyDescent="0.25">
      <c r="B6249" s="42"/>
      <c r="AA6249" s="43"/>
    </row>
    <row r="6250" spans="2:27" x14ac:dyDescent="0.25">
      <c r="B6250" s="42"/>
      <c r="AA6250" s="43"/>
    </row>
    <row r="6251" spans="2:27" x14ac:dyDescent="0.25">
      <c r="B6251" s="42"/>
      <c r="AA6251" s="43"/>
    </row>
    <row r="6252" spans="2:27" x14ac:dyDescent="0.25">
      <c r="B6252" s="42"/>
      <c r="AA6252" s="43"/>
    </row>
    <row r="6253" spans="2:27" x14ac:dyDescent="0.25">
      <c r="B6253" s="42"/>
      <c r="AA6253" s="43"/>
    </row>
    <row r="6254" spans="2:27" x14ac:dyDescent="0.25">
      <c r="B6254" s="42"/>
      <c r="AA6254" s="43"/>
    </row>
    <row r="6255" spans="2:27" x14ac:dyDescent="0.25">
      <c r="B6255" s="42"/>
      <c r="AA6255" s="43"/>
    </row>
    <row r="6256" spans="2:27" x14ac:dyDescent="0.25">
      <c r="B6256" s="42"/>
      <c r="AA6256" s="43"/>
    </row>
    <row r="6257" spans="2:27" x14ac:dyDescent="0.25">
      <c r="B6257" s="42"/>
      <c r="AA6257" s="43"/>
    </row>
    <row r="6258" spans="2:27" x14ac:dyDescent="0.25">
      <c r="B6258" s="42"/>
      <c r="AA6258" s="43"/>
    </row>
    <row r="6259" spans="2:27" x14ac:dyDescent="0.25">
      <c r="B6259" s="42"/>
      <c r="AA6259" s="43"/>
    </row>
    <row r="6260" spans="2:27" x14ac:dyDescent="0.25">
      <c r="B6260" s="42"/>
      <c r="AA6260" s="43"/>
    </row>
    <row r="6261" spans="2:27" x14ac:dyDescent="0.25">
      <c r="B6261" s="42"/>
      <c r="AA6261" s="43"/>
    </row>
    <row r="6262" spans="2:27" x14ac:dyDescent="0.25">
      <c r="B6262" s="42"/>
      <c r="AA6262" s="43"/>
    </row>
    <row r="6263" spans="2:27" x14ac:dyDescent="0.25">
      <c r="B6263" s="42"/>
      <c r="AA6263" s="43"/>
    </row>
    <row r="6264" spans="2:27" x14ac:dyDescent="0.25">
      <c r="B6264" s="42"/>
      <c r="AA6264" s="43"/>
    </row>
    <row r="6265" spans="2:27" x14ac:dyDescent="0.25">
      <c r="B6265" s="42"/>
      <c r="AA6265" s="43"/>
    </row>
    <row r="6266" spans="2:27" x14ac:dyDescent="0.25">
      <c r="B6266" s="42"/>
      <c r="AA6266" s="43"/>
    </row>
    <row r="6267" spans="2:27" x14ac:dyDescent="0.25">
      <c r="B6267" s="42"/>
      <c r="AA6267" s="43"/>
    </row>
    <row r="6268" spans="2:27" x14ac:dyDescent="0.25">
      <c r="B6268" s="42"/>
      <c r="AA6268" s="43"/>
    </row>
    <row r="6269" spans="2:27" x14ac:dyDescent="0.25">
      <c r="B6269" s="42"/>
      <c r="AA6269" s="43"/>
    </row>
    <row r="6270" spans="2:27" x14ac:dyDescent="0.25">
      <c r="B6270" s="42"/>
      <c r="AA6270" s="43"/>
    </row>
    <row r="6271" spans="2:27" x14ac:dyDescent="0.25">
      <c r="B6271" s="42"/>
      <c r="AA6271" s="43"/>
    </row>
    <row r="6272" spans="2:27" x14ac:dyDescent="0.25">
      <c r="B6272" s="42"/>
      <c r="AA6272" s="43"/>
    </row>
    <row r="6273" spans="2:27" x14ac:dyDescent="0.25">
      <c r="B6273" s="42"/>
      <c r="AA6273" s="43"/>
    </row>
    <row r="6274" spans="2:27" x14ac:dyDescent="0.25">
      <c r="B6274" s="42"/>
      <c r="AA6274" s="43"/>
    </row>
    <row r="6275" spans="2:27" x14ac:dyDescent="0.25">
      <c r="B6275" s="42"/>
      <c r="AA6275" s="43"/>
    </row>
    <row r="6276" spans="2:27" x14ac:dyDescent="0.25">
      <c r="B6276" s="42"/>
      <c r="AA6276" s="43"/>
    </row>
    <row r="6277" spans="2:27" x14ac:dyDescent="0.25">
      <c r="B6277" s="42"/>
      <c r="AA6277" s="43"/>
    </row>
    <row r="6278" spans="2:27" x14ac:dyDescent="0.25">
      <c r="B6278" s="42"/>
      <c r="AA6278" s="43"/>
    </row>
    <row r="6279" spans="2:27" x14ac:dyDescent="0.25">
      <c r="B6279" s="42"/>
      <c r="AA6279" s="43"/>
    </row>
    <row r="6280" spans="2:27" x14ac:dyDescent="0.25">
      <c r="B6280" s="42"/>
      <c r="AA6280" s="43"/>
    </row>
    <row r="6281" spans="2:27" x14ac:dyDescent="0.25">
      <c r="B6281" s="42"/>
      <c r="AA6281" s="43"/>
    </row>
    <row r="6282" spans="2:27" x14ac:dyDescent="0.25">
      <c r="B6282" s="42"/>
      <c r="AA6282" s="43"/>
    </row>
    <row r="6283" spans="2:27" x14ac:dyDescent="0.25">
      <c r="B6283" s="42"/>
      <c r="AA6283" s="43"/>
    </row>
    <row r="6284" spans="2:27" x14ac:dyDescent="0.25">
      <c r="B6284" s="42"/>
      <c r="AA6284" s="43"/>
    </row>
    <row r="6285" spans="2:27" x14ac:dyDescent="0.25">
      <c r="B6285" s="42"/>
      <c r="AA6285" s="43"/>
    </row>
    <row r="6286" spans="2:27" x14ac:dyDescent="0.25">
      <c r="B6286" s="42"/>
      <c r="AA6286" s="43"/>
    </row>
    <row r="6287" spans="2:27" x14ac:dyDescent="0.25">
      <c r="B6287" s="42"/>
      <c r="AA6287" s="43"/>
    </row>
    <row r="6288" spans="2:27" x14ac:dyDescent="0.25">
      <c r="B6288" s="42"/>
      <c r="AA6288" s="43"/>
    </row>
    <row r="6289" spans="2:27" x14ac:dyDescent="0.25">
      <c r="B6289" s="42"/>
      <c r="AA6289" s="43"/>
    </row>
    <row r="6290" spans="2:27" x14ac:dyDescent="0.25">
      <c r="B6290" s="42"/>
      <c r="AA6290" s="43"/>
    </row>
    <row r="6291" spans="2:27" x14ac:dyDescent="0.25">
      <c r="B6291" s="42"/>
      <c r="AA6291" s="43"/>
    </row>
    <row r="6292" spans="2:27" x14ac:dyDescent="0.25">
      <c r="B6292" s="42"/>
      <c r="AA6292" s="43"/>
    </row>
    <row r="6293" spans="2:27" x14ac:dyDescent="0.25">
      <c r="B6293" s="42"/>
      <c r="AA6293" s="43"/>
    </row>
    <row r="6294" spans="2:27" x14ac:dyDescent="0.25">
      <c r="B6294" s="42"/>
      <c r="AA6294" s="43"/>
    </row>
    <row r="6295" spans="2:27" x14ac:dyDescent="0.25">
      <c r="B6295" s="42"/>
      <c r="AA6295" s="43"/>
    </row>
    <row r="6296" spans="2:27" x14ac:dyDescent="0.25">
      <c r="B6296" s="42"/>
      <c r="AA6296" s="43"/>
    </row>
    <row r="6297" spans="2:27" x14ac:dyDescent="0.25">
      <c r="B6297" s="42"/>
      <c r="AA6297" s="43"/>
    </row>
    <row r="6298" spans="2:27" x14ac:dyDescent="0.25">
      <c r="B6298" s="42"/>
      <c r="AA6298" s="43"/>
    </row>
    <row r="6299" spans="2:27" x14ac:dyDescent="0.25">
      <c r="B6299" s="42"/>
      <c r="AA6299" s="43"/>
    </row>
    <row r="6300" spans="2:27" x14ac:dyDescent="0.25">
      <c r="B6300" s="42"/>
      <c r="AA6300" s="43"/>
    </row>
    <row r="6301" spans="2:27" x14ac:dyDescent="0.25">
      <c r="B6301" s="42"/>
      <c r="AA6301" s="43"/>
    </row>
    <row r="6302" spans="2:27" x14ac:dyDescent="0.25">
      <c r="B6302" s="42"/>
      <c r="AA6302" s="43"/>
    </row>
    <row r="6303" spans="2:27" x14ac:dyDescent="0.25">
      <c r="B6303" s="42"/>
      <c r="AA6303" s="43"/>
    </row>
    <row r="6304" spans="2:27" x14ac:dyDescent="0.25">
      <c r="B6304" s="42"/>
      <c r="AA6304" s="43"/>
    </row>
    <row r="6305" spans="2:27" x14ac:dyDescent="0.25">
      <c r="B6305" s="42"/>
      <c r="AA6305" s="43"/>
    </row>
    <row r="6306" spans="2:27" x14ac:dyDescent="0.25">
      <c r="B6306" s="42"/>
      <c r="AA6306" s="43"/>
    </row>
    <row r="6307" spans="2:27" x14ac:dyDescent="0.25">
      <c r="B6307" s="42"/>
      <c r="AA6307" s="43"/>
    </row>
    <row r="6308" spans="2:27" x14ac:dyDescent="0.25">
      <c r="B6308" s="42"/>
      <c r="AA6308" s="43"/>
    </row>
    <row r="6309" spans="2:27" x14ac:dyDescent="0.25">
      <c r="B6309" s="42"/>
      <c r="AA6309" s="43"/>
    </row>
    <row r="6310" spans="2:27" x14ac:dyDescent="0.25">
      <c r="B6310" s="42"/>
      <c r="AA6310" s="43"/>
    </row>
    <row r="6311" spans="2:27" x14ac:dyDescent="0.25">
      <c r="B6311" s="42"/>
      <c r="AA6311" s="43"/>
    </row>
    <row r="6312" spans="2:27" x14ac:dyDescent="0.25">
      <c r="B6312" s="42"/>
      <c r="AA6312" s="43"/>
    </row>
    <row r="6313" spans="2:27" x14ac:dyDescent="0.25">
      <c r="B6313" s="42"/>
      <c r="AA6313" s="43"/>
    </row>
    <row r="6314" spans="2:27" x14ac:dyDescent="0.25">
      <c r="B6314" s="42"/>
      <c r="AA6314" s="43"/>
    </row>
    <row r="6315" spans="2:27" x14ac:dyDescent="0.25">
      <c r="B6315" s="42"/>
      <c r="AA6315" s="43"/>
    </row>
    <row r="6316" spans="2:27" x14ac:dyDescent="0.25">
      <c r="B6316" s="42"/>
      <c r="AA6316" s="43"/>
    </row>
    <row r="6317" spans="2:27" x14ac:dyDescent="0.25">
      <c r="B6317" s="42"/>
      <c r="AA6317" s="43"/>
    </row>
    <row r="6318" spans="2:27" x14ac:dyDescent="0.25">
      <c r="B6318" s="42"/>
      <c r="AA6318" s="43"/>
    </row>
    <row r="6319" spans="2:27" x14ac:dyDescent="0.25">
      <c r="B6319" s="42"/>
      <c r="AA6319" s="43"/>
    </row>
    <row r="6320" spans="2:27" x14ac:dyDescent="0.25">
      <c r="B6320" s="42"/>
      <c r="AA6320" s="43"/>
    </row>
    <row r="6321" spans="2:27" x14ac:dyDescent="0.25">
      <c r="B6321" s="42"/>
      <c r="AA6321" s="43"/>
    </row>
    <row r="6322" spans="2:27" x14ac:dyDescent="0.25">
      <c r="B6322" s="42"/>
      <c r="AA6322" s="43"/>
    </row>
    <row r="6323" spans="2:27" x14ac:dyDescent="0.25">
      <c r="B6323" s="42"/>
      <c r="AA6323" s="43"/>
    </row>
    <row r="6324" spans="2:27" x14ac:dyDescent="0.25">
      <c r="B6324" s="42"/>
      <c r="AA6324" s="43"/>
    </row>
    <row r="6325" spans="2:27" x14ac:dyDescent="0.25">
      <c r="B6325" s="42"/>
      <c r="AA6325" s="43"/>
    </row>
    <row r="6326" spans="2:27" x14ac:dyDescent="0.25">
      <c r="B6326" s="42"/>
      <c r="AA6326" s="43"/>
    </row>
    <row r="6327" spans="2:27" x14ac:dyDescent="0.25">
      <c r="B6327" s="42"/>
      <c r="AA6327" s="43"/>
    </row>
    <row r="6328" spans="2:27" x14ac:dyDescent="0.25">
      <c r="B6328" s="42"/>
      <c r="AA6328" s="43"/>
    </row>
    <row r="6329" spans="2:27" x14ac:dyDescent="0.25">
      <c r="B6329" s="42"/>
      <c r="AA6329" s="43"/>
    </row>
    <row r="6330" spans="2:27" x14ac:dyDescent="0.25">
      <c r="B6330" s="42"/>
      <c r="AA6330" s="43"/>
    </row>
    <row r="6331" spans="2:27" x14ac:dyDescent="0.25">
      <c r="B6331" s="42"/>
      <c r="AA6331" s="43"/>
    </row>
    <row r="6332" spans="2:27" x14ac:dyDescent="0.25">
      <c r="B6332" s="42"/>
      <c r="AA6332" s="43"/>
    </row>
    <row r="6333" spans="2:27" x14ac:dyDescent="0.25">
      <c r="B6333" s="42"/>
      <c r="AA6333" s="43"/>
    </row>
    <row r="6334" spans="2:27" x14ac:dyDescent="0.25">
      <c r="B6334" s="42"/>
      <c r="AA6334" s="43"/>
    </row>
    <row r="6335" spans="2:27" x14ac:dyDescent="0.25">
      <c r="B6335" s="42"/>
      <c r="AA6335" s="43"/>
    </row>
    <row r="6336" spans="2:27" x14ac:dyDescent="0.25">
      <c r="B6336" s="42"/>
      <c r="AA6336" s="43"/>
    </row>
    <row r="6337" spans="2:27" x14ac:dyDescent="0.25">
      <c r="B6337" s="42"/>
      <c r="AA6337" s="43"/>
    </row>
    <row r="6338" spans="2:27" x14ac:dyDescent="0.25">
      <c r="B6338" s="42"/>
      <c r="AA6338" s="43"/>
    </row>
    <row r="6339" spans="2:27" x14ac:dyDescent="0.25">
      <c r="B6339" s="42"/>
      <c r="AA6339" s="43"/>
    </row>
    <row r="6340" spans="2:27" x14ac:dyDescent="0.25">
      <c r="B6340" s="42"/>
      <c r="AA6340" s="43"/>
    </row>
    <row r="6341" spans="2:27" x14ac:dyDescent="0.25">
      <c r="B6341" s="42"/>
      <c r="AA6341" s="43"/>
    </row>
    <row r="6342" spans="2:27" x14ac:dyDescent="0.25">
      <c r="B6342" s="42"/>
      <c r="AA6342" s="43"/>
    </row>
    <row r="6343" spans="2:27" x14ac:dyDescent="0.25">
      <c r="B6343" s="42"/>
      <c r="AA6343" s="43"/>
    </row>
    <row r="6344" spans="2:27" x14ac:dyDescent="0.25">
      <c r="B6344" s="42"/>
      <c r="AA6344" s="43"/>
    </row>
    <row r="6345" spans="2:27" x14ac:dyDescent="0.25">
      <c r="B6345" s="42"/>
      <c r="AA6345" s="43"/>
    </row>
    <row r="6346" spans="2:27" x14ac:dyDescent="0.25">
      <c r="B6346" s="42"/>
      <c r="AA6346" s="43"/>
    </row>
    <row r="6347" spans="2:27" x14ac:dyDescent="0.25">
      <c r="B6347" s="42"/>
      <c r="AA6347" s="43"/>
    </row>
    <row r="6348" spans="2:27" x14ac:dyDescent="0.25">
      <c r="B6348" s="42"/>
      <c r="AA6348" s="43"/>
    </row>
    <row r="6349" spans="2:27" x14ac:dyDescent="0.25">
      <c r="B6349" s="42"/>
      <c r="AA6349" s="43"/>
    </row>
    <row r="6350" spans="2:27" x14ac:dyDescent="0.25">
      <c r="B6350" s="42"/>
      <c r="AA6350" s="43"/>
    </row>
    <row r="6351" spans="2:27" x14ac:dyDescent="0.25">
      <c r="B6351" s="42"/>
      <c r="AA6351" s="43"/>
    </row>
    <row r="6352" spans="2:27" x14ac:dyDescent="0.25">
      <c r="B6352" s="42"/>
      <c r="AA6352" s="43"/>
    </row>
    <row r="6353" spans="2:27" x14ac:dyDescent="0.25">
      <c r="B6353" s="42"/>
      <c r="AA6353" s="43"/>
    </row>
    <row r="6354" spans="2:27" x14ac:dyDescent="0.25">
      <c r="B6354" s="42"/>
      <c r="AA6354" s="43"/>
    </row>
    <row r="6355" spans="2:27" x14ac:dyDescent="0.25">
      <c r="B6355" s="42"/>
      <c r="AA6355" s="43"/>
    </row>
    <row r="6356" spans="2:27" x14ac:dyDescent="0.25">
      <c r="B6356" s="42"/>
      <c r="AA6356" s="43"/>
    </row>
    <row r="6357" spans="2:27" x14ac:dyDescent="0.25">
      <c r="B6357" s="42"/>
      <c r="AA6357" s="43"/>
    </row>
    <row r="6358" spans="2:27" x14ac:dyDescent="0.25">
      <c r="B6358" s="42"/>
      <c r="AA6358" s="43"/>
    </row>
    <row r="6359" spans="2:27" x14ac:dyDescent="0.25">
      <c r="B6359" s="42"/>
      <c r="AA6359" s="43"/>
    </row>
    <row r="6360" spans="2:27" x14ac:dyDescent="0.25">
      <c r="B6360" s="42"/>
      <c r="AA6360" s="43"/>
    </row>
    <row r="6361" spans="2:27" x14ac:dyDescent="0.25">
      <c r="B6361" s="42"/>
      <c r="AA6361" s="43"/>
    </row>
    <row r="6362" spans="2:27" x14ac:dyDescent="0.25">
      <c r="B6362" s="42"/>
      <c r="AA6362" s="43"/>
    </row>
    <row r="6363" spans="2:27" x14ac:dyDescent="0.25">
      <c r="B6363" s="42"/>
      <c r="AA6363" s="43"/>
    </row>
    <row r="6364" spans="2:27" x14ac:dyDescent="0.25">
      <c r="B6364" s="42"/>
      <c r="AA6364" s="43"/>
    </row>
    <row r="6365" spans="2:27" x14ac:dyDescent="0.25">
      <c r="B6365" s="42"/>
      <c r="AA6365" s="43"/>
    </row>
    <row r="6366" spans="2:27" x14ac:dyDescent="0.25">
      <c r="B6366" s="42"/>
      <c r="AA6366" s="43"/>
    </row>
    <row r="6367" spans="2:27" x14ac:dyDescent="0.25">
      <c r="B6367" s="42"/>
      <c r="AA6367" s="43"/>
    </row>
    <row r="6368" spans="2:27" x14ac:dyDescent="0.25">
      <c r="B6368" s="42"/>
      <c r="AA6368" s="43"/>
    </row>
    <row r="6369" spans="2:27" x14ac:dyDescent="0.25">
      <c r="B6369" s="42"/>
      <c r="AA6369" s="43"/>
    </row>
    <row r="6370" spans="2:27" x14ac:dyDescent="0.25">
      <c r="B6370" s="42"/>
      <c r="AA6370" s="43"/>
    </row>
    <row r="6371" spans="2:27" x14ac:dyDescent="0.25">
      <c r="B6371" s="42"/>
      <c r="AA6371" s="43"/>
    </row>
    <row r="6372" spans="2:27" x14ac:dyDescent="0.25">
      <c r="B6372" s="42"/>
      <c r="AA6372" s="43"/>
    </row>
    <row r="6373" spans="2:27" x14ac:dyDescent="0.25">
      <c r="B6373" s="42"/>
      <c r="AA6373" s="43"/>
    </row>
    <row r="6374" spans="2:27" x14ac:dyDescent="0.25">
      <c r="B6374" s="42"/>
      <c r="AA6374" s="43"/>
    </row>
    <row r="6375" spans="2:27" x14ac:dyDescent="0.25">
      <c r="B6375" s="42"/>
      <c r="AA6375" s="43"/>
    </row>
    <row r="6376" spans="2:27" x14ac:dyDescent="0.25">
      <c r="B6376" s="42"/>
      <c r="AA6376" s="43"/>
    </row>
    <row r="6377" spans="2:27" x14ac:dyDescent="0.25">
      <c r="B6377" s="42"/>
      <c r="AA6377" s="43"/>
    </row>
    <row r="6378" spans="2:27" x14ac:dyDescent="0.25">
      <c r="B6378" s="42"/>
      <c r="AA6378" s="43"/>
    </row>
    <row r="6379" spans="2:27" x14ac:dyDescent="0.25">
      <c r="B6379" s="42"/>
      <c r="AA6379" s="43"/>
    </row>
    <row r="6380" spans="2:27" x14ac:dyDescent="0.25">
      <c r="B6380" s="42"/>
      <c r="AA6380" s="43"/>
    </row>
    <row r="6381" spans="2:27" x14ac:dyDescent="0.25">
      <c r="B6381" s="42"/>
      <c r="AA6381" s="43"/>
    </row>
    <row r="6382" spans="2:27" x14ac:dyDescent="0.25">
      <c r="B6382" s="42"/>
      <c r="AA6382" s="43"/>
    </row>
    <row r="6383" spans="2:27" x14ac:dyDescent="0.25">
      <c r="B6383" s="42"/>
      <c r="AA6383" s="43"/>
    </row>
    <row r="6384" spans="2:27" x14ac:dyDescent="0.25">
      <c r="B6384" s="42"/>
      <c r="AA6384" s="43"/>
    </row>
    <row r="6385" spans="2:27" x14ac:dyDescent="0.25">
      <c r="B6385" s="42"/>
      <c r="AA6385" s="43"/>
    </row>
    <row r="6386" spans="2:27" x14ac:dyDescent="0.25">
      <c r="B6386" s="42"/>
      <c r="AA6386" s="43"/>
    </row>
    <row r="6387" spans="2:27" x14ac:dyDescent="0.25">
      <c r="B6387" s="42"/>
      <c r="AA6387" s="43"/>
    </row>
    <row r="6388" spans="2:27" x14ac:dyDescent="0.25">
      <c r="B6388" s="42"/>
      <c r="AA6388" s="43"/>
    </row>
    <row r="6389" spans="2:27" x14ac:dyDescent="0.25">
      <c r="B6389" s="42"/>
      <c r="AA6389" s="43"/>
    </row>
    <row r="6390" spans="2:27" x14ac:dyDescent="0.25">
      <c r="B6390" s="42"/>
      <c r="AA6390" s="43"/>
    </row>
    <row r="6391" spans="2:27" x14ac:dyDescent="0.25">
      <c r="B6391" s="42"/>
      <c r="AA6391" s="43"/>
    </row>
    <row r="6392" spans="2:27" x14ac:dyDescent="0.25">
      <c r="B6392" s="42"/>
      <c r="AA6392" s="43"/>
    </row>
    <row r="6393" spans="2:27" x14ac:dyDescent="0.25">
      <c r="B6393" s="42"/>
      <c r="AA6393" s="43"/>
    </row>
    <row r="6394" spans="2:27" x14ac:dyDescent="0.25">
      <c r="B6394" s="42"/>
      <c r="AA6394" s="43"/>
    </row>
    <row r="6395" spans="2:27" x14ac:dyDescent="0.25">
      <c r="B6395" s="42"/>
      <c r="AA6395" s="43"/>
    </row>
    <row r="6396" spans="2:27" x14ac:dyDescent="0.25">
      <c r="B6396" s="42"/>
      <c r="AA6396" s="43"/>
    </row>
    <row r="6397" spans="2:27" x14ac:dyDescent="0.25">
      <c r="B6397" s="42"/>
      <c r="AA6397" s="43"/>
    </row>
    <row r="6398" spans="2:27" x14ac:dyDescent="0.25">
      <c r="B6398" s="42"/>
      <c r="AA6398" s="43"/>
    </row>
    <row r="6399" spans="2:27" x14ac:dyDescent="0.25">
      <c r="B6399" s="42"/>
      <c r="AA6399" s="43"/>
    </row>
    <row r="6400" spans="2:27" x14ac:dyDescent="0.25">
      <c r="B6400" s="42"/>
      <c r="AA6400" s="43"/>
    </row>
    <row r="6401" spans="2:27" x14ac:dyDescent="0.25">
      <c r="B6401" s="42"/>
      <c r="AA6401" s="43"/>
    </row>
    <row r="6402" spans="2:27" x14ac:dyDescent="0.25">
      <c r="B6402" s="42"/>
      <c r="AA6402" s="43"/>
    </row>
    <row r="6403" spans="2:27" x14ac:dyDescent="0.25">
      <c r="B6403" s="42"/>
      <c r="AA6403" s="43"/>
    </row>
    <row r="6404" spans="2:27" x14ac:dyDescent="0.25">
      <c r="B6404" s="42"/>
      <c r="AA6404" s="43"/>
    </row>
    <row r="6405" spans="2:27" x14ac:dyDescent="0.25">
      <c r="B6405" s="42"/>
      <c r="AA6405" s="43"/>
    </row>
    <row r="6406" spans="2:27" x14ac:dyDescent="0.25">
      <c r="B6406" s="42"/>
      <c r="AA6406" s="43"/>
    </row>
    <row r="6407" spans="2:27" x14ac:dyDescent="0.25">
      <c r="B6407" s="42"/>
      <c r="AA6407" s="43"/>
    </row>
    <row r="6408" spans="2:27" x14ac:dyDescent="0.25">
      <c r="B6408" s="42"/>
      <c r="AA6408" s="43"/>
    </row>
    <row r="6409" spans="2:27" x14ac:dyDescent="0.25">
      <c r="B6409" s="42"/>
      <c r="AA6409" s="43"/>
    </row>
    <row r="6410" spans="2:27" x14ac:dyDescent="0.25">
      <c r="B6410" s="42"/>
      <c r="AA6410" s="43"/>
    </row>
    <row r="6411" spans="2:27" x14ac:dyDescent="0.25">
      <c r="B6411" s="42"/>
      <c r="AA6411" s="43"/>
    </row>
    <row r="6412" spans="2:27" x14ac:dyDescent="0.25">
      <c r="B6412" s="42"/>
      <c r="AA6412" s="43"/>
    </row>
    <row r="6413" spans="2:27" x14ac:dyDescent="0.25">
      <c r="B6413" s="42"/>
      <c r="AA6413" s="43"/>
    </row>
    <row r="6414" spans="2:27" x14ac:dyDescent="0.25">
      <c r="B6414" s="42"/>
      <c r="AA6414" s="43"/>
    </row>
    <row r="6415" spans="2:27" x14ac:dyDescent="0.25">
      <c r="B6415" s="42"/>
      <c r="AA6415" s="43"/>
    </row>
    <row r="6416" spans="2:27" x14ac:dyDescent="0.25">
      <c r="B6416" s="42"/>
      <c r="AA6416" s="43"/>
    </row>
    <row r="6417" spans="2:27" x14ac:dyDescent="0.25">
      <c r="B6417" s="42"/>
      <c r="AA6417" s="43"/>
    </row>
    <row r="6418" spans="2:27" x14ac:dyDescent="0.25">
      <c r="B6418" s="42"/>
      <c r="AA6418" s="43"/>
    </row>
    <row r="6419" spans="2:27" x14ac:dyDescent="0.25">
      <c r="B6419" s="42"/>
      <c r="AA6419" s="43"/>
    </row>
    <row r="6420" spans="2:27" x14ac:dyDescent="0.25">
      <c r="B6420" s="42"/>
      <c r="AA6420" s="43"/>
    </row>
    <row r="6421" spans="2:27" x14ac:dyDescent="0.25">
      <c r="B6421" s="42"/>
      <c r="AA6421" s="43"/>
    </row>
    <row r="6422" spans="2:27" x14ac:dyDescent="0.25">
      <c r="B6422" s="42"/>
      <c r="AA6422" s="43"/>
    </row>
    <row r="6423" spans="2:27" x14ac:dyDescent="0.25">
      <c r="B6423" s="42"/>
      <c r="AA6423" s="43"/>
    </row>
    <row r="6424" spans="2:27" x14ac:dyDescent="0.25">
      <c r="B6424" s="42"/>
      <c r="AA6424" s="43"/>
    </row>
    <row r="6425" spans="2:27" x14ac:dyDescent="0.25">
      <c r="B6425" s="42"/>
      <c r="AA6425" s="43"/>
    </row>
    <row r="6426" spans="2:27" x14ac:dyDescent="0.25">
      <c r="B6426" s="42"/>
      <c r="AA6426" s="43"/>
    </row>
    <row r="6427" spans="2:27" x14ac:dyDescent="0.25">
      <c r="B6427" s="42"/>
      <c r="AA6427" s="43"/>
    </row>
    <row r="6428" spans="2:27" x14ac:dyDescent="0.25">
      <c r="B6428" s="42"/>
      <c r="AA6428" s="43"/>
    </row>
    <row r="6429" spans="2:27" x14ac:dyDescent="0.25">
      <c r="B6429" s="42"/>
      <c r="AA6429" s="43"/>
    </row>
    <row r="6430" spans="2:27" x14ac:dyDescent="0.25">
      <c r="B6430" s="42"/>
      <c r="AA6430" s="43"/>
    </row>
    <row r="6431" spans="2:27" x14ac:dyDescent="0.25">
      <c r="B6431" s="42"/>
      <c r="AA6431" s="43"/>
    </row>
    <row r="6432" spans="2:27" x14ac:dyDescent="0.25">
      <c r="B6432" s="42"/>
      <c r="AA6432" s="43"/>
    </row>
    <row r="6433" spans="2:27" x14ac:dyDescent="0.25">
      <c r="B6433" s="42"/>
      <c r="AA6433" s="43"/>
    </row>
    <row r="6434" spans="2:27" x14ac:dyDescent="0.25">
      <c r="B6434" s="42"/>
      <c r="AA6434" s="43"/>
    </row>
    <row r="6435" spans="2:27" x14ac:dyDescent="0.25">
      <c r="B6435" s="42"/>
      <c r="AA6435" s="43"/>
    </row>
    <row r="6436" spans="2:27" x14ac:dyDescent="0.25">
      <c r="B6436" s="42"/>
      <c r="AA6436" s="43"/>
    </row>
    <row r="6437" spans="2:27" x14ac:dyDescent="0.25">
      <c r="B6437" s="42"/>
      <c r="AA6437" s="43"/>
    </row>
    <row r="6438" spans="2:27" x14ac:dyDescent="0.25">
      <c r="B6438" s="42"/>
      <c r="AA6438" s="43"/>
    </row>
    <row r="6439" spans="2:27" x14ac:dyDescent="0.25">
      <c r="B6439" s="42"/>
      <c r="AA6439" s="43"/>
    </row>
    <row r="6440" spans="2:27" x14ac:dyDescent="0.25">
      <c r="B6440" s="42"/>
      <c r="AA6440" s="43"/>
    </row>
    <row r="6441" spans="2:27" x14ac:dyDescent="0.25">
      <c r="B6441" s="42"/>
      <c r="AA6441" s="43"/>
    </row>
    <row r="6442" spans="2:27" x14ac:dyDescent="0.25">
      <c r="B6442" s="42"/>
      <c r="AA6442" s="43"/>
    </row>
    <row r="6443" spans="2:27" x14ac:dyDescent="0.25">
      <c r="B6443" s="42"/>
      <c r="AA6443" s="43"/>
    </row>
    <row r="6444" spans="2:27" x14ac:dyDescent="0.25">
      <c r="B6444" s="42"/>
      <c r="AA6444" s="43"/>
    </row>
    <row r="6445" spans="2:27" x14ac:dyDescent="0.25">
      <c r="B6445" s="42"/>
      <c r="AA6445" s="43"/>
    </row>
    <row r="6446" spans="2:27" x14ac:dyDescent="0.25">
      <c r="B6446" s="42"/>
      <c r="AA6446" s="43"/>
    </row>
    <row r="6447" spans="2:27" x14ac:dyDescent="0.25">
      <c r="B6447" s="42"/>
      <c r="AA6447" s="43"/>
    </row>
    <row r="6448" spans="2:27" x14ac:dyDescent="0.25">
      <c r="B6448" s="42"/>
      <c r="AA6448" s="43"/>
    </row>
    <row r="6449" spans="2:27" x14ac:dyDescent="0.25">
      <c r="B6449" s="42"/>
      <c r="AA6449" s="43"/>
    </row>
    <row r="6450" spans="2:27" x14ac:dyDescent="0.25">
      <c r="B6450" s="42"/>
      <c r="AA6450" s="43"/>
    </row>
    <row r="6451" spans="2:27" x14ac:dyDescent="0.25">
      <c r="B6451" s="42"/>
      <c r="AA6451" s="43"/>
    </row>
    <row r="6452" spans="2:27" x14ac:dyDescent="0.25">
      <c r="B6452" s="42"/>
      <c r="AA6452" s="43"/>
    </row>
    <row r="6453" spans="2:27" x14ac:dyDescent="0.25">
      <c r="B6453" s="42"/>
      <c r="AA6453" s="43"/>
    </row>
    <row r="6454" spans="2:27" x14ac:dyDescent="0.25">
      <c r="B6454" s="42"/>
      <c r="AA6454" s="43"/>
    </row>
    <row r="6455" spans="2:27" x14ac:dyDescent="0.25">
      <c r="B6455" s="42"/>
      <c r="AA6455" s="43"/>
    </row>
    <row r="6456" spans="2:27" x14ac:dyDescent="0.25">
      <c r="B6456" s="42"/>
      <c r="AA6456" s="43"/>
    </row>
    <row r="6457" spans="2:27" x14ac:dyDescent="0.25">
      <c r="B6457" s="42"/>
      <c r="AA6457" s="43"/>
    </row>
    <row r="6458" spans="2:27" x14ac:dyDescent="0.25">
      <c r="B6458" s="42"/>
      <c r="AA6458" s="43"/>
    </row>
    <row r="6459" spans="2:27" x14ac:dyDescent="0.25">
      <c r="B6459" s="42"/>
      <c r="AA6459" s="43"/>
    </row>
    <row r="6460" spans="2:27" x14ac:dyDescent="0.25">
      <c r="B6460" s="42"/>
      <c r="AA6460" s="43"/>
    </row>
    <row r="6461" spans="2:27" x14ac:dyDescent="0.25">
      <c r="B6461" s="42"/>
      <c r="AA6461" s="43"/>
    </row>
    <row r="6462" spans="2:27" x14ac:dyDescent="0.25">
      <c r="B6462" s="42"/>
      <c r="AA6462" s="43"/>
    </row>
    <row r="6463" spans="2:27" x14ac:dyDescent="0.25">
      <c r="B6463" s="42"/>
      <c r="AA6463" s="43"/>
    </row>
    <row r="6464" spans="2:27" x14ac:dyDescent="0.25">
      <c r="B6464" s="42"/>
      <c r="AA6464" s="43"/>
    </row>
    <row r="6465" spans="2:27" x14ac:dyDescent="0.25">
      <c r="B6465" s="42"/>
      <c r="AA6465" s="43"/>
    </row>
    <row r="6466" spans="2:27" x14ac:dyDescent="0.25">
      <c r="B6466" s="42"/>
      <c r="AA6466" s="43"/>
    </row>
    <row r="6467" spans="2:27" x14ac:dyDescent="0.25">
      <c r="B6467" s="42"/>
      <c r="AA6467" s="43"/>
    </row>
    <row r="6468" spans="2:27" x14ac:dyDescent="0.25">
      <c r="B6468" s="42"/>
      <c r="AA6468" s="43"/>
    </row>
    <row r="6469" spans="2:27" x14ac:dyDescent="0.25">
      <c r="B6469" s="42"/>
      <c r="AA6469" s="43"/>
    </row>
    <row r="6470" spans="2:27" x14ac:dyDescent="0.25">
      <c r="B6470" s="42"/>
      <c r="AA6470" s="43"/>
    </row>
    <row r="6471" spans="2:27" x14ac:dyDescent="0.25">
      <c r="B6471" s="42"/>
      <c r="AA6471" s="43"/>
    </row>
    <row r="6472" spans="2:27" x14ac:dyDescent="0.25">
      <c r="B6472" s="42"/>
      <c r="AA6472" s="43"/>
    </row>
    <row r="6473" spans="2:27" x14ac:dyDescent="0.25">
      <c r="B6473" s="42"/>
      <c r="AA6473" s="43"/>
    </row>
    <row r="6474" spans="2:27" x14ac:dyDescent="0.25">
      <c r="B6474" s="42"/>
      <c r="AA6474" s="43"/>
    </row>
    <row r="6475" spans="2:27" x14ac:dyDescent="0.25">
      <c r="B6475" s="42"/>
      <c r="AA6475" s="43"/>
    </row>
    <row r="6476" spans="2:27" x14ac:dyDescent="0.25">
      <c r="B6476" s="42"/>
      <c r="AA6476" s="43"/>
    </row>
    <row r="6477" spans="2:27" x14ac:dyDescent="0.25">
      <c r="B6477" s="42"/>
      <c r="AA6477" s="43"/>
    </row>
    <row r="6478" spans="2:27" x14ac:dyDescent="0.25">
      <c r="B6478" s="42"/>
      <c r="AA6478" s="43"/>
    </row>
    <row r="6479" spans="2:27" x14ac:dyDescent="0.25">
      <c r="B6479" s="42"/>
      <c r="AA6479" s="43"/>
    </row>
    <row r="6480" spans="2:27" x14ac:dyDescent="0.25">
      <c r="B6480" s="42"/>
      <c r="AA6480" s="43"/>
    </row>
    <row r="6481" spans="2:27" x14ac:dyDescent="0.25">
      <c r="B6481" s="42"/>
      <c r="AA6481" s="43"/>
    </row>
    <row r="6482" spans="2:27" x14ac:dyDescent="0.25">
      <c r="B6482" s="42"/>
      <c r="AA6482" s="43"/>
    </row>
    <row r="6483" spans="2:27" x14ac:dyDescent="0.25">
      <c r="B6483" s="42"/>
      <c r="AA6483" s="43"/>
    </row>
    <row r="6484" spans="2:27" x14ac:dyDescent="0.25">
      <c r="B6484" s="42"/>
      <c r="AA6484" s="43"/>
    </row>
    <row r="6485" spans="2:27" x14ac:dyDescent="0.25">
      <c r="B6485" s="42"/>
      <c r="AA6485" s="43"/>
    </row>
    <row r="6486" spans="2:27" x14ac:dyDescent="0.25">
      <c r="B6486" s="42"/>
      <c r="AA6486" s="43"/>
    </row>
    <row r="6487" spans="2:27" x14ac:dyDescent="0.25">
      <c r="B6487" s="42"/>
      <c r="AA6487" s="43"/>
    </row>
    <row r="6488" spans="2:27" x14ac:dyDescent="0.25">
      <c r="B6488" s="42"/>
      <c r="AA6488" s="43"/>
    </row>
    <row r="6489" spans="2:27" x14ac:dyDescent="0.25">
      <c r="B6489" s="42"/>
      <c r="AA6489" s="43"/>
    </row>
    <row r="6490" spans="2:27" x14ac:dyDescent="0.25">
      <c r="B6490" s="42"/>
      <c r="AA6490" s="43"/>
    </row>
    <row r="6491" spans="2:27" x14ac:dyDescent="0.25">
      <c r="B6491" s="42"/>
      <c r="AA6491" s="43"/>
    </row>
    <row r="6492" spans="2:27" x14ac:dyDescent="0.25">
      <c r="B6492" s="42"/>
      <c r="AA6492" s="43"/>
    </row>
    <row r="6493" spans="2:27" x14ac:dyDescent="0.25">
      <c r="B6493" s="42"/>
      <c r="AA6493" s="43"/>
    </row>
    <row r="6494" spans="2:27" x14ac:dyDescent="0.25">
      <c r="B6494" s="42"/>
      <c r="AA6494" s="43"/>
    </row>
    <row r="6495" spans="2:27" x14ac:dyDescent="0.25">
      <c r="B6495" s="42"/>
      <c r="AA6495" s="43"/>
    </row>
    <row r="6496" spans="2:27" x14ac:dyDescent="0.25">
      <c r="B6496" s="42"/>
      <c r="AA6496" s="43"/>
    </row>
    <row r="6497" spans="2:27" x14ac:dyDescent="0.25">
      <c r="B6497" s="42"/>
      <c r="AA6497" s="43"/>
    </row>
    <row r="6498" spans="2:27" x14ac:dyDescent="0.25">
      <c r="B6498" s="42"/>
      <c r="AA6498" s="43"/>
    </row>
    <row r="6499" spans="2:27" x14ac:dyDescent="0.25">
      <c r="B6499" s="42"/>
      <c r="AA6499" s="43"/>
    </row>
    <row r="6500" spans="2:27" x14ac:dyDescent="0.25">
      <c r="B6500" s="42"/>
      <c r="AA6500" s="43"/>
    </row>
    <row r="6501" spans="2:27" x14ac:dyDescent="0.25">
      <c r="B6501" s="42"/>
      <c r="AA6501" s="43"/>
    </row>
    <row r="6502" spans="2:27" x14ac:dyDescent="0.25">
      <c r="B6502" s="42"/>
      <c r="AA6502" s="43"/>
    </row>
    <row r="6503" spans="2:27" x14ac:dyDescent="0.25">
      <c r="B6503" s="42"/>
      <c r="AA6503" s="43"/>
    </row>
    <row r="6504" spans="2:27" x14ac:dyDescent="0.25">
      <c r="B6504" s="42"/>
      <c r="AA6504" s="43"/>
    </row>
    <row r="6505" spans="2:27" x14ac:dyDescent="0.25">
      <c r="B6505" s="42"/>
      <c r="AA6505" s="43"/>
    </row>
    <row r="6506" spans="2:27" x14ac:dyDescent="0.25">
      <c r="B6506" s="42"/>
      <c r="AA6506" s="43"/>
    </row>
    <row r="6507" spans="2:27" x14ac:dyDescent="0.25">
      <c r="B6507" s="42"/>
      <c r="AA6507" s="43"/>
    </row>
    <row r="6508" spans="2:27" x14ac:dyDescent="0.25">
      <c r="B6508" s="42"/>
      <c r="AA6508" s="43"/>
    </row>
    <row r="6509" spans="2:27" x14ac:dyDescent="0.25">
      <c r="B6509" s="42"/>
      <c r="AA6509" s="43"/>
    </row>
    <row r="6510" spans="2:27" x14ac:dyDescent="0.25">
      <c r="B6510" s="42"/>
      <c r="AA6510" s="43"/>
    </row>
    <row r="6511" spans="2:27" x14ac:dyDescent="0.25">
      <c r="B6511" s="42"/>
      <c r="AA6511" s="43"/>
    </row>
    <row r="6512" spans="2:27" x14ac:dyDescent="0.25">
      <c r="B6512" s="42"/>
      <c r="AA6512" s="43"/>
    </row>
    <row r="6513" spans="2:27" x14ac:dyDescent="0.25">
      <c r="B6513" s="42"/>
      <c r="AA6513" s="43"/>
    </row>
    <row r="6514" spans="2:27" x14ac:dyDescent="0.25">
      <c r="B6514" s="42"/>
      <c r="AA6514" s="43"/>
    </row>
    <row r="6515" spans="2:27" x14ac:dyDescent="0.25">
      <c r="B6515" s="42"/>
      <c r="AA6515" s="43"/>
    </row>
    <row r="6516" spans="2:27" x14ac:dyDescent="0.25">
      <c r="B6516" s="42"/>
      <c r="AA6516" s="43"/>
    </row>
    <row r="6517" spans="2:27" x14ac:dyDescent="0.25">
      <c r="B6517" s="42"/>
      <c r="AA6517" s="43"/>
    </row>
    <row r="6518" spans="2:27" x14ac:dyDescent="0.25">
      <c r="B6518" s="42"/>
      <c r="AA6518" s="43"/>
    </row>
    <row r="6519" spans="2:27" x14ac:dyDescent="0.25">
      <c r="B6519" s="42"/>
      <c r="AA6519" s="43"/>
    </row>
    <row r="6520" spans="2:27" x14ac:dyDescent="0.25">
      <c r="B6520" s="42"/>
      <c r="AA6520" s="43"/>
    </row>
    <row r="6521" spans="2:27" x14ac:dyDescent="0.25">
      <c r="B6521" s="42"/>
      <c r="AA6521" s="43"/>
    </row>
    <row r="6522" spans="2:27" x14ac:dyDescent="0.25">
      <c r="B6522" s="42"/>
      <c r="AA6522" s="43"/>
    </row>
    <row r="6523" spans="2:27" x14ac:dyDescent="0.25">
      <c r="B6523" s="42"/>
      <c r="AA6523" s="43"/>
    </row>
    <row r="6524" spans="2:27" x14ac:dyDescent="0.25">
      <c r="B6524" s="42"/>
      <c r="AA6524" s="43"/>
    </row>
    <row r="6525" spans="2:27" x14ac:dyDescent="0.25">
      <c r="B6525" s="42"/>
      <c r="AA6525" s="43"/>
    </row>
    <row r="6526" spans="2:27" x14ac:dyDescent="0.25">
      <c r="B6526" s="42"/>
      <c r="AA6526" s="43"/>
    </row>
    <row r="6527" spans="2:27" x14ac:dyDescent="0.25">
      <c r="B6527" s="42"/>
      <c r="AA6527" s="43"/>
    </row>
    <row r="6528" spans="2:27" x14ac:dyDescent="0.25">
      <c r="B6528" s="42"/>
      <c r="AA6528" s="43"/>
    </row>
    <row r="6529" spans="2:27" x14ac:dyDescent="0.25">
      <c r="B6529" s="42"/>
      <c r="AA6529" s="43"/>
    </row>
    <row r="6530" spans="2:27" x14ac:dyDescent="0.25">
      <c r="B6530" s="42"/>
      <c r="AA6530" s="43"/>
    </row>
    <row r="6531" spans="2:27" x14ac:dyDescent="0.25">
      <c r="B6531" s="42"/>
      <c r="AA6531" s="43"/>
    </row>
    <row r="6532" spans="2:27" x14ac:dyDescent="0.25">
      <c r="B6532" s="42"/>
      <c r="AA6532" s="43"/>
    </row>
    <row r="6533" spans="2:27" x14ac:dyDescent="0.25">
      <c r="B6533" s="42"/>
      <c r="AA6533" s="43"/>
    </row>
    <row r="6534" spans="2:27" x14ac:dyDescent="0.25">
      <c r="B6534" s="42"/>
      <c r="AA6534" s="43"/>
    </row>
    <row r="6535" spans="2:27" x14ac:dyDescent="0.25">
      <c r="B6535" s="42"/>
      <c r="AA6535" s="43"/>
    </row>
    <row r="6536" spans="2:27" x14ac:dyDescent="0.25">
      <c r="B6536" s="42"/>
      <c r="AA6536" s="43"/>
    </row>
    <row r="6537" spans="2:27" x14ac:dyDescent="0.25">
      <c r="B6537" s="42"/>
      <c r="AA6537" s="43"/>
    </row>
    <row r="6538" spans="2:27" x14ac:dyDescent="0.25">
      <c r="B6538" s="42"/>
      <c r="AA6538" s="43"/>
    </row>
    <row r="6539" spans="2:27" x14ac:dyDescent="0.25">
      <c r="B6539" s="42"/>
      <c r="AA6539" s="43"/>
    </row>
    <row r="6540" spans="2:27" x14ac:dyDescent="0.25">
      <c r="B6540" s="42"/>
      <c r="AA6540" s="43"/>
    </row>
    <row r="6541" spans="2:27" x14ac:dyDescent="0.25">
      <c r="B6541" s="42"/>
      <c r="AA6541" s="43"/>
    </row>
    <row r="6542" spans="2:27" x14ac:dyDescent="0.25">
      <c r="B6542" s="42"/>
      <c r="AA6542" s="43"/>
    </row>
    <row r="6543" spans="2:27" x14ac:dyDescent="0.25">
      <c r="B6543" s="42"/>
      <c r="AA6543" s="43"/>
    </row>
    <row r="6544" spans="2:27" x14ac:dyDescent="0.25">
      <c r="B6544" s="42"/>
      <c r="AA6544" s="43"/>
    </row>
    <row r="6545" spans="2:27" x14ac:dyDescent="0.25">
      <c r="B6545" s="42"/>
      <c r="AA6545" s="43"/>
    </row>
    <row r="6546" spans="2:27" x14ac:dyDescent="0.25">
      <c r="B6546" s="42"/>
      <c r="AA6546" s="43"/>
    </row>
    <row r="6547" spans="2:27" x14ac:dyDescent="0.25">
      <c r="B6547" s="42"/>
      <c r="AA6547" s="43"/>
    </row>
    <row r="6548" spans="2:27" x14ac:dyDescent="0.25">
      <c r="B6548" s="42"/>
      <c r="AA6548" s="43"/>
    </row>
    <row r="6549" spans="2:27" x14ac:dyDescent="0.25">
      <c r="B6549" s="42"/>
      <c r="AA6549" s="43"/>
    </row>
    <row r="6550" spans="2:27" x14ac:dyDescent="0.25">
      <c r="B6550" s="42"/>
      <c r="AA6550" s="43"/>
    </row>
    <row r="6551" spans="2:27" x14ac:dyDescent="0.25">
      <c r="B6551" s="42"/>
      <c r="AA6551" s="43"/>
    </row>
    <row r="6552" spans="2:27" x14ac:dyDescent="0.25">
      <c r="B6552" s="42"/>
      <c r="AA6552" s="43"/>
    </row>
    <row r="6553" spans="2:27" x14ac:dyDescent="0.25">
      <c r="B6553" s="42"/>
      <c r="AA6553" s="43"/>
    </row>
    <row r="6554" spans="2:27" x14ac:dyDescent="0.25">
      <c r="B6554" s="42"/>
      <c r="AA6554" s="43"/>
    </row>
    <row r="6555" spans="2:27" x14ac:dyDescent="0.25">
      <c r="B6555" s="42"/>
      <c r="AA6555" s="43"/>
    </row>
    <row r="6556" spans="2:27" x14ac:dyDescent="0.25">
      <c r="B6556" s="42"/>
      <c r="AA6556" s="43"/>
    </row>
    <row r="6557" spans="2:27" x14ac:dyDescent="0.25">
      <c r="B6557" s="42"/>
      <c r="AA6557" s="43"/>
    </row>
    <row r="6558" spans="2:27" x14ac:dyDescent="0.25">
      <c r="B6558" s="42"/>
      <c r="AA6558" s="43"/>
    </row>
    <row r="6559" spans="2:27" x14ac:dyDescent="0.25">
      <c r="B6559" s="42"/>
      <c r="AA6559" s="43"/>
    </row>
    <row r="6560" spans="2:27" x14ac:dyDescent="0.25">
      <c r="B6560" s="42"/>
      <c r="AA6560" s="43"/>
    </row>
    <row r="6561" spans="2:27" x14ac:dyDescent="0.25">
      <c r="B6561" s="42"/>
      <c r="AA6561" s="43"/>
    </row>
    <row r="6562" spans="2:27" x14ac:dyDescent="0.25">
      <c r="B6562" s="42"/>
      <c r="AA6562" s="43"/>
    </row>
    <row r="6563" spans="2:27" x14ac:dyDescent="0.25">
      <c r="B6563" s="42"/>
      <c r="AA6563" s="43"/>
    </row>
    <row r="6564" spans="2:27" x14ac:dyDescent="0.25">
      <c r="B6564" s="42"/>
      <c r="AA6564" s="43"/>
    </row>
    <row r="6565" spans="2:27" x14ac:dyDescent="0.25">
      <c r="B6565" s="42"/>
      <c r="AA6565" s="43"/>
    </row>
    <row r="6566" spans="2:27" x14ac:dyDescent="0.25">
      <c r="B6566" s="42"/>
      <c r="AA6566" s="43"/>
    </row>
    <row r="6567" spans="2:27" x14ac:dyDescent="0.25">
      <c r="B6567" s="42"/>
      <c r="AA6567" s="43"/>
    </row>
    <row r="6568" spans="2:27" x14ac:dyDescent="0.25">
      <c r="B6568" s="42"/>
      <c r="AA6568" s="43"/>
    </row>
    <row r="6569" spans="2:27" x14ac:dyDescent="0.25">
      <c r="B6569" s="42"/>
      <c r="AA6569" s="43"/>
    </row>
    <row r="6570" spans="2:27" x14ac:dyDescent="0.25">
      <c r="B6570" s="42"/>
      <c r="AA6570" s="43"/>
    </row>
    <row r="6571" spans="2:27" x14ac:dyDescent="0.25">
      <c r="B6571" s="42"/>
      <c r="AA6571" s="43"/>
    </row>
    <row r="6572" spans="2:27" x14ac:dyDescent="0.25">
      <c r="B6572" s="42"/>
      <c r="AA6572" s="43"/>
    </row>
    <row r="6573" spans="2:27" x14ac:dyDescent="0.25">
      <c r="B6573" s="42"/>
      <c r="AA6573" s="43"/>
    </row>
    <row r="6574" spans="2:27" x14ac:dyDescent="0.25">
      <c r="B6574" s="42"/>
      <c r="AA6574" s="43"/>
    </row>
    <row r="6575" spans="2:27" x14ac:dyDescent="0.25">
      <c r="B6575" s="42"/>
      <c r="AA6575" s="43"/>
    </row>
    <row r="6576" spans="2:27" x14ac:dyDescent="0.25">
      <c r="B6576" s="42"/>
      <c r="AA6576" s="43"/>
    </row>
    <row r="6577" spans="2:27" x14ac:dyDescent="0.25">
      <c r="B6577" s="42"/>
      <c r="AA6577" s="43"/>
    </row>
    <row r="6578" spans="2:27" x14ac:dyDescent="0.25">
      <c r="B6578" s="42"/>
      <c r="AA6578" s="43"/>
    </row>
    <row r="6579" spans="2:27" x14ac:dyDescent="0.25">
      <c r="B6579" s="42"/>
      <c r="AA6579" s="43"/>
    </row>
    <row r="6580" spans="2:27" x14ac:dyDescent="0.25">
      <c r="B6580" s="42"/>
      <c r="AA6580" s="43"/>
    </row>
    <row r="6581" spans="2:27" x14ac:dyDescent="0.25">
      <c r="B6581" s="42"/>
      <c r="AA6581" s="43"/>
    </row>
    <row r="6582" spans="2:27" x14ac:dyDescent="0.25">
      <c r="B6582" s="42"/>
      <c r="AA6582" s="43"/>
    </row>
    <row r="6583" spans="2:27" x14ac:dyDescent="0.25">
      <c r="B6583" s="42"/>
      <c r="AA6583" s="43"/>
    </row>
    <row r="6584" spans="2:27" x14ac:dyDescent="0.25">
      <c r="B6584" s="42"/>
      <c r="AA6584" s="43"/>
    </row>
    <row r="6585" spans="2:27" x14ac:dyDescent="0.25">
      <c r="B6585" s="42"/>
      <c r="AA6585" s="43"/>
    </row>
    <row r="6586" spans="2:27" x14ac:dyDescent="0.25">
      <c r="B6586" s="42"/>
      <c r="AA6586" s="43"/>
    </row>
    <row r="6587" spans="2:27" x14ac:dyDescent="0.25">
      <c r="B6587" s="42"/>
      <c r="AA6587" s="43"/>
    </row>
    <row r="6588" spans="2:27" x14ac:dyDescent="0.25">
      <c r="B6588" s="42"/>
      <c r="AA6588" s="43"/>
    </row>
    <row r="6589" spans="2:27" x14ac:dyDescent="0.25">
      <c r="B6589" s="42"/>
      <c r="AA6589" s="43"/>
    </row>
    <row r="6590" spans="2:27" x14ac:dyDescent="0.25">
      <c r="B6590" s="42"/>
      <c r="AA6590" s="43"/>
    </row>
    <row r="6591" spans="2:27" x14ac:dyDescent="0.25">
      <c r="B6591" s="42"/>
      <c r="AA6591" s="43"/>
    </row>
    <row r="6592" spans="2:27" x14ac:dyDescent="0.25">
      <c r="B6592" s="42"/>
      <c r="AA6592" s="43"/>
    </row>
    <row r="6593" spans="2:27" x14ac:dyDescent="0.25">
      <c r="B6593" s="42"/>
      <c r="AA6593" s="43"/>
    </row>
    <row r="6594" spans="2:27" x14ac:dyDescent="0.25">
      <c r="B6594" s="42"/>
      <c r="AA6594" s="43"/>
    </row>
    <row r="6595" spans="2:27" x14ac:dyDescent="0.25">
      <c r="B6595" s="42"/>
      <c r="AA6595" s="43"/>
    </row>
    <row r="6596" spans="2:27" x14ac:dyDescent="0.25">
      <c r="B6596" s="42"/>
      <c r="AA6596" s="43"/>
    </row>
    <row r="6597" spans="2:27" x14ac:dyDescent="0.25">
      <c r="B6597" s="42"/>
      <c r="AA6597" s="43"/>
    </row>
    <row r="6598" spans="2:27" x14ac:dyDescent="0.25">
      <c r="B6598" s="42"/>
      <c r="AA6598" s="43"/>
    </row>
    <row r="6599" spans="2:27" x14ac:dyDescent="0.25">
      <c r="B6599" s="42"/>
      <c r="AA6599" s="43"/>
    </row>
    <row r="6600" spans="2:27" x14ac:dyDescent="0.25">
      <c r="B6600" s="42"/>
      <c r="AA6600" s="43"/>
    </row>
    <row r="6601" spans="2:27" x14ac:dyDescent="0.25">
      <c r="B6601" s="42"/>
      <c r="AA6601" s="43"/>
    </row>
    <row r="6602" spans="2:27" x14ac:dyDescent="0.25">
      <c r="B6602" s="42"/>
      <c r="AA6602" s="43"/>
    </row>
    <row r="6603" spans="2:27" x14ac:dyDescent="0.25">
      <c r="B6603" s="42"/>
      <c r="AA6603" s="43"/>
    </row>
    <row r="6604" spans="2:27" x14ac:dyDescent="0.25">
      <c r="B6604" s="42"/>
      <c r="AA6604" s="43"/>
    </row>
    <row r="6605" spans="2:27" x14ac:dyDescent="0.25">
      <c r="B6605" s="42"/>
      <c r="AA6605" s="43"/>
    </row>
    <row r="6606" spans="2:27" x14ac:dyDescent="0.25">
      <c r="B6606" s="42"/>
      <c r="AA6606" s="43"/>
    </row>
    <row r="6607" spans="2:27" x14ac:dyDescent="0.25">
      <c r="B6607" s="42"/>
      <c r="AA6607" s="43"/>
    </row>
    <row r="6608" spans="2:27" x14ac:dyDescent="0.25">
      <c r="B6608" s="42"/>
      <c r="AA6608" s="43"/>
    </row>
    <row r="6609" spans="2:27" x14ac:dyDescent="0.25">
      <c r="B6609" s="42"/>
      <c r="AA6609" s="43"/>
    </row>
    <row r="6610" spans="2:27" x14ac:dyDescent="0.25">
      <c r="B6610" s="42"/>
      <c r="AA6610" s="43"/>
    </row>
    <row r="6611" spans="2:27" x14ac:dyDescent="0.25">
      <c r="B6611" s="42"/>
      <c r="AA6611" s="43"/>
    </row>
    <row r="6612" spans="2:27" x14ac:dyDescent="0.25">
      <c r="B6612" s="42"/>
      <c r="AA6612" s="43"/>
    </row>
    <row r="6613" spans="2:27" x14ac:dyDescent="0.25">
      <c r="B6613" s="42"/>
      <c r="AA6613" s="43"/>
    </row>
    <row r="6614" spans="2:27" x14ac:dyDescent="0.25">
      <c r="B6614" s="42"/>
      <c r="AA6614" s="43"/>
    </row>
    <row r="6615" spans="2:27" x14ac:dyDescent="0.25">
      <c r="B6615" s="42"/>
      <c r="AA6615" s="43"/>
    </row>
    <row r="6616" spans="2:27" x14ac:dyDescent="0.25">
      <c r="B6616" s="42"/>
      <c r="AA6616" s="43"/>
    </row>
    <row r="6617" spans="2:27" x14ac:dyDescent="0.25">
      <c r="B6617" s="42"/>
      <c r="AA6617" s="43"/>
    </row>
    <row r="6618" spans="2:27" x14ac:dyDescent="0.25">
      <c r="B6618" s="42"/>
      <c r="AA6618" s="43"/>
    </row>
    <row r="6619" spans="2:27" x14ac:dyDescent="0.25">
      <c r="B6619" s="42"/>
      <c r="AA6619" s="43"/>
    </row>
    <row r="6620" spans="2:27" x14ac:dyDescent="0.25">
      <c r="B6620" s="42"/>
      <c r="AA6620" s="43"/>
    </row>
    <row r="6621" spans="2:27" x14ac:dyDescent="0.25">
      <c r="B6621" s="42"/>
      <c r="AA6621" s="43"/>
    </row>
    <row r="6622" spans="2:27" x14ac:dyDescent="0.25">
      <c r="B6622" s="42"/>
      <c r="AA6622" s="43"/>
    </row>
    <row r="6623" spans="2:27" x14ac:dyDescent="0.25">
      <c r="B6623" s="42"/>
      <c r="AA6623" s="43"/>
    </row>
    <row r="6624" spans="2:27" x14ac:dyDescent="0.25">
      <c r="B6624" s="42"/>
      <c r="AA6624" s="43"/>
    </row>
    <row r="6625" spans="2:27" x14ac:dyDescent="0.25">
      <c r="B6625" s="42"/>
      <c r="AA6625" s="43"/>
    </row>
    <row r="6626" spans="2:27" x14ac:dyDescent="0.25">
      <c r="B6626" s="42"/>
      <c r="AA6626" s="43"/>
    </row>
    <row r="6627" spans="2:27" x14ac:dyDescent="0.25">
      <c r="B6627" s="42"/>
      <c r="AA6627" s="43"/>
    </row>
    <row r="6628" spans="2:27" x14ac:dyDescent="0.25">
      <c r="B6628" s="42"/>
      <c r="AA6628" s="43"/>
    </row>
    <row r="6629" spans="2:27" x14ac:dyDescent="0.25">
      <c r="B6629" s="42"/>
      <c r="AA6629" s="43"/>
    </row>
    <row r="6630" spans="2:27" x14ac:dyDescent="0.25">
      <c r="B6630" s="42"/>
      <c r="AA6630" s="43"/>
    </row>
    <row r="6631" spans="2:27" x14ac:dyDescent="0.25">
      <c r="B6631" s="42"/>
      <c r="AA6631" s="43"/>
    </row>
    <row r="6632" spans="2:27" x14ac:dyDescent="0.25">
      <c r="B6632" s="42"/>
      <c r="AA6632" s="43"/>
    </row>
    <row r="6633" spans="2:27" x14ac:dyDescent="0.25">
      <c r="B6633" s="42"/>
      <c r="AA6633" s="43"/>
    </row>
    <row r="6634" spans="2:27" x14ac:dyDescent="0.25">
      <c r="B6634" s="42"/>
      <c r="AA6634" s="43"/>
    </row>
    <row r="6635" spans="2:27" x14ac:dyDescent="0.25">
      <c r="B6635" s="42"/>
      <c r="AA6635" s="43"/>
    </row>
    <row r="6636" spans="2:27" x14ac:dyDescent="0.25">
      <c r="B6636" s="42"/>
      <c r="AA6636" s="43"/>
    </row>
    <row r="6637" spans="2:27" x14ac:dyDescent="0.25">
      <c r="B6637" s="42"/>
      <c r="AA6637" s="43"/>
    </row>
    <row r="6638" spans="2:27" x14ac:dyDescent="0.25">
      <c r="B6638" s="42"/>
      <c r="AA6638" s="43"/>
    </row>
    <row r="6639" spans="2:27" x14ac:dyDescent="0.25">
      <c r="B6639" s="42"/>
      <c r="AA6639" s="43"/>
    </row>
    <row r="6640" spans="2:27" x14ac:dyDescent="0.25">
      <c r="B6640" s="42"/>
      <c r="AA6640" s="43"/>
    </row>
    <row r="6641" spans="2:27" x14ac:dyDescent="0.25">
      <c r="B6641" s="42"/>
      <c r="AA6641" s="43"/>
    </row>
    <row r="6642" spans="2:27" x14ac:dyDescent="0.25">
      <c r="B6642" s="42"/>
      <c r="AA6642" s="43"/>
    </row>
    <row r="6643" spans="2:27" x14ac:dyDescent="0.25">
      <c r="B6643" s="42"/>
      <c r="AA6643" s="43"/>
    </row>
    <row r="6644" spans="2:27" x14ac:dyDescent="0.25">
      <c r="B6644" s="42"/>
      <c r="AA6644" s="43"/>
    </row>
    <row r="6645" spans="2:27" x14ac:dyDescent="0.25">
      <c r="B6645" s="42"/>
      <c r="AA6645" s="43"/>
    </row>
    <row r="6646" spans="2:27" x14ac:dyDescent="0.25">
      <c r="B6646" s="42"/>
      <c r="AA6646" s="43"/>
    </row>
    <row r="6647" spans="2:27" x14ac:dyDescent="0.25">
      <c r="B6647" s="42"/>
      <c r="AA6647" s="43"/>
    </row>
    <row r="6648" spans="2:27" x14ac:dyDescent="0.25">
      <c r="B6648" s="42"/>
      <c r="AA6648" s="43"/>
    </row>
    <row r="6649" spans="2:27" x14ac:dyDescent="0.25">
      <c r="B6649" s="42"/>
      <c r="AA6649" s="43"/>
    </row>
    <row r="6650" spans="2:27" x14ac:dyDescent="0.25">
      <c r="B6650" s="42"/>
      <c r="AA6650" s="43"/>
    </row>
    <row r="6651" spans="2:27" x14ac:dyDescent="0.25">
      <c r="B6651" s="42"/>
      <c r="AA6651" s="43"/>
    </row>
    <row r="6652" spans="2:27" x14ac:dyDescent="0.25">
      <c r="B6652" s="42"/>
      <c r="AA6652" s="43"/>
    </row>
    <row r="6653" spans="2:27" x14ac:dyDescent="0.25">
      <c r="B6653" s="42"/>
      <c r="AA6653" s="43"/>
    </row>
    <row r="6654" spans="2:27" x14ac:dyDescent="0.25">
      <c r="B6654" s="42"/>
      <c r="AA6654" s="43"/>
    </row>
    <row r="6655" spans="2:27" x14ac:dyDescent="0.25">
      <c r="B6655" s="42"/>
      <c r="AA6655" s="43"/>
    </row>
    <row r="6656" spans="2:27" x14ac:dyDescent="0.25">
      <c r="B6656" s="42"/>
      <c r="AA6656" s="43"/>
    </row>
    <row r="6657" spans="2:27" x14ac:dyDescent="0.25">
      <c r="B6657" s="42"/>
      <c r="AA6657" s="43"/>
    </row>
    <row r="6658" spans="2:27" x14ac:dyDescent="0.25">
      <c r="B6658" s="42"/>
      <c r="AA6658" s="43"/>
    </row>
    <row r="6659" spans="2:27" x14ac:dyDescent="0.25">
      <c r="B6659" s="42"/>
      <c r="AA6659" s="43"/>
    </row>
    <row r="6660" spans="2:27" x14ac:dyDescent="0.25">
      <c r="B6660" s="42"/>
      <c r="AA6660" s="43"/>
    </row>
    <row r="6661" spans="2:27" x14ac:dyDescent="0.25">
      <c r="B6661" s="42"/>
      <c r="AA6661" s="43"/>
    </row>
    <row r="6662" spans="2:27" x14ac:dyDescent="0.25">
      <c r="B6662" s="42"/>
      <c r="AA6662" s="43"/>
    </row>
    <row r="6663" spans="2:27" x14ac:dyDescent="0.25">
      <c r="B6663" s="42"/>
      <c r="AA6663" s="43"/>
    </row>
    <row r="6664" spans="2:27" x14ac:dyDescent="0.25">
      <c r="B6664" s="42"/>
      <c r="AA6664" s="43"/>
    </row>
    <row r="6665" spans="2:27" x14ac:dyDescent="0.25">
      <c r="B6665" s="42"/>
      <c r="AA6665" s="43"/>
    </row>
    <row r="6666" spans="2:27" x14ac:dyDescent="0.25">
      <c r="B6666" s="42"/>
      <c r="AA6666" s="43"/>
    </row>
    <row r="6667" spans="2:27" x14ac:dyDescent="0.25">
      <c r="B6667" s="42"/>
      <c r="AA6667" s="43"/>
    </row>
    <row r="6668" spans="2:27" x14ac:dyDescent="0.25">
      <c r="B6668" s="42"/>
      <c r="AA6668" s="43"/>
    </row>
    <row r="6669" spans="2:27" x14ac:dyDescent="0.25">
      <c r="B6669" s="42"/>
      <c r="AA6669" s="43"/>
    </row>
    <row r="6670" spans="2:27" x14ac:dyDescent="0.25">
      <c r="B6670" s="42"/>
      <c r="AA6670" s="43"/>
    </row>
    <row r="6671" spans="2:27" x14ac:dyDescent="0.25">
      <c r="B6671" s="42"/>
      <c r="AA6671" s="43"/>
    </row>
    <row r="6672" spans="2:27" x14ac:dyDescent="0.25">
      <c r="B6672" s="42"/>
      <c r="AA6672" s="43"/>
    </row>
    <row r="6673" spans="2:27" x14ac:dyDescent="0.25">
      <c r="B6673" s="42"/>
      <c r="AA6673" s="43"/>
    </row>
    <row r="6674" spans="2:27" x14ac:dyDescent="0.25">
      <c r="B6674" s="42"/>
      <c r="AA6674" s="43"/>
    </row>
    <row r="6675" spans="2:27" x14ac:dyDescent="0.25">
      <c r="B6675" s="42"/>
      <c r="AA6675" s="43"/>
    </row>
    <row r="6676" spans="2:27" x14ac:dyDescent="0.25">
      <c r="B6676" s="42"/>
      <c r="AA6676" s="43"/>
    </row>
    <row r="6677" spans="2:27" x14ac:dyDescent="0.25">
      <c r="B6677" s="42"/>
      <c r="AA6677" s="43"/>
    </row>
    <row r="6678" spans="2:27" x14ac:dyDescent="0.25">
      <c r="B6678" s="42"/>
      <c r="AA6678" s="43"/>
    </row>
    <row r="6679" spans="2:27" x14ac:dyDescent="0.25">
      <c r="B6679" s="42"/>
      <c r="AA6679" s="43"/>
    </row>
    <row r="6680" spans="2:27" x14ac:dyDescent="0.25">
      <c r="B6680" s="42"/>
      <c r="AA6680" s="43"/>
    </row>
    <row r="6681" spans="2:27" x14ac:dyDescent="0.25">
      <c r="B6681" s="42"/>
      <c r="AA6681" s="43"/>
    </row>
    <row r="6682" spans="2:27" x14ac:dyDescent="0.25">
      <c r="B6682" s="42"/>
      <c r="AA6682" s="43"/>
    </row>
    <row r="6683" spans="2:27" x14ac:dyDescent="0.25">
      <c r="B6683" s="42"/>
      <c r="AA6683" s="43"/>
    </row>
    <row r="6684" spans="2:27" x14ac:dyDescent="0.25">
      <c r="B6684" s="42"/>
      <c r="AA6684" s="43"/>
    </row>
    <row r="6685" spans="2:27" x14ac:dyDescent="0.25">
      <c r="B6685" s="42"/>
      <c r="AA6685" s="43"/>
    </row>
    <row r="6686" spans="2:27" x14ac:dyDescent="0.25">
      <c r="B6686" s="42"/>
      <c r="AA6686" s="43"/>
    </row>
    <row r="6687" spans="2:27" x14ac:dyDescent="0.25">
      <c r="B6687" s="42"/>
      <c r="AA6687" s="43"/>
    </row>
    <row r="6688" spans="2:27" x14ac:dyDescent="0.25">
      <c r="B6688" s="42"/>
      <c r="AA6688" s="43"/>
    </row>
    <row r="6689" spans="2:27" x14ac:dyDescent="0.25">
      <c r="B6689" s="42"/>
      <c r="AA6689" s="43"/>
    </row>
    <row r="6690" spans="2:27" x14ac:dyDescent="0.25">
      <c r="B6690" s="42"/>
      <c r="AA6690" s="43"/>
    </row>
    <row r="6691" spans="2:27" x14ac:dyDescent="0.25">
      <c r="B6691" s="42"/>
      <c r="AA6691" s="43"/>
    </row>
    <row r="6692" spans="2:27" x14ac:dyDescent="0.25">
      <c r="B6692" s="42"/>
      <c r="AA6692" s="43"/>
    </row>
    <row r="6693" spans="2:27" x14ac:dyDescent="0.25">
      <c r="B6693" s="42"/>
      <c r="AA6693" s="43"/>
    </row>
    <row r="6694" spans="2:27" x14ac:dyDescent="0.25">
      <c r="B6694" s="42"/>
      <c r="AA6694" s="43"/>
    </row>
    <row r="6695" spans="2:27" x14ac:dyDescent="0.25">
      <c r="B6695" s="42"/>
      <c r="AA6695" s="43"/>
    </row>
    <row r="6696" spans="2:27" x14ac:dyDescent="0.25">
      <c r="B6696" s="42"/>
      <c r="AA6696" s="43"/>
    </row>
    <row r="6697" spans="2:27" x14ac:dyDescent="0.25">
      <c r="B6697" s="42"/>
      <c r="AA6697" s="43"/>
    </row>
    <row r="6698" spans="2:27" x14ac:dyDescent="0.25">
      <c r="B6698" s="42"/>
      <c r="AA6698" s="43"/>
    </row>
    <row r="6699" spans="2:27" x14ac:dyDescent="0.25">
      <c r="B6699" s="42"/>
      <c r="AA6699" s="43"/>
    </row>
    <row r="6700" spans="2:27" x14ac:dyDescent="0.25">
      <c r="B6700" s="42"/>
      <c r="AA6700" s="43"/>
    </row>
    <row r="6701" spans="2:27" x14ac:dyDescent="0.25">
      <c r="B6701" s="42"/>
      <c r="AA6701" s="43"/>
    </row>
    <row r="6702" spans="2:27" x14ac:dyDescent="0.25">
      <c r="B6702" s="42"/>
      <c r="AA6702" s="43"/>
    </row>
    <row r="6703" spans="2:27" x14ac:dyDescent="0.25">
      <c r="B6703" s="42"/>
      <c r="AA6703" s="43"/>
    </row>
    <row r="6704" spans="2:27" x14ac:dyDescent="0.25">
      <c r="B6704" s="42"/>
      <c r="AA6704" s="43"/>
    </row>
    <row r="6705" spans="2:27" x14ac:dyDescent="0.25">
      <c r="B6705" s="42"/>
      <c r="AA6705" s="43"/>
    </row>
    <row r="6706" spans="2:27" x14ac:dyDescent="0.25">
      <c r="B6706" s="42"/>
      <c r="AA6706" s="43"/>
    </row>
    <row r="6707" spans="2:27" x14ac:dyDescent="0.25">
      <c r="B6707" s="42"/>
      <c r="AA6707" s="43"/>
    </row>
    <row r="6708" spans="2:27" x14ac:dyDescent="0.25">
      <c r="B6708" s="42"/>
      <c r="AA6708" s="43"/>
    </row>
    <row r="6709" spans="2:27" x14ac:dyDescent="0.25">
      <c r="B6709" s="42"/>
      <c r="AA6709" s="43"/>
    </row>
    <row r="6710" spans="2:27" x14ac:dyDescent="0.25">
      <c r="B6710" s="42"/>
      <c r="AA6710" s="43"/>
    </row>
    <row r="6711" spans="2:27" x14ac:dyDescent="0.25">
      <c r="B6711" s="42"/>
      <c r="AA6711" s="43"/>
    </row>
    <row r="6712" spans="2:27" x14ac:dyDescent="0.25">
      <c r="B6712" s="42"/>
      <c r="AA6712" s="43"/>
    </row>
    <row r="6713" spans="2:27" x14ac:dyDescent="0.25">
      <c r="B6713" s="42"/>
      <c r="AA6713" s="43"/>
    </row>
    <row r="6714" spans="2:27" x14ac:dyDescent="0.25">
      <c r="B6714" s="42"/>
      <c r="AA6714" s="43"/>
    </row>
    <row r="6715" spans="2:27" x14ac:dyDescent="0.25">
      <c r="B6715" s="42"/>
      <c r="AA6715" s="43"/>
    </row>
    <row r="6716" spans="2:27" x14ac:dyDescent="0.25">
      <c r="B6716" s="42"/>
      <c r="AA6716" s="43"/>
    </row>
    <row r="6717" spans="2:27" x14ac:dyDescent="0.25">
      <c r="B6717" s="42"/>
      <c r="AA6717" s="43"/>
    </row>
    <row r="6718" spans="2:27" x14ac:dyDescent="0.25">
      <c r="B6718" s="42"/>
      <c r="AA6718" s="43"/>
    </row>
    <row r="6719" spans="2:27" x14ac:dyDescent="0.25">
      <c r="B6719" s="42"/>
      <c r="AA6719" s="43"/>
    </row>
    <row r="6720" spans="2:27" x14ac:dyDescent="0.25">
      <c r="B6720" s="42"/>
      <c r="AA6720" s="43"/>
    </row>
    <row r="6721" spans="2:27" x14ac:dyDescent="0.25">
      <c r="B6721" s="42"/>
      <c r="AA6721" s="43"/>
    </row>
    <row r="6722" spans="2:27" x14ac:dyDescent="0.25">
      <c r="B6722" s="42"/>
      <c r="AA6722" s="43"/>
    </row>
    <row r="6723" spans="2:27" x14ac:dyDescent="0.25">
      <c r="B6723" s="42"/>
      <c r="AA6723" s="43"/>
    </row>
    <row r="6724" spans="2:27" x14ac:dyDescent="0.25">
      <c r="B6724" s="42"/>
      <c r="AA6724" s="43"/>
    </row>
    <row r="6725" spans="2:27" x14ac:dyDescent="0.25">
      <c r="B6725" s="42"/>
      <c r="AA6725" s="43"/>
    </row>
    <row r="6726" spans="2:27" x14ac:dyDescent="0.25">
      <c r="B6726" s="42"/>
      <c r="AA6726" s="43"/>
    </row>
    <row r="6727" spans="2:27" x14ac:dyDescent="0.25">
      <c r="B6727" s="42"/>
      <c r="AA6727" s="43"/>
    </row>
    <row r="6728" spans="2:27" x14ac:dyDescent="0.25">
      <c r="B6728" s="42"/>
      <c r="AA6728" s="43"/>
    </row>
    <row r="6729" spans="2:27" x14ac:dyDescent="0.25">
      <c r="B6729" s="42"/>
      <c r="AA6729" s="43"/>
    </row>
    <row r="6730" spans="2:27" x14ac:dyDescent="0.25">
      <c r="B6730" s="42"/>
      <c r="AA6730" s="43"/>
    </row>
    <row r="6731" spans="2:27" x14ac:dyDescent="0.25">
      <c r="B6731" s="42"/>
      <c r="AA6731" s="43"/>
    </row>
    <row r="6732" spans="2:27" x14ac:dyDescent="0.25">
      <c r="B6732" s="42"/>
      <c r="AA6732" s="43"/>
    </row>
    <row r="6733" spans="2:27" x14ac:dyDescent="0.25">
      <c r="B6733" s="42"/>
      <c r="AA6733" s="43"/>
    </row>
    <row r="6734" spans="2:27" x14ac:dyDescent="0.25">
      <c r="B6734" s="42"/>
      <c r="AA6734" s="43"/>
    </row>
    <row r="6735" spans="2:27" x14ac:dyDescent="0.25">
      <c r="B6735" s="42"/>
      <c r="AA6735" s="43"/>
    </row>
    <row r="6736" spans="2:27" x14ac:dyDescent="0.25">
      <c r="B6736" s="42"/>
      <c r="AA6736" s="43"/>
    </row>
    <row r="6737" spans="2:27" x14ac:dyDescent="0.25">
      <c r="B6737" s="42"/>
      <c r="AA6737" s="43"/>
    </row>
    <row r="6738" spans="2:27" x14ac:dyDescent="0.25">
      <c r="B6738" s="42"/>
      <c r="AA6738" s="43"/>
    </row>
    <row r="6739" spans="2:27" x14ac:dyDescent="0.25">
      <c r="B6739" s="42"/>
      <c r="AA6739" s="43"/>
    </row>
    <row r="6740" spans="2:27" x14ac:dyDescent="0.25">
      <c r="B6740" s="42"/>
      <c r="AA6740" s="43"/>
    </row>
    <row r="6741" spans="2:27" x14ac:dyDescent="0.25">
      <c r="B6741" s="42"/>
      <c r="AA6741" s="43"/>
    </row>
    <row r="6742" spans="2:27" x14ac:dyDescent="0.25">
      <c r="B6742" s="42"/>
      <c r="AA6742" s="43"/>
    </row>
    <row r="6743" spans="2:27" x14ac:dyDescent="0.25">
      <c r="B6743" s="42"/>
      <c r="AA6743" s="43"/>
    </row>
    <row r="6744" spans="2:27" x14ac:dyDescent="0.25">
      <c r="B6744" s="42"/>
      <c r="AA6744" s="43"/>
    </row>
    <row r="6745" spans="2:27" x14ac:dyDescent="0.25">
      <c r="B6745" s="42"/>
      <c r="AA6745" s="43"/>
    </row>
    <row r="6746" spans="2:27" x14ac:dyDescent="0.25">
      <c r="B6746" s="42"/>
      <c r="AA6746" s="43"/>
    </row>
    <row r="6747" spans="2:27" x14ac:dyDescent="0.25">
      <c r="B6747" s="42"/>
      <c r="AA6747" s="43"/>
    </row>
    <row r="6748" spans="2:27" x14ac:dyDescent="0.25">
      <c r="B6748" s="42"/>
      <c r="AA6748" s="43"/>
    </row>
    <row r="6749" spans="2:27" x14ac:dyDescent="0.25">
      <c r="B6749" s="42"/>
      <c r="AA6749" s="43"/>
    </row>
    <row r="6750" spans="2:27" x14ac:dyDescent="0.25">
      <c r="B6750" s="42"/>
      <c r="AA6750" s="43"/>
    </row>
    <row r="6751" spans="2:27" x14ac:dyDescent="0.25">
      <c r="B6751" s="42"/>
      <c r="AA6751" s="43"/>
    </row>
    <row r="6752" spans="2:27" x14ac:dyDescent="0.25">
      <c r="B6752" s="42"/>
      <c r="AA6752" s="43"/>
    </row>
    <row r="6753" spans="2:27" x14ac:dyDescent="0.25">
      <c r="B6753" s="42"/>
      <c r="AA6753" s="43"/>
    </row>
    <row r="6754" spans="2:27" x14ac:dyDescent="0.25">
      <c r="B6754" s="42"/>
      <c r="AA6754" s="43"/>
    </row>
    <row r="6755" spans="2:27" x14ac:dyDescent="0.25">
      <c r="B6755" s="42"/>
      <c r="AA6755" s="43"/>
    </row>
    <row r="6756" spans="2:27" x14ac:dyDescent="0.25">
      <c r="B6756" s="42"/>
      <c r="AA6756" s="43"/>
    </row>
    <row r="6757" spans="2:27" x14ac:dyDescent="0.25">
      <c r="B6757" s="42"/>
      <c r="AA6757" s="43"/>
    </row>
    <row r="6758" spans="2:27" x14ac:dyDescent="0.25">
      <c r="B6758" s="42"/>
      <c r="AA6758" s="43"/>
    </row>
    <row r="6759" spans="2:27" x14ac:dyDescent="0.25">
      <c r="B6759" s="42"/>
      <c r="AA6759" s="43"/>
    </row>
    <row r="6760" spans="2:27" x14ac:dyDescent="0.25">
      <c r="B6760" s="42"/>
      <c r="AA6760" s="43"/>
    </row>
    <row r="6761" spans="2:27" x14ac:dyDescent="0.25">
      <c r="B6761" s="42"/>
      <c r="AA6761" s="43"/>
    </row>
    <row r="6762" spans="2:27" x14ac:dyDescent="0.25">
      <c r="B6762" s="42"/>
      <c r="AA6762" s="43"/>
    </row>
    <row r="6763" spans="2:27" x14ac:dyDescent="0.25">
      <c r="B6763" s="42"/>
      <c r="AA6763" s="43"/>
    </row>
    <row r="6764" spans="2:27" x14ac:dyDescent="0.25">
      <c r="B6764" s="42"/>
      <c r="AA6764" s="43"/>
    </row>
    <row r="6765" spans="2:27" x14ac:dyDescent="0.25">
      <c r="B6765" s="42"/>
      <c r="AA6765" s="43"/>
    </row>
    <row r="6766" spans="2:27" x14ac:dyDescent="0.25">
      <c r="B6766" s="42"/>
      <c r="AA6766" s="43"/>
    </row>
    <row r="6767" spans="2:27" x14ac:dyDescent="0.25">
      <c r="B6767" s="42"/>
      <c r="AA6767" s="43"/>
    </row>
    <row r="6768" spans="2:27" x14ac:dyDescent="0.25">
      <c r="B6768" s="42"/>
      <c r="AA6768" s="43"/>
    </row>
    <row r="6769" spans="2:27" x14ac:dyDescent="0.25">
      <c r="B6769" s="42"/>
      <c r="AA6769" s="43"/>
    </row>
    <row r="6770" spans="2:27" x14ac:dyDescent="0.25">
      <c r="B6770" s="42"/>
      <c r="AA6770" s="43"/>
    </row>
    <row r="6771" spans="2:27" x14ac:dyDescent="0.25">
      <c r="B6771" s="42"/>
      <c r="AA6771" s="43"/>
    </row>
    <row r="6772" spans="2:27" x14ac:dyDescent="0.25">
      <c r="B6772" s="42"/>
      <c r="AA6772" s="43"/>
    </row>
    <row r="6773" spans="2:27" x14ac:dyDescent="0.25">
      <c r="B6773" s="42"/>
      <c r="AA6773" s="43"/>
    </row>
    <row r="6774" spans="2:27" x14ac:dyDescent="0.25">
      <c r="B6774" s="42"/>
      <c r="AA6774" s="43"/>
    </row>
    <row r="6775" spans="2:27" x14ac:dyDescent="0.25">
      <c r="B6775" s="42"/>
      <c r="AA6775" s="43"/>
    </row>
    <row r="6776" spans="2:27" x14ac:dyDescent="0.25">
      <c r="B6776" s="42"/>
      <c r="AA6776" s="43"/>
    </row>
    <row r="6777" spans="2:27" x14ac:dyDescent="0.25">
      <c r="B6777" s="42"/>
      <c r="AA6777" s="43"/>
    </row>
    <row r="6778" spans="2:27" x14ac:dyDescent="0.25">
      <c r="B6778" s="42"/>
      <c r="AA6778" s="43"/>
    </row>
    <row r="6779" spans="2:27" x14ac:dyDescent="0.25">
      <c r="B6779" s="42"/>
      <c r="AA6779" s="43"/>
    </row>
    <row r="6780" spans="2:27" x14ac:dyDescent="0.25">
      <c r="B6780" s="42"/>
      <c r="AA6780" s="43"/>
    </row>
    <row r="6781" spans="2:27" x14ac:dyDescent="0.25">
      <c r="B6781" s="42"/>
      <c r="AA6781" s="43"/>
    </row>
    <row r="6782" spans="2:27" x14ac:dyDescent="0.25">
      <c r="B6782" s="42"/>
      <c r="AA6782" s="43"/>
    </row>
    <row r="6783" spans="2:27" x14ac:dyDescent="0.25">
      <c r="B6783" s="42"/>
      <c r="AA6783" s="43"/>
    </row>
    <row r="6784" spans="2:27" x14ac:dyDescent="0.25">
      <c r="B6784" s="42"/>
      <c r="AA6784" s="43"/>
    </row>
    <row r="6785" spans="2:27" x14ac:dyDescent="0.25">
      <c r="B6785" s="42"/>
      <c r="AA6785" s="43"/>
    </row>
    <row r="6786" spans="2:27" x14ac:dyDescent="0.25">
      <c r="B6786" s="42"/>
      <c r="AA6786" s="43"/>
    </row>
    <row r="6787" spans="2:27" x14ac:dyDescent="0.25">
      <c r="B6787" s="42"/>
      <c r="AA6787" s="43"/>
    </row>
    <row r="6788" spans="2:27" x14ac:dyDescent="0.25">
      <c r="B6788" s="42"/>
      <c r="AA6788" s="43"/>
    </row>
    <row r="6789" spans="2:27" x14ac:dyDescent="0.25">
      <c r="B6789" s="42"/>
      <c r="AA6789" s="43"/>
    </row>
    <row r="6790" spans="2:27" x14ac:dyDescent="0.25">
      <c r="B6790" s="42"/>
      <c r="AA6790" s="43"/>
    </row>
    <row r="6791" spans="2:27" x14ac:dyDescent="0.25">
      <c r="B6791" s="42"/>
      <c r="AA6791" s="43"/>
    </row>
    <row r="6792" spans="2:27" x14ac:dyDescent="0.25">
      <c r="B6792" s="42"/>
      <c r="AA6792" s="43"/>
    </row>
    <row r="6793" spans="2:27" x14ac:dyDescent="0.25">
      <c r="B6793" s="42"/>
      <c r="AA6793" s="43"/>
    </row>
    <row r="6794" spans="2:27" x14ac:dyDescent="0.25">
      <c r="B6794" s="42"/>
      <c r="AA6794" s="43"/>
    </row>
    <row r="6795" spans="2:27" x14ac:dyDescent="0.25">
      <c r="B6795" s="42"/>
      <c r="AA6795" s="43"/>
    </row>
    <row r="6796" spans="2:27" x14ac:dyDescent="0.25">
      <c r="B6796" s="42"/>
      <c r="AA6796" s="43"/>
    </row>
    <row r="6797" spans="2:27" x14ac:dyDescent="0.25">
      <c r="B6797" s="42"/>
      <c r="AA6797" s="43"/>
    </row>
    <row r="6798" spans="2:27" x14ac:dyDescent="0.25">
      <c r="B6798" s="42"/>
      <c r="AA6798" s="43"/>
    </row>
    <row r="6799" spans="2:27" x14ac:dyDescent="0.25">
      <c r="B6799" s="42"/>
      <c r="AA6799" s="43"/>
    </row>
    <row r="6800" spans="2:27" x14ac:dyDescent="0.25">
      <c r="B6800" s="42"/>
      <c r="AA6800" s="43"/>
    </row>
    <row r="6801" spans="2:27" x14ac:dyDescent="0.25">
      <c r="B6801" s="42"/>
      <c r="AA6801" s="43"/>
    </row>
    <row r="6802" spans="2:27" x14ac:dyDescent="0.25">
      <c r="B6802" s="42"/>
      <c r="AA6802" s="43"/>
    </row>
    <row r="6803" spans="2:27" x14ac:dyDescent="0.25">
      <c r="B6803" s="42"/>
      <c r="AA6803" s="43"/>
    </row>
    <row r="6804" spans="2:27" x14ac:dyDescent="0.25">
      <c r="B6804" s="42"/>
      <c r="AA6804" s="43"/>
    </row>
    <row r="6805" spans="2:27" x14ac:dyDescent="0.25">
      <c r="B6805" s="42"/>
      <c r="AA6805" s="43"/>
    </row>
    <row r="6806" spans="2:27" x14ac:dyDescent="0.25">
      <c r="B6806" s="42"/>
      <c r="AA6806" s="43"/>
    </row>
    <row r="6807" spans="2:27" x14ac:dyDescent="0.25">
      <c r="B6807" s="42"/>
      <c r="AA6807" s="43"/>
    </row>
    <row r="6808" spans="2:27" x14ac:dyDescent="0.25">
      <c r="B6808" s="42"/>
      <c r="AA6808" s="43"/>
    </row>
    <row r="6809" spans="2:27" x14ac:dyDescent="0.25">
      <c r="B6809" s="42"/>
      <c r="AA6809" s="43"/>
    </row>
    <row r="6810" spans="2:27" x14ac:dyDescent="0.25">
      <c r="B6810" s="42"/>
      <c r="AA6810" s="43"/>
    </row>
    <row r="6811" spans="2:27" x14ac:dyDescent="0.25">
      <c r="B6811" s="42"/>
      <c r="AA6811" s="43"/>
    </row>
    <row r="6812" spans="2:27" x14ac:dyDescent="0.25">
      <c r="B6812" s="42"/>
      <c r="AA6812" s="43"/>
    </row>
    <row r="6813" spans="2:27" x14ac:dyDescent="0.25">
      <c r="B6813" s="42"/>
      <c r="AA6813" s="43"/>
    </row>
    <row r="6814" spans="2:27" x14ac:dyDescent="0.25">
      <c r="B6814" s="42"/>
      <c r="AA6814" s="43"/>
    </row>
    <row r="6815" spans="2:27" x14ac:dyDescent="0.25">
      <c r="B6815" s="42"/>
      <c r="AA6815" s="43"/>
    </row>
    <row r="6816" spans="2:27" x14ac:dyDescent="0.25">
      <c r="B6816" s="42"/>
      <c r="AA6816" s="43"/>
    </row>
    <row r="6817" spans="2:27" x14ac:dyDescent="0.25">
      <c r="B6817" s="42"/>
      <c r="AA6817" s="43"/>
    </row>
    <row r="6818" spans="2:27" x14ac:dyDescent="0.25">
      <c r="B6818" s="42"/>
      <c r="AA6818" s="43"/>
    </row>
    <row r="6819" spans="2:27" x14ac:dyDescent="0.25">
      <c r="B6819" s="42"/>
      <c r="AA6819" s="43"/>
    </row>
    <row r="6820" spans="2:27" x14ac:dyDescent="0.25">
      <c r="B6820" s="42"/>
      <c r="AA6820" s="43"/>
    </row>
    <row r="6821" spans="2:27" x14ac:dyDescent="0.25">
      <c r="B6821" s="42"/>
      <c r="AA6821" s="43"/>
    </row>
    <row r="6822" spans="2:27" x14ac:dyDescent="0.25">
      <c r="B6822" s="42"/>
      <c r="AA6822" s="43"/>
    </row>
    <row r="6823" spans="2:27" x14ac:dyDescent="0.25">
      <c r="B6823" s="42"/>
      <c r="AA6823" s="43"/>
    </row>
    <row r="6824" spans="2:27" x14ac:dyDescent="0.25">
      <c r="B6824" s="42"/>
      <c r="AA6824" s="43"/>
    </row>
    <row r="6825" spans="2:27" x14ac:dyDescent="0.25">
      <c r="B6825" s="42"/>
      <c r="AA6825" s="43"/>
    </row>
    <row r="6826" spans="2:27" x14ac:dyDescent="0.25">
      <c r="B6826" s="42"/>
      <c r="AA6826" s="43"/>
    </row>
    <row r="6827" spans="2:27" x14ac:dyDescent="0.25">
      <c r="B6827" s="42"/>
      <c r="AA6827" s="43"/>
    </row>
    <row r="6828" spans="2:27" x14ac:dyDescent="0.25">
      <c r="B6828" s="42"/>
      <c r="AA6828" s="43"/>
    </row>
    <row r="6829" spans="2:27" x14ac:dyDescent="0.25">
      <c r="B6829" s="42"/>
      <c r="AA6829" s="43"/>
    </row>
    <row r="6830" spans="2:27" x14ac:dyDescent="0.25">
      <c r="B6830" s="42"/>
      <c r="AA6830" s="43"/>
    </row>
    <row r="6831" spans="2:27" x14ac:dyDescent="0.25">
      <c r="B6831" s="42"/>
      <c r="AA6831" s="43"/>
    </row>
    <row r="6832" spans="2:27" x14ac:dyDescent="0.25">
      <c r="B6832" s="42"/>
      <c r="AA6832" s="43"/>
    </row>
    <row r="6833" spans="2:27" x14ac:dyDescent="0.25">
      <c r="B6833" s="42"/>
      <c r="AA6833" s="43"/>
    </row>
    <row r="6834" spans="2:27" x14ac:dyDescent="0.25">
      <c r="B6834" s="42"/>
      <c r="AA6834" s="43"/>
    </row>
    <row r="6835" spans="2:27" x14ac:dyDescent="0.25">
      <c r="B6835" s="42"/>
      <c r="AA6835" s="43"/>
    </row>
    <row r="6836" spans="2:27" x14ac:dyDescent="0.25">
      <c r="B6836" s="42"/>
      <c r="AA6836" s="43"/>
    </row>
    <row r="6837" spans="2:27" x14ac:dyDescent="0.25">
      <c r="B6837" s="42"/>
      <c r="AA6837" s="43"/>
    </row>
    <row r="6838" spans="2:27" x14ac:dyDescent="0.25">
      <c r="B6838" s="42"/>
      <c r="AA6838" s="43"/>
    </row>
    <row r="6839" spans="2:27" x14ac:dyDescent="0.25">
      <c r="B6839" s="42"/>
      <c r="AA6839" s="43"/>
    </row>
    <row r="6840" spans="2:27" x14ac:dyDescent="0.25">
      <c r="B6840" s="42"/>
      <c r="AA6840" s="43"/>
    </row>
    <row r="6841" spans="2:27" x14ac:dyDescent="0.25">
      <c r="B6841" s="42"/>
      <c r="AA6841" s="43"/>
    </row>
    <row r="6842" spans="2:27" x14ac:dyDescent="0.25">
      <c r="B6842" s="42"/>
      <c r="AA6842" s="43"/>
    </row>
    <row r="6843" spans="2:27" x14ac:dyDescent="0.25">
      <c r="B6843" s="42"/>
      <c r="AA6843" s="43"/>
    </row>
    <row r="6844" spans="2:27" x14ac:dyDescent="0.25">
      <c r="B6844" s="42"/>
      <c r="AA6844" s="43"/>
    </row>
    <row r="6845" spans="2:27" x14ac:dyDescent="0.25">
      <c r="B6845" s="42"/>
      <c r="AA6845" s="43"/>
    </row>
    <row r="6846" spans="2:27" x14ac:dyDescent="0.25">
      <c r="B6846" s="42"/>
      <c r="AA6846" s="43"/>
    </row>
    <row r="6847" spans="2:27" x14ac:dyDescent="0.25">
      <c r="B6847" s="42"/>
      <c r="AA6847" s="43"/>
    </row>
    <row r="6848" spans="2:27" x14ac:dyDescent="0.25">
      <c r="B6848" s="42"/>
      <c r="AA6848" s="43"/>
    </row>
    <row r="6849" spans="2:27" x14ac:dyDescent="0.25">
      <c r="B6849" s="42"/>
      <c r="AA6849" s="43"/>
    </row>
    <row r="6850" spans="2:27" x14ac:dyDescent="0.25">
      <c r="B6850" s="42"/>
      <c r="AA6850" s="43"/>
    </row>
    <row r="6851" spans="2:27" x14ac:dyDescent="0.25">
      <c r="B6851" s="42"/>
      <c r="AA6851" s="43"/>
    </row>
    <row r="6852" spans="2:27" x14ac:dyDescent="0.25">
      <c r="B6852" s="42"/>
      <c r="AA6852" s="43"/>
    </row>
    <row r="6853" spans="2:27" x14ac:dyDescent="0.25">
      <c r="B6853" s="42"/>
      <c r="AA6853" s="43"/>
    </row>
    <row r="6854" spans="2:27" x14ac:dyDescent="0.25">
      <c r="B6854" s="42"/>
      <c r="AA6854" s="43"/>
    </row>
    <row r="6855" spans="2:27" x14ac:dyDescent="0.25">
      <c r="B6855" s="42"/>
      <c r="AA6855" s="43"/>
    </row>
    <row r="6856" spans="2:27" x14ac:dyDescent="0.25">
      <c r="B6856" s="42"/>
      <c r="AA6856" s="43"/>
    </row>
    <row r="6857" spans="2:27" x14ac:dyDescent="0.25">
      <c r="B6857" s="42"/>
      <c r="AA6857" s="43"/>
    </row>
    <row r="6858" spans="2:27" x14ac:dyDescent="0.25">
      <c r="B6858" s="42"/>
      <c r="AA6858" s="43"/>
    </row>
    <row r="6859" spans="2:27" x14ac:dyDescent="0.25">
      <c r="B6859" s="42"/>
      <c r="AA6859" s="43"/>
    </row>
    <row r="6860" spans="2:27" x14ac:dyDescent="0.25">
      <c r="B6860" s="42"/>
      <c r="AA6860" s="43"/>
    </row>
    <row r="6861" spans="2:27" x14ac:dyDescent="0.25">
      <c r="B6861" s="42"/>
      <c r="AA6861" s="43"/>
    </row>
    <row r="6862" spans="2:27" x14ac:dyDescent="0.25">
      <c r="B6862" s="42"/>
      <c r="AA6862" s="43"/>
    </row>
    <row r="6863" spans="2:27" x14ac:dyDescent="0.25">
      <c r="B6863" s="42"/>
      <c r="AA6863" s="43"/>
    </row>
    <row r="6864" spans="2:27" x14ac:dyDescent="0.25">
      <c r="B6864" s="42"/>
      <c r="AA6864" s="43"/>
    </row>
    <row r="6865" spans="2:27" x14ac:dyDescent="0.25">
      <c r="B6865" s="42"/>
      <c r="AA6865" s="43"/>
    </row>
    <row r="6866" spans="2:27" x14ac:dyDescent="0.25">
      <c r="B6866" s="42"/>
      <c r="AA6866" s="43"/>
    </row>
    <row r="6867" spans="2:27" x14ac:dyDescent="0.25">
      <c r="B6867" s="42"/>
      <c r="AA6867" s="43"/>
    </row>
    <row r="6868" spans="2:27" x14ac:dyDescent="0.25">
      <c r="B6868" s="42"/>
      <c r="AA6868" s="43"/>
    </row>
    <row r="6869" spans="2:27" x14ac:dyDescent="0.25">
      <c r="B6869" s="42"/>
      <c r="AA6869" s="43"/>
    </row>
    <row r="6870" spans="2:27" x14ac:dyDescent="0.25">
      <c r="B6870" s="42"/>
      <c r="AA6870" s="43"/>
    </row>
    <row r="6871" spans="2:27" x14ac:dyDescent="0.25">
      <c r="B6871" s="42"/>
      <c r="AA6871" s="43"/>
    </row>
    <row r="6872" spans="2:27" x14ac:dyDescent="0.25">
      <c r="B6872" s="42"/>
      <c r="AA6872" s="43"/>
    </row>
    <row r="6873" spans="2:27" x14ac:dyDescent="0.25">
      <c r="B6873" s="42"/>
      <c r="AA6873" s="43"/>
    </row>
    <row r="6874" spans="2:27" x14ac:dyDescent="0.25">
      <c r="B6874" s="42"/>
      <c r="AA6874" s="43"/>
    </row>
    <row r="6875" spans="2:27" x14ac:dyDescent="0.25">
      <c r="B6875" s="42"/>
      <c r="AA6875" s="43"/>
    </row>
    <row r="6876" spans="2:27" x14ac:dyDescent="0.25">
      <c r="B6876" s="42"/>
      <c r="AA6876" s="43"/>
    </row>
    <row r="6877" spans="2:27" x14ac:dyDescent="0.25">
      <c r="B6877" s="42"/>
      <c r="AA6877" s="43"/>
    </row>
    <row r="6878" spans="2:27" x14ac:dyDescent="0.25">
      <c r="B6878" s="42"/>
      <c r="AA6878" s="43"/>
    </row>
    <row r="6879" spans="2:27" x14ac:dyDescent="0.25">
      <c r="B6879" s="42"/>
      <c r="AA6879" s="43"/>
    </row>
    <row r="6880" spans="2:27" x14ac:dyDescent="0.25">
      <c r="B6880" s="42"/>
      <c r="AA6880" s="43"/>
    </row>
    <row r="6881" spans="2:27" x14ac:dyDescent="0.25">
      <c r="B6881" s="42"/>
      <c r="AA6881" s="43"/>
    </row>
    <row r="6882" spans="2:27" x14ac:dyDescent="0.25">
      <c r="B6882" s="42"/>
      <c r="AA6882" s="43"/>
    </row>
    <row r="6883" spans="2:27" x14ac:dyDescent="0.25">
      <c r="B6883" s="42"/>
      <c r="AA6883" s="43"/>
    </row>
    <row r="6884" spans="2:27" x14ac:dyDescent="0.25">
      <c r="B6884" s="42"/>
      <c r="AA6884" s="43"/>
    </row>
    <row r="6885" spans="2:27" x14ac:dyDescent="0.25">
      <c r="B6885" s="42"/>
      <c r="AA6885" s="43"/>
    </row>
    <row r="6886" spans="2:27" x14ac:dyDescent="0.25">
      <c r="B6886" s="42"/>
      <c r="AA6886" s="43"/>
    </row>
    <row r="6887" spans="2:27" x14ac:dyDescent="0.25">
      <c r="B6887" s="42"/>
      <c r="AA6887" s="43"/>
    </row>
    <row r="6888" spans="2:27" x14ac:dyDescent="0.25">
      <c r="B6888" s="42"/>
      <c r="AA6888" s="43"/>
    </row>
    <row r="6889" spans="2:27" x14ac:dyDescent="0.25">
      <c r="B6889" s="42"/>
      <c r="AA6889" s="43"/>
    </row>
    <row r="6890" spans="2:27" x14ac:dyDescent="0.25">
      <c r="B6890" s="42"/>
      <c r="AA6890" s="43"/>
    </row>
    <row r="6891" spans="2:27" x14ac:dyDescent="0.25">
      <c r="B6891" s="42"/>
      <c r="AA6891" s="43"/>
    </row>
    <row r="6892" spans="2:27" x14ac:dyDescent="0.25">
      <c r="B6892" s="42"/>
      <c r="AA6892" s="43"/>
    </row>
    <row r="6893" spans="2:27" x14ac:dyDescent="0.25">
      <c r="B6893" s="42"/>
      <c r="AA6893" s="43"/>
    </row>
    <row r="6894" spans="2:27" x14ac:dyDescent="0.25">
      <c r="B6894" s="42"/>
      <c r="AA6894" s="43"/>
    </row>
    <row r="6895" spans="2:27" x14ac:dyDescent="0.25">
      <c r="B6895" s="42"/>
      <c r="AA6895" s="43"/>
    </row>
    <row r="6896" spans="2:27" x14ac:dyDescent="0.25">
      <c r="B6896" s="42"/>
      <c r="AA6896" s="43"/>
    </row>
    <row r="6897" spans="2:27" x14ac:dyDescent="0.25">
      <c r="B6897" s="42"/>
      <c r="AA6897" s="43"/>
    </row>
    <row r="6898" spans="2:27" x14ac:dyDescent="0.25">
      <c r="B6898" s="42"/>
      <c r="AA6898" s="43"/>
    </row>
    <row r="6899" spans="2:27" x14ac:dyDescent="0.25">
      <c r="B6899" s="42"/>
      <c r="AA6899" s="43"/>
    </row>
    <row r="6900" spans="2:27" x14ac:dyDescent="0.25">
      <c r="B6900" s="42"/>
      <c r="AA6900" s="43"/>
    </row>
    <row r="6901" spans="2:27" x14ac:dyDescent="0.25">
      <c r="B6901" s="42"/>
      <c r="AA6901" s="43"/>
    </row>
    <row r="6902" spans="2:27" x14ac:dyDescent="0.25">
      <c r="B6902" s="42"/>
      <c r="AA6902" s="43"/>
    </row>
    <row r="6903" spans="2:27" x14ac:dyDescent="0.25">
      <c r="B6903" s="42"/>
      <c r="AA6903" s="43"/>
    </row>
    <row r="6904" spans="2:27" x14ac:dyDescent="0.25">
      <c r="B6904" s="42"/>
      <c r="AA6904" s="43"/>
    </row>
    <row r="6905" spans="2:27" x14ac:dyDescent="0.25">
      <c r="B6905" s="42"/>
      <c r="AA6905" s="43"/>
    </row>
    <row r="6906" spans="2:27" x14ac:dyDescent="0.25">
      <c r="B6906" s="42"/>
      <c r="AA6906" s="43"/>
    </row>
    <row r="6907" spans="2:27" x14ac:dyDescent="0.25">
      <c r="B6907" s="42"/>
      <c r="AA6907" s="43"/>
    </row>
    <row r="6908" spans="2:27" x14ac:dyDescent="0.25">
      <c r="B6908" s="42"/>
      <c r="AA6908" s="43"/>
    </row>
    <row r="6909" spans="2:27" x14ac:dyDescent="0.25">
      <c r="B6909" s="42"/>
      <c r="AA6909" s="43"/>
    </row>
    <row r="6910" spans="2:27" x14ac:dyDescent="0.25">
      <c r="B6910" s="42"/>
      <c r="AA6910" s="43"/>
    </row>
    <row r="6911" spans="2:27" x14ac:dyDescent="0.25">
      <c r="B6911" s="42"/>
      <c r="AA6911" s="43"/>
    </row>
    <row r="6912" spans="2:27" x14ac:dyDescent="0.25">
      <c r="B6912" s="42"/>
      <c r="AA6912" s="43"/>
    </row>
    <row r="6913" spans="2:27" x14ac:dyDescent="0.25">
      <c r="B6913" s="42"/>
      <c r="AA6913" s="43"/>
    </row>
    <row r="6914" spans="2:27" x14ac:dyDescent="0.25">
      <c r="B6914" s="42"/>
      <c r="AA6914" s="43"/>
    </row>
    <row r="6915" spans="2:27" x14ac:dyDescent="0.25">
      <c r="B6915" s="42"/>
      <c r="AA6915" s="43"/>
    </row>
    <row r="6916" spans="2:27" x14ac:dyDescent="0.25">
      <c r="B6916" s="42"/>
      <c r="AA6916" s="43"/>
    </row>
    <row r="6917" spans="2:27" x14ac:dyDescent="0.25">
      <c r="B6917" s="42"/>
      <c r="AA6917" s="43"/>
    </row>
    <row r="6918" spans="2:27" x14ac:dyDescent="0.25">
      <c r="B6918" s="42"/>
      <c r="AA6918" s="43"/>
    </row>
    <row r="6919" spans="2:27" x14ac:dyDescent="0.25">
      <c r="B6919" s="42"/>
      <c r="AA6919" s="43"/>
    </row>
    <row r="6920" spans="2:27" x14ac:dyDescent="0.25">
      <c r="B6920" s="42"/>
      <c r="AA6920" s="43"/>
    </row>
    <row r="6921" spans="2:27" x14ac:dyDescent="0.25">
      <c r="B6921" s="42"/>
      <c r="AA6921" s="43"/>
    </row>
    <row r="6922" spans="2:27" x14ac:dyDescent="0.25">
      <c r="B6922" s="42"/>
      <c r="AA6922" s="43"/>
    </row>
    <row r="6923" spans="2:27" x14ac:dyDescent="0.25">
      <c r="B6923" s="42"/>
      <c r="AA6923" s="43"/>
    </row>
    <row r="6924" spans="2:27" x14ac:dyDescent="0.25">
      <c r="B6924" s="42"/>
      <c r="AA6924" s="43"/>
    </row>
    <row r="6925" spans="2:27" x14ac:dyDescent="0.25">
      <c r="B6925" s="42"/>
      <c r="AA6925" s="43"/>
    </row>
    <row r="6926" spans="2:27" x14ac:dyDescent="0.25">
      <c r="B6926" s="42"/>
      <c r="AA6926" s="43"/>
    </row>
    <row r="6927" spans="2:27" x14ac:dyDescent="0.25">
      <c r="B6927" s="42"/>
      <c r="AA6927" s="43"/>
    </row>
    <row r="6928" spans="2:27" x14ac:dyDescent="0.25">
      <c r="B6928" s="42"/>
      <c r="AA6928" s="43"/>
    </row>
    <row r="6929" spans="2:27" x14ac:dyDescent="0.25">
      <c r="B6929" s="42"/>
      <c r="AA6929" s="43"/>
    </row>
    <row r="6930" spans="2:27" x14ac:dyDescent="0.25">
      <c r="B6930" s="42"/>
      <c r="AA6930" s="43"/>
    </row>
    <row r="6931" spans="2:27" x14ac:dyDescent="0.25">
      <c r="B6931" s="42"/>
      <c r="AA6931" s="43"/>
    </row>
    <row r="6932" spans="2:27" x14ac:dyDescent="0.25">
      <c r="B6932" s="42"/>
      <c r="AA6932" s="43"/>
    </row>
    <row r="6933" spans="2:27" x14ac:dyDescent="0.25">
      <c r="B6933" s="42"/>
      <c r="AA6933" s="43"/>
    </row>
    <row r="6934" spans="2:27" x14ac:dyDescent="0.25">
      <c r="B6934" s="42"/>
      <c r="AA6934" s="43"/>
    </row>
    <row r="6935" spans="2:27" x14ac:dyDescent="0.25">
      <c r="B6935" s="42"/>
      <c r="AA6935" s="43"/>
    </row>
    <row r="6936" spans="2:27" x14ac:dyDescent="0.25">
      <c r="B6936" s="42"/>
      <c r="AA6936" s="43"/>
    </row>
    <row r="6937" spans="2:27" x14ac:dyDescent="0.25">
      <c r="B6937" s="42"/>
      <c r="AA6937" s="43"/>
    </row>
    <row r="6938" spans="2:27" x14ac:dyDescent="0.25">
      <c r="B6938" s="42"/>
      <c r="AA6938" s="43"/>
    </row>
    <row r="6939" spans="2:27" x14ac:dyDescent="0.25">
      <c r="B6939" s="42"/>
      <c r="AA6939" s="43"/>
    </row>
    <row r="6940" spans="2:27" x14ac:dyDescent="0.25">
      <c r="B6940" s="42"/>
      <c r="AA6940" s="43"/>
    </row>
    <row r="6941" spans="2:27" x14ac:dyDescent="0.25">
      <c r="B6941" s="42"/>
      <c r="AA6941" s="43"/>
    </row>
    <row r="6942" spans="2:27" x14ac:dyDescent="0.25">
      <c r="B6942" s="42"/>
      <c r="AA6942" s="43"/>
    </row>
    <row r="6943" spans="2:27" x14ac:dyDescent="0.25">
      <c r="B6943" s="42"/>
      <c r="AA6943" s="43"/>
    </row>
    <row r="6944" spans="2:27" x14ac:dyDescent="0.25">
      <c r="B6944" s="42"/>
      <c r="AA6944" s="43"/>
    </row>
    <row r="6945" spans="2:27" x14ac:dyDescent="0.25">
      <c r="B6945" s="42"/>
      <c r="AA6945" s="43"/>
    </row>
    <row r="6946" spans="2:27" x14ac:dyDescent="0.25">
      <c r="B6946" s="42"/>
      <c r="AA6946" s="43"/>
    </row>
    <row r="6947" spans="2:27" x14ac:dyDescent="0.25">
      <c r="B6947" s="42"/>
      <c r="AA6947" s="43"/>
    </row>
    <row r="6948" spans="2:27" x14ac:dyDescent="0.25">
      <c r="B6948" s="42"/>
      <c r="AA6948" s="43"/>
    </row>
    <row r="6949" spans="2:27" x14ac:dyDescent="0.25">
      <c r="B6949" s="42"/>
      <c r="AA6949" s="43"/>
    </row>
    <row r="6950" spans="2:27" x14ac:dyDescent="0.25">
      <c r="B6950" s="42"/>
      <c r="AA6950" s="43"/>
    </row>
    <row r="6951" spans="2:27" x14ac:dyDescent="0.25">
      <c r="B6951" s="42"/>
      <c r="AA6951" s="43"/>
    </row>
    <row r="6952" spans="2:27" x14ac:dyDescent="0.25">
      <c r="B6952" s="42"/>
      <c r="AA6952" s="43"/>
    </row>
    <row r="6953" spans="2:27" x14ac:dyDescent="0.25">
      <c r="B6953" s="42"/>
      <c r="AA6953" s="43"/>
    </row>
    <row r="6954" spans="2:27" x14ac:dyDescent="0.25">
      <c r="B6954" s="42"/>
      <c r="AA6954" s="43"/>
    </row>
    <row r="6955" spans="2:27" x14ac:dyDescent="0.25">
      <c r="B6955" s="42"/>
      <c r="AA6955" s="43"/>
    </row>
    <row r="6956" spans="2:27" x14ac:dyDescent="0.25">
      <c r="B6956" s="42"/>
      <c r="AA6956" s="43"/>
    </row>
    <row r="6957" spans="2:27" x14ac:dyDescent="0.25">
      <c r="B6957" s="42"/>
      <c r="AA6957" s="43"/>
    </row>
    <row r="6958" spans="2:27" x14ac:dyDescent="0.25">
      <c r="B6958" s="42"/>
      <c r="AA6958" s="43"/>
    </row>
    <row r="6959" spans="2:27" x14ac:dyDescent="0.25">
      <c r="B6959" s="42"/>
      <c r="AA6959" s="43"/>
    </row>
    <row r="6960" spans="2:27" x14ac:dyDescent="0.25">
      <c r="B6960" s="42"/>
      <c r="AA6960" s="43"/>
    </row>
    <row r="6961" spans="2:27" x14ac:dyDescent="0.25">
      <c r="B6961" s="42"/>
      <c r="AA6961" s="43"/>
    </row>
    <row r="6962" spans="2:27" x14ac:dyDescent="0.25">
      <c r="B6962" s="42"/>
      <c r="AA6962" s="43"/>
    </row>
    <row r="6963" spans="2:27" x14ac:dyDescent="0.25">
      <c r="B6963" s="42"/>
      <c r="AA6963" s="43"/>
    </row>
    <row r="6964" spans="2:27" x14ac:dyDescent="0.25">
      <c r="B6964" s="42"/>
      <c r="AA6964" s="43"/>
    </row>
    <row r="6965" spans="2:27" x14ac:dyDescent="0.25">
      <c r="B6965" s="42"/>
      <c r="AA6965" s="43"/>
    </row>
    <row r="6966" spans="2:27" x14ac:dyDescent="0.25">
      <c r="B6966" s="42"/>
      <c r="AA6966" s="43"/>
    </row>
    <row r="6967" spans="2:27" x14ac:dyDescent="0.25">
      <c r="B6967" s="42"/>
      <c r="AA6967" s="43"/>
    </row>
    <row r="6968" spans="2:27" x14ac:dyDescent="0.25">
      <c r="B6968" s="42"/>
      <c r="AA6968" s="43"/>
    </row>
    <row r="6969" spans="2:27" x14ac:dyDescent="0.25">
      <c r="B6969" s="42"/>
      <c r="AA6969" s="43"/>
    </row>
    <row r="6970" spans="2:27" x14ac:dyDescent="0.25">
      <c r="B6970" s="42"/>
      <c r="AA6970" s="43"/>
    </row>
    <row r="6971" spans="2:27" x14ac:dyDescent="0.25">
      <c r="B6971" s="42"/>
      <c r="AA6971" s="43"/>
    </row>
    <row r="6972" spans="2:27" x14ac:dyDescent="0.25">
      <c r="B6972" s="42"/>
      <c r="AA6972" s="43"/>
    </row>
    <row r="6973" spans="2:27" x14ac:dyDescent="0.25">
      <c r="B6973" s="42"/>
      <c r="AA6973" s="43"/>
    </row>
    <row r="6974" spans="2:27" x14ac:dyDescent="0.25">
      <c r="B6974" s="42"/>
      <c r="AA6974" s="43"/>
    </row>
    <row r="6975" spans="2:27" x14ac:dyDescent="0.25">
      <c r="B6975" s="42"/>
      <c r="AA6975" s="43"/>
    </row>
    <row r="6976" spans="2:27" x14ac:dyDescent="0.25">
      <c r="B6976" s="42"/>
      <c r="AA6976" s="43"/>
    </row>
    <row r="6977" spans="2:27" x14ac:dyDescent="0.25">
      <c r="B6977" s="42"/>
      <c r="AA6977" s="43"/>
    </row>
    <row r="6978" spans="2:27" x14ac:dyDescent="0.25">
      <c r="B6978" s="42"/>
      <c r="AA6978" s="43"/>
    </row>
    <row r="6979" spans="2:27" x14ac:dyDescent="0.25">
      <c r="B6979" s="42"/>
      <c r="AA6979" s="43"/>
    </row>
    <row r="6980" spans="2:27" x14ac:dyDescent="0.25">
      <c r="B6980" s="42"/>
      <c r="AA6980" s="43"/>
    </row>
    <row r="6981" spans="2:27" x14ac:dyDescent="0.25">
      <c r="B6981" s="42"/>
      <c r="AA6981" s="43"/>
    </row>
    <row r="6982" spans="2:27" x14ac:dyDescent="0.25">
      <c r="B6982" s="42"/>
      <c r="AA6982" s="43"/>
    </row>
    <row r="6983" spans="2:27" x14ac:dyDescent="0.25">
      <c r="B6983" s="42"/>
      <c r="AA6983" s="43"/>
    </row>
    <row r="6984" spans="2:27" x14ac:dyDescent="0.25">
      <c r="B6984" s="42"/>
      <c r="AA6984" s="43"/>
    </row>
    <row r="6985" spans="2:27" x14ac:dyDescent="0.25">
      <c r="B6985" s="42"/>
      <c r="AA6985" s="43"/>
    </row>
    <row r="6986" spans="2:27" x14ac:dyDescent="0.25">
      <c r="B6986" s="42"/>
      <c r="AA6986" s="43"/>
    </row>
    <row r="6987" spans="2:27" x14ac:dyDescent="0.25">
      <c r="B6987" s="42"/>
      <c r="AA6987" s="43"/>
    </row>
    <row r="6988" spans="2:27" x14ac:dyDescent="0.25">
      <c r="B6988" s="42"/>
      <c r="AA6988" s="43"/>
    </row>
    <row r="6989" spans="2:27" x14ac:dyDescent="0.25">
      <c r="B6989" s="42"/>
      <c r="AA6989" s="43"/>
    </row>
    <row r="6990" spans="2:27" x14ac:dyDescent="0.25">
      <c r="B6990" s="42"/>
      <c r="AA6990" s="43"/>
    </row>
    <row r="6991" spans="2:27" x14ac:dyDescent="0.25">
      <c r="B6991" s="42"/>
      <c r="AA6991" s="43"/>
    </row>
    <row r="6992" spans="2:27" x14ac:dyDescent="0.25">
      <c r="B6992" s="42"/>
      <c r="AA6992" s="43"/>
    </row>
    <row r="6993" spans="2:27" x14ac:dyDescent="0.25">
      <c r="B6993" s="42"/>
      <c r="AA6993" s="43"/>
    </row>
    <row r="6994" spans="2:27" x14ac:dyDescent="0.25">
      <c r="B6994" s="42"/>
      <c r="AA6994" s="43"/>
    </row>
    <row r="6995" spans="2:27" x14ac:dyDescent="0.25">
      <c r="B6995" s="42"/>
      <c r="AA6995" s="43"/>
    </row>
    <row r="6996" spans="2:27" x14ac:dyDescent="0.25">
      <c r="B6996" s="42"/>
      <c r="AA6996" s="43"/>
    </row>
    <row r="6997" spans="2:27" x14ac:dyDescent="0.25">
      <c r="B6997" s="42"/>
      <c r="AA6997" s="43"/>
    </row>
    <row r="6998" spans="2:27" x14ac:dyDescent="0.25">
      <c r="B6998" s="42"/>
      <c r="AA6998" s="43"/>
    </row>
    <row r="6999" spans="2:27" x14ac:dyDescent="0.25">
      <c r="B6999" s="42"/>
      <c r="AA6999" s="43"/>
    </row>
    <row r="7000" spans="2:27" x14ac:dyDescent="0.25">
      <c r="B7000" s="42"/>
      <c r="AA7000" s="43"/>
    </row>
    <row r="7001" spans="2:27" x14ac:dyDescent="0.25">
      <c r="B7001" s="42"/>
      <c r="AA7001" s="43"/>
    </row>
    <row r="7002" spans="2:27" x14ac:dyDescent="0.25">
      <c r="B7002" s="42"/>
      <c r="AA7002" s="43"/>
    </row>
    <row r="7003" spans="2:27" x14ac:dyDescent="0.25">
      <c r="B7003" s="42"/>
      <c r="AA7003" s="43"/>
    </row>
    <row r="7004" spans="2:27" x14ac:dyDescent="0.25">
      <c r="B7004" s="42"/>
      <c r="AA7004" s="43"/>
    </row>
    <row r="7005" spans="2:27" x14ac:dyDescent="0.25">
      <c r="B7005" s="42"/>
      <c r="AA7005" s="43"/>
    </row>
    <row r="7006" spans="2:27" x14ac:dyDescent="0.25">
      <c r="B7006" s="42"/>
      <c r="AA7006" s="43"/>
    </row>
    <row r="7007" spans="2:27" x14ac:dyDescent="0.25">
      <c r="B7007" s="42"/>
      <c r="AA7007" s="43"/>
    </row>
    <row r="7008" spans="2:27" x14ac:dyDescent="0.25">
      <c r="B7008" s="42"/>
      <c r="AA7008" s="43"/>
    </row>
    <row r="7009" spans="2:27" x14ac:dyDescent="0.25">
      <c r="B7009" s="42"/>
      <c r="AA7009" s="43"/>
    </row>
    <row r="7010" spans="2:27" x14ac:dyDescent="0.25">
      <c r="B7010" s="42"/>
      <c r="AA7010" s="43"/>
    </row>
    <row r="7011" spans="2:27" x14ac:dyDescent="0.25">
      <c r="B7011" s="42"/>
      <c r="AA7011" s="43"/>
    </row>
    <row r="7012" spans="2:27" x14ac:dyDescent="0.25">
      <c r="B7012" s="42"/>
      <c r="AA7012" s="43"/>
    </row>
    <row r="7013" spans="2:27" x14ac:dyDescent="0.25">
      <c r="B7013" s="42"/>
      <c r="AA7013" s="43"/>
    </row>
    <row r="7014" spans="2:27" x14ac:dyDescent="0.25">
      <c r="B7014" s="42"/>
      <c r="AA7014" s="43"/>
    </row>
    <row r="7015" spans="2:27" x14ac:dyDescent="0.25">
      <c r="B7015" s="42"/>
      <c r="AA7015" s="43"/>
    </row>
    <row r="7016" spans="2:27" x14ac:dyDescent="0.25">
      <c r="B7016" s="42"/>
      <c r="AA7016" s="43"/>
    </row>
    <row r="7017" spans="2:27" x14ac:dyDescent="0.25">
      <c r="B7017" s="42"/>
      <c r="AA7017" s="43"/>
    </row>
    <row r="7018" spans="2:27" x14ac:dyDescent="0.25">
      <c r="B7018" s="42"/>
      <c r="AA7018" s="43"/>
    </row>
    <row r="7019" spans="2:27" x14ac:dyDescent="0.25">
      <c r="B7019" s="42"/>
      <c r="AA7019" s="43"/>
    </row>
    <row r="7020" spans="2:27" x14ac:dyDescent="0.25">
      <c r="B7020" s="42"/>
      <c r="AA7020" s="43"/>
    </row>
    <row r="7021" spans="2:27" x14ac:dyDescent="0.25">
      <c r="B7021" s="42"/>
      <c r="AA7021" s="43"/>
    </row>
    <row r="7022" spans="2:27" x14ac:dyDescent="0.25">
      <c r="B7022" s="42"/>
      <c r="AA7022" s="43"/>
    </row>
    <row r="7023" spans="2:27" x14ac:dyDescent="0.25">
      <c r="B7023" s="42"/>
      <c r="AA7023" s="43"/>
    </row>
    <row r="7024" spans="2:27" x14ac:dyDescent="0.25">
      <c r="B7024" s="42"/>
      <c r="AA7024" s="43"/>
    </row>
    <row r="7025" spans="2:27" x14ac:dyDescent="0.25">
      <c r="B7025" s="42"/>
      <c r="AA7025" s="43"/>
    </row>
    <row r="7026" spans="2:27" x14ac:dyDescent="0.25">
      <c r="B7026" s="42"/>
      <c r="AA7026" s="43"/>
    </row>
    <row r="7027" spans="2:27" x14ac:dyDescent="0.25">
      <c r="B7027" s="42"/>
      <c r="AA7027" s="43"/>
    </row>
    <row r="7028" spans="2:27" x14ac:dyDescent="0.25">
      <c r="B7028" s="42"/>
      <c r="AA7028" s="43"/>
    </row>
    <row r="7029" spans="2:27" x14ac:dyDescent="0.25">
      <c r="B7029" s="42"/>
      <c r="AA7029" s="43"/>
    </row>
    <row r="7030" spans="2:27" x14ac:dyDescent="0.25">
      <c r="B7030" s="42"/>
      <c r="AA7030" s="43"/>
    </row>
    <row r="7031" spans="2:27" x14ac:dyDescent="0.25">
      <c r="B7031" s="42"/>
      <c r="AA7031" s="43"/>
    </row>
    <row r="7032" spans="2:27" x14ac:dyDescent="0.25">
      <c r="B7032" s="42"/>
      <c r="AA7032" s="43"/>
    </row>
    <row r="7033" spans="2:27" x14ac:dyDescent="0.25">
      <c r="B7033" s="42"/>
      <c r="AA7033" s="43"/>
    </row>
    <row r="7034" spans="2:27" x14ac:dyDescent="0.25">
      <c r="B7034" s="42"/>
      <c r="AA7034" s="43"/>
    </row>
    <row r="7035" spans="2:27" x14ac:dyDescent="0.25">
      <c r="B7035" s="42"/>
      <c r="AA7035" s="43"/>
    </row>
    <row r="7036" spans="2:27" x14ac:dyDescent="0.25">
      <c r="B7036" s="42"/>
      <c r="AA7036" s="43"/>
    </row>
    <row r="7037" spans="2:27" x14ac:dyDescent="0.25">
      <c r="B7037" s="42"/>
      <c r="AA7037" s="43"/>
    </row>
    <row r="7038" spans="2:27" x14ac:dyDescent="0.25">
      <c r="B7038" s="42"/>
      <c r="AA7038" s="43"/>
    </row>
    <row r="7039" spans="2:27" x14ac:dyDescent="0.25">
      <c r="B7039" s="42"/>
      <c r="AA7039" s="43"/>
    </row>
    <row r="7040" spans="2:27" x14ac:dyDescent="0.25">
      <c r="B7040" s="42"/>
      <c r="AA7040" s="43"/>
    </row>
    <row r="7041" spans="2:27" x14ac:dyDescent="0.25">
      <c r="B7041" s="42"/>
      <c r="AA7041" s="43"/>
    </row>
    <row r="7042" spans="2:27" x14ac:dyDescent="0.25">
      <c r="B7042" s="42"/>
      <c r="AA7042" s="43"/>
    </row>
    <row r="7043" spans="2:27" x14ac:dyDescent="0.25">
      <c r="B7043" s="42"/>
      <c r="AA7043" s="43"/>
    </row>
    <row r="7044" spans="2:27" x14ac:dyDescent="0.25">
      <c r="B7044" s="42"/>
      <c r="AA7044" s="43"/>
    </row>
    <row r="7045" spans="2:27" x14ac:dyDescent="0.25">
      <c r="B7045" s="42"/>
      <c r="AA7045" s="43"/>
    </row>
    <row r="7046" spans="2:27" x14ac:dyDescent="0.25">
      <c r="B7046" s="42"/>
      <c r="AA7046" s="43"/>
    </row>
    <row r="7047" spans="2:27" x14ac:dyDescent="0.25">
      <c r="B7047" s="42"/>
      <c r="AA7047" s="43"/>
    </row>
    <row r="7048" spans="2:27" x14ac:dyDescent="0.25">
      <c r="B7048" s="42"/>
      <c r="AA7048" s="43"/>
    </row>
    <row r="7049" spans="2:27" x14ac:dyDescent="0.25">
      <c r="B7049" s="42"/>
      <c r="AA7049" s="43"/>
    </row>
    <row r="7050" spans="2:27" x14ac:dyDescent="0.25">
      <c r="B7050" s="42"/>
      <c r="AA7050" s="43"/>
    </row>
    <row r="7051" spans="2:27" x14ac:dyDescent="0.25">
      <c r="B7051" s="42"/>
      <c r="AA7051" s="43"/>
    </row>
    <row r="7052" spans="2:27" x14ac:dyDescent="0.25">
      <c r="B7052" s="42"/>
      <c r="AA7052" s="43"/>
    </row>
    <row r="7053" spans="2:27" x14ac:dyDescent="0.25">
      <c r="B7053" s="42"/>
      <c r="AA7053" s="43"/>
    </row>
    <row r="7054" spans="2:27" x14ac:dyDescent="0.25">
      <c r="B7054" s="42"/>
      <c r="AA7054" s="43"/>
    </row>
    <row r="7055" spans="2:27" x14ac:dyDescent="0.25">
      <c r="B7055" s="42"/>
      <c r="AA7055" s="43"/>
    </row>
    <row r="7056" spans="2:27" x14ac:dyDescent="0.25">
      <c r="B7056" s="42"/>
      <c r="AA7056" s="43"/>
    </row>
    <row r="7057" spans="2:27" x14ac:dyDescent="0.25">
      <c r="B7057" s="42"/>
      <c r="AA7057" s="43"/>
    </row>
    <row r="7058" spans="2:27" x14ac:dyDescent="0.25">
      <c r="B7058" s="42"/>
      <c r="AA7058" s="43"/>
    </row>
    <row r="7059" spans="2:27" x14ac:dyDescent="0.25">
      <c r="B7059" s="42"/>
      <c r="AA7059" s="43"/>
    </row>
    <row r="7060" spans="2:27" x14ac:dyDescent="0.25">
      <c r="B7060" s="42"/>
      <c r="AA7060" s="43"/>
    </row>
    <row r="7061" spans="2:27" x14ac:dyDescent="0.25">
      <c r="B7061" s="42"/>
      <c r="AA7061" s="43"/>
    </row>
    <row r="7062" spans="2:27" x14ac:dyDescent="0.25">
      <c r="B7062" s="42"/>
      <c r="AA7062" s="43"/>
    </row>
    <row r="7063" spans="2:27" x14ac:dyDescent="0.25">
      <c r="B7063" s="42"/>
      <c r="AA7063" s="43"/>
    </row>
    <row r="7064" spans="2:27" x14ac:dyDescent="0.25">
      <c r="B7064" s="42"/>
      <c r="AA7064" s="43"/>
    </row>
    <row r="7065" spans="2:27" x14ac:dyDescent="0.25">
      <c r="B7065" s="42"/>
      <c r="AA7065" s="43"/>
    </row>
    <row r="7066" spans="2:27" x14ac:dyDescent="0.25">
      <c r="B7066" s="42"/>
      <c r="AA7066" s="43"/>
    </row>
    <row r="7067" spans="2:27" x14ac:dyDescent="0.25">
      <c r="B7067" s="42"/>
      <c r="AA7067" s="43"/>
    </row>
    <row r="7068" spans="2:27" x14ac:dyDescent="0.25">
      <c r="B7068" s="42"/>
      <c r="AA7068" s="43"/>
    </row>
    <row r="7069" spans="2:27" x14ac:dyDescent="0.25">
      <c r="B7069" s="42"/>
      <c r="AA7069" s="43"/>
    </row>
    <row r="7070" spans="2:27" x14ac:dyDescent="0.25">
      <c r="B7070" s="42"/>
      <c r="AA7070" s="43"/>
    </row>
    <row r="7071" spans="2:27" x14ac:dyDescent="0.25">
      <c r="B7071" s="42"/>
      <c r="AA7071" s="43"/>
    </row>
    <row r="7072" spans="2:27" x14ac:dyDescent="0.25">
      <c r="B7072" s="42"/>
      <c r="AA7072" s="43"/>
    </row>
    <row r="7073" spans="2:27" x14ac:dyDescent="0.25">
      <c r="B7073" s="42"/>
      <c r="AA7073" s="43"/>
    </row>
    <row r="7074" spans="2:27" x14ac:dyDescent="0.25">
      <c r="B7074" s="42"/>
      <c r="AA7074" s="43"/>
    </row>
    <row r="7075" spans="2:27" x14ac:dyDescent="0.25">
      <c r="B7075" s="42"/>
      <c r="AA7075" s="43"/>
    </row>
    <row r="7076" spans="2:27" x14ac:dyDescent="0.25">
      <c r="B7076" s="42"/>
      <c r="AA7076" s="43"/>
    </row>
    <row r="7077" spans="2:27" x14ac:dyDescent="0.25">
      <c r="B7077" s="42"/>
      <c r="AA7077" s="43"/>
    </row>
    <row r="7078" spans="2:27" x14ac:dyDescent="0.25">
      <c r="B7078" s="42"/>
      <c r="AA7078" s="43"/>
    </row>
    <row r="7079" spans="2:27" x14ac:dyDescent="0.25">
      <c r="B7079" s="42"/>
      <c r="AA7079" s="43"/>
    </row>
    <row r="7080" spans="2:27" x14ac:dyDescent="0.25">
      <c r="B7080" s="42"/>
      <c r="AA7080" s="43"/>
    </row>
    <row r="7081" spans="2:27" x14ac:dyDescent="0.25">
      <c r="B7081" s="42"/>
      <c r="AA7081" s="43"/>
    </row>
    <row r="7082" spans="2:27" x14ac:dyDescent="0.25">
      <c r="B7082" s="42"/>
      <c r="AA7082" s="43"/>
    </row>
    <row r="7083" spans="2:27" x14ac:dyDescent="0.25">
      <c r="B7083" s="42"/>
      <c r="AA7083" s="43"/>
    </row>
    <row r="7084" spans="2:27" x14ac:dyDescent="0.25">
      <c r="B7084" s="42"/>
      <c r="AA7084" s="43"/>
    </row>
    <row r="7085" spans="2:27" x14ac:dyDescent="0.25">
      <c r="B7085" s="42"/>
      <c r="AA7085" s="43"/>
    </row>
    <row r="7086" spans="2:27" x14ac:dyDescent="0.25">
      <c r="B7086" s="42"/>
      <c r="AA7086" s="43"/>
    </row>
    <row r="7087" spans="2:27" x14ac:dyDescent="0.25">
      <c r="B7087" s="42"/>
      <c r="AA7087" s="43"/>
    </row>
    <row r="7088" spans="2:27" x14ac:dyDescent="0.25">
      <c r="B7088" s="42"/>
      <c r="AA7088" s="43"/>
    </row>
    <row r="7089" spans="2:27" x14ac:dyDescent="0.25">
      <c r="B7089" s="42"/>
      <c r="AA7089" s="43"/>
    </row>
    <row r="7090" spans="2:27" x14ac:dyDescent="0.25">
      <c r="B7090" s="42"/>
      <c r="AA7090" s="43"/>
    </row>
    <row r="7091" spans="2:27" x14ac:dyDescent="0.25">
      <c r="B7091" s="42"/>
      <c r="AA7091" s="43"/>
    </row>
    <row r="7092" spans="2:27" x14ac:dyDescent="0.25">
      <c r="B7092" s="42"/>
      <c r="AA7092" s="43"/>
    </row>
    <row r="7093" spans="2:27" x14ac:dyDescent="0.25">
      <c r="B7093" s="42"/>
      <c r="AA7093" s="43"/>
    </row>
    <row r="7094" spans="2:27" x14ac:dyDescent="0.25">
      <c r="B7094" s="42"/>
      <c r="AA7094" s="43"/>
    </row>
    <row r="7095" spans="2:27" x14ac:dyDescent="0.25">
      <c r="B7095" s="42"/>
      <c r="AA7095" s="43"/>
    </row>
    <row r="7096" spans="2:27" x14ac:dyDescent="0.25">
      <c r="B7096" s="42"/>
      <c r="AA7096" s="43"/>
    </row>
    <row r="7097" spans="2:27" x14ac:dyDescent="0.25">
      <c r="B7097" s="42"/>
      <c r="AA7097" s="43"/>
    </row>
    <row r="7098" spans="2:27" x14ac:dyDescent="0.25">
      <c r="B7098" s="42"/>
      <c r="AA7098" s="43"/>
    </row>
    <row r="7099" spans="2:27" x14ac:dyDescent="0.25">
      <c r="B7099" s="42"/>
      <c r="AA7099" s="43"/>
    </row>
    <row r="7100" spans="2:27" x14ac:dyDescent="0.25">
      <c r="B7100" s="42"/>
      <c r="AA7100" s="43"/>
    </row>
    <row r="7101" spans="2:27" x14ac:dyDescent="0.25">
      <c r="B7101" s="42"/>
      <c r="AA7101" s="43"/>
    </row>
    <row r="7102" spans="2:27" x14ac:dyDescent="0.25">
      <c r="B7102" s="42"/>
      <c r="AA7102" s="43"/>
    </row>
    <row r="7103" spans="2:27" x14ac:dyDescent="0.25">
      <c r="B7103" s="42"/>
      <c r="AA7103" s="43"/>
    </row>
    <row r="7104" spans="2:27" x14ac:dyDescent="0.25">
      <c r="B7104" s="42"/>
      <c r="AA7104" s="43"/>
    </row>
    <row r="7105" spans="2:27" x14ac:dyDescent="0.25">
      <c r="B7105" s="42"/>
      <c r="AA7105" s="43"/>
    </row>
    <row r="7106" spans="2:27" x14ac:dyDescent="0.25">
      <c r="B7106" s="42"/>
      <c r="AA7106" s="43"/>
    </row>
    <row r="7107" spans="2:27" x14ac:dyDescent="0.25">
      <c r="B7107" s="42"/>
      <c r="AA7107" s="43"/>
    </row>
    <row r="7108" spans="2:27" x14ac:dyDescent="0.25">
      <c r="B7108" s="42"/>
      <c r="AA7108" s="43"/>
    </row>
    <row r="7109" spans="2:27" x14ac:dyDescent="0.25">
      <c r="B7109" s="42"/>
      <c r="AA7109" s="43"/>
    </row>
    <row r="7110" spans="2:27" x14ac:dyDescent="0.25">
      <c r="B7110" s="42"/>
      <c r="AA7110" s="43"/>
    </row>
    <row r="7111" spans="2:27" x14ac:dyDescent="0.25">
      <c r="B7111" s="42"/>
      <c r="AA7111" s="43"/>
    </row>
    <row r="7112" spans="2:27" x14ac:dyDescent="0.25">
      <c r="B7112" s="42"/>
      <c r="AA7112" s="43"/>
    </row>
    <row r="7113" spans="2:27" x14ac:dyDescent="0.25">
      <c r="B7113" s="42"/>
      <c r="AA7113" s="43"/>
    </row>
    <row r="7114" spans="2:27" x14ac:dyDescent="0.25">
      <c r="B7114" s="42"/>
      <c r="AA7114" s="43"/>
    </row>
    <row r="7115" spans="2:27" x14ac:dyDescent="0.25">
      <c r="B7115" s="42"/>
      <c r="AA7115" s="43"/>
    </row>
    <row r="7116" spans="2:27" x14ac:dyDescent="0.25">
      <c r="B7116" s="42"/>
      <c r="AA7116" s="43"/>
    </row>
    <row r="7117" spans="2:27" x14ac:dyDescent="0.25">
      <c r="B7117" s="42"/>
      <c r="AA7117" s="43"/>
    </row>
    <row r="7118" spans="2:27" x14ac:dyDescent="0.25">
      <c r="B7118" s="42"/>
      <c r="AA7118" s="43"/>
    </row>
    <row r="7119" spans="2:27" x14ac:dyDescent="0.25">
      <c r="B7119" s="42"/>
      <c r="AA7119" s="43"/>
    </row>
    <row r="7120" spans="2:27" x14ac:dyDescent="0.25">
      <c r="B7120" s="42"/>
      <c r="AA7120" s="43"/>
    </row>
    <row r="7121" spans="2:27" x14ac:dyDescent="0.25">
      <c r="B7121" s="42"/>
      <c r="AA7121" s="43"/>
    </row>
    <row r="7122" spans="2:27" x14ac:dyDescent="0.25">
      <c r="B7122" s="42"/>
      <c r="AA7122" s="43"/>
    </row>
    <row r="7123" spans="2:27" x14ac:dyDescent="0.25">
      <c r="B7123" s="42"/>
      <c r="AA7123" s="43"/>
    </row>
    <row r="7124" spans="2:27" x14ac:dyDescent="0.25">
      <c r="B7124" s="42"/>
      <c r="AA7124" s="43"/>
    </row>
    <row r="7125" spans="2:27" x14ac:dyDescent="0.25">
      <c r="B7125" s="42"/>
      <c r="AA7125" s="43"/>
    </row>
    <row r="7126" spans="2:27" x14ac:dyDescent="0.25">
      <c r="B7126" s="42"/>
      <c r="AA7126" s="43"/>
    </row>
    <row r="7127" spans="2:27" x14ac:dyDescent="0.25">
      <c r="B7127" s="42"/>
      <c r="AA7127" s="43"/>
    </row>
    <row r="7128" spans="2:27" x14ac:dyDescent="0.25">
      <c r="B7128" s="42"/>
      <c r="AA7128" s="43"/>
    </row>
    <row r="7129" spans="2:27" x14ac:dyDescent="0.25">
      <c r="B7129" s="42"/>
      <c r="AA7129" s="43"/>
    </row>
    <row r="7130" spans="2:27" x14ac:dyDescent="0.25">
      <c r="B7130" s="42"/>
      <c r="AA7130" s="43"/>
    </row>
    <row r="7131" spans="2:27" x14ac:dyDescent="0.25">
      <c r="B7131" s="42"/>
      <c r="AA7131" s="43"/>
    </row>
    <row r="7132" spans="2:27" x14ac:dyDescent="0.25">
      <c r="B7132" s="42"/>
      <c r="AA7132" s="43"/>
    </row>
    <row r="7133" spans="2:27" x14ac:dyDescent="0.25">
      <c r="B7133" s="42"/>
      <c r="AA7133" s="43"/>
    </row>
    <row r="7134" spans="2:27" x14ac:dyDescent="0.25">
      <c r="B7134" s="42"/>
      <c r="AA7134" s="43"/>
    </row>
    <row r="7135" spans="2:27" x14ac:dyDescent="0.25">
      <c r="B7135" s="42"/>
      <c r="AA7135" s="43"/>
    </row>
    <row r="7136" spans="2:27" x14ac:dyDescent="0.25">
      <c r="B7136" s="42"/>
      <c r="AA7136" s="43"/>
    </row>
    <row r="7137" spans="2:27" x14ac:dyDescent="0.25">
      <c r="B7137" s="42"/>
      <c r="AA7137" s="43"/>
    </row>
    <row r="7138" spans="2:27" x14ac:dyDescent="0.25">
      <c r="B7138" s="42"/>
      <c r="AA7138" s="43"/>
    </row>
    <row r="7139" spans="2:27" x14ac:dyDescent="0.25">
      <c r="B7139" s="42"/>
      <c r="AA7139" s="43"/>
    </row>
    <row r="7140" spans="2:27" x14ac:dyDescent="0.25">
      <c r="B7140" s="42"/>
      <c r="AA7140" s="43"/>
    </row>
    <row r="7141" spans="2:27" x14ac:dyDescent="0.25">
      <c r="B7141" s="42"/>
      <c r="AA7141" s="43"/>
    </row>
    <row r="7142" spans="2:27" x14ac:dyDescent="0.25">
      <c r="B7142" s="42"/>
      <c r="AA7142" s="43"/>
    </row>
    <row r="7143" spans="2:27" x14ac:dyDescent="0.25">
      <c r="B7143" s="42"/>
      <c r="AA7143" s="43"/>
    </row>
    <row r="7144" spans="2:27" x14ac:dyDescent="0.25">
      <c r="B7144" s="42"/>
      <c r="AA7144" s="43"/>
    </row>
    <row r="7145" spans="2:27" x14ac:dyDescent="0.25">
      <c r="B7145" s="42"/>
      <c r="AA7145" s="43"/>
    </row>
    <row r="7146" spans="2:27" x14ac:dyDescent="0.25">
      <c r="B7146" s="42"/>
      <c r="AA7146" s="43"/>
    </row>
    <row r="7147" spans="2:27" x14ac:dyDescent="0.25">
      <c r="B7147" s="42"/>
      <c r="AA7147" s="43"/>
    </row>
    <row r="7148" spans="2:27" x14ac:dyDescent="0.25">
      <c r="B7148" s="42"/>
      <c r="AA7148" s="43"/>
    </row>
    <row r="7149" spans="2:27" x14ac:dyDescent="0.25">
      <c r="B7149" s="42"/>
      <c r="AA7149" s="43"/>
    </row>
    <row r="7150" spans="2:27" x14ac:dyDescent="0.25">
      <c r="B7150" s="42"/>
      <c r="AA7150" s="43"/>
    </row>
    <row r="7151" spans="2:27" x14ac:dyDescent="0.25">
      <c r="B7151" s="42"/>
      <c r="AA7151" s="43"/>
    </row>
    <row r="7152" spans="2:27" x14ac:dyDescent="0.25">
      <c r="B7152" s="42"/>
      <c r="AA7152" s="43"/>
    </row>
    <row r="7153" spans="2:27" x14ac:dyDescent="0.25">
      <c r="B7153" s="42"/>
      <c r="AA7153" s="43"/>
    </row>
    <row r="7154" spans="2:27" x14ac:dyDescent="0.25">
      <c r="B7154" s="42"/>
      <c r="AA7154" s="43"/>
    </row>
    <row r="7155" spans="2:27" x14ac:dyDescent="0.25">
      <c r="B7155" s="42"/>
      <c r="AA7155" s="43"/>
    </row>
    <row r="7156" spans="2:27" x14ac:dyDescent="0.25">
      <c r="B7156" s="42"/>
      <c r="AA7156" s="43"/>
    </row>
    <row r="7157" spans="2:27" x14ac:dyDescent="0.25">
      <c r="B7157" s="42"/>
      <c r="AA7157" s="43"/>
    </row>
    <row r="7158" spans="2:27" x14ac:dyDescent="0.25">
      <c r="B7158" s="42"/>
      <c r="AA7158" s="43"/>
    </row>
    <row r="7159" spans="2:27" x14ac:dyDescent="0.25">
      <c r="B7159" s="42"/>
      <c r="AA7159" s="43"/>
    </row>
    <row r="7160" spans="2:27" x14ac:dyDescent="0.25">
      <c r="B7160" s="42"/>
      <c r="AA7160" s="43"/>
    </row>
    <row r="7161" spans="2:27" x14ac:dyDescent="0.25">
      <c r="B7161" s="42"/>
      <c r="AA7161" s="43"/>
    </row>
    <row r="7162" spans="2:27" x14ac:dyDescent="0.25">
      <c r="B7162" s="42"/>
      <c r="AA7162" s="43"/>
    </row>
    <row r="7163" spans="2:27" x14ac:dyDescent="0.25">
      <c r="B7163" s="42"/>
      <c r="AA7163" s="43"/>
    </row>
    <row r="7164" spans="2:27" x14ac:dyDescent="0.25">
      <c r="B7164" s="42"/>
      <c r="AA7164" s="43"/>
    </row>
    <row r="7165" spans="2:27" x14ac:dyDescent="0.25">
      <c r="B7165" s="42"/>
      <c r="AA7165" s="43"/>
    </row>
    <row r="7166" spans="2:27" x14ac:dyDescent="0.25">
      <c r="B7166" s="42"/>
      <c r="AA7166" s="43"/>
    </row>
    <row r="7167" spans="2:27" x14ac:dyDescent="0.25">
      <c r="B7167" s="42"/>
      <c r="AA7167" s="43"/>
    </row>
    <row r="7168" spans="2:27" x14ac:dyDescent="0.25">
      <c r="B7168" s="42"/>
      <c r="AA7168" s="43"/>
    </row>
    <row r="7169" spans="2:27" x14ac:dyDescent="0.25">
      <c r="B7169" s="42"/>
      <c r="AA7169" s="43"/>
    </row>
    <row r="7170" spans="2:27" x14ac:dyDescent="0.25">
      <c r="B7170" s="42"/>
      <c r="AA7170" s="43"/>
    </row>
    <row r="7171" spans="2:27" x14ac:dyDescent="0.25">
      <c r="B7171" s="42"/>
      <c r="AA7171" s="43"/>
    </row>
    <row r="7172" spans="2:27" x14ac:dyDescent="0.25">
      <c r="B7172" s="42"/>
      <c r="AA7172" s="43"/>
    </row>
    <row r="7173" spans="2:27" x14ac:dyDescent="0.25">
      <c r="B7173" s="42"/>
      <c r="AA7173" s="43"/>
    </row>
    <row r="7174" spans="2:27" x14ac:dyDescent="0.25">
      <c r="B7174" s="42"/>
      <c r="AA7174" s="43"/>
    </row>
    <row r="7175" spans="2:27" x14ac:dyDescent="0.25">
      <c r="B7175" s="42"/>
      <c r="AA7175" s="43"/>
    </row>
    <row r="7176" spans="2:27" x14ac:dyDescent="0.25">
      <c r="B7176" s="42"/>
      <c r="AA7176" s="43"/>
    </row>
    <row r="7177" spans="2:27" x14ac:dyDescent="0.25">
      <c r="B7177" s="42"/>
      <c r="AA7177" s="43"/>
    </row>
    <row r="7178" spans="2:27" x14ac:dyDescent="0.25">
      <c r="B7178" s="42"/>
      <c r="AA7178" s="43"/>
    </row>
    <row r="7179" spans="2:27" x14ac:dyDescent="0.25">
      <c r="B7179" s="42"/>
      <c r="AA7179" s="43"/>
    </row>
    <row r="7180" spans="2:27" x14ac:dyDescent="0.25">
      <c r="B7180" s="42"/>
      <c r="AA7180" s="43"/>
    </row>
    <row r="7181" spans="2:27" x14ac:dyDescent="0.25">
      <c r="B7181" s="42"/>
      <c r="AA7181" s="43"/>
    </row>
    <row r="7182" spans="2:27" x14ac:dyDescent="0.25">
      <c r="B7182" s="42"/>
      <c r="AA7182" s="43"/>
    </row>
    <row r="7183" spans="2:27" x14ac:dyDescent="0.25">
      <c r="B7183" s="42"/>
      <c r="AA7183" s="43"/>
    </row>
    <row r="7184" spans="2:27" x14ac:dyDescent="0.25">
      <c r="B7184" s="42"/>
      <c r="AA7184" s="43"/>
    </row>
    <row r="7185" spans="2:27" x14ac:dyDescent="0.25">
      <c r="B7185" s="42"/>
      <c r="AA7185" s="43"/>
    </row>
    <row r="7186" spans="2:27" x14ac:dyDescent="0.25">
      <c r="B7186" s="42"/>
      <c r="AA7186" s="43"/>
    </row>
    <row r="7187" spans="2:27" x14ac:dyDescent="0.25">
      <c r="B7187" s="42"/>
      <c r="AA7187" s="43"/>
    </row>
    <row r="7188" spans="2:27" x14ac:dyDescent="0.25">
      <c r="B7188" s="42"/>
      <c r="AA7188" s="43"/>
    </row>
    <row r="7189" spans="2:27" x14ac:dyDescent="0.25">
      <c r="B7189" s="42"/>
      <c r="AA7189" s="43"/>
    </row>
    <row r="7190" spans="2:27" x14ac:dyDescent="0.25">
      <c r="B7190" s="42"/>
      <c r="AA7190" s="43"/>
    </row>
    <row r="7191" spans="2:27" x14ac:dyDescent="0.25">
      <c r="B7191" s="42"/>
      <c r="AA7191" s="43"/>
    </row>
    <row r="7192" spans="2:27" x14ac:dyDescent="0.25">
      <c r="B7192" s="42"/>
      <c r="AA7192" s="43"/>
    </row>
    <row r="7193" spans="2:27" x14ac:dyDescent="0.25">
      <c r="B7193" s="42"/>
      <c r="AA7193" s="43"/>
    </row>
    <row r="7194" spans="2:27" x14ac:dyDescent="0.25">
      <c r="B7194" s="42"/>
      <c r="AA7194" s="43"/>
    </row>
    <row r="7195" spans="2:27" x14ac:dyDescent="0.25">
      <c r="B7195" s="42"/>
      <c r="AA7195" s="43"/>
    </row>
    <row r="7196" spans="2:27" x14ac:dyDescent="0.25">
      <c r="B7196" s="42"/>
      <c r="AA7196" s="43"/>
    </row>
    <row r="7197" spans="2:27" x14ac:dyDescent="0.25">
      <c r="B7197" s="42"/>
      <c r="AA7197" s="43"/>
    </row>
    <row r="7198" spans="2:27" x14ac:dyDescent="0.25">
      <c r="B7198" s="42"/>
      <c r="AA7198" s="43"/>
    </row>
    <row r="7199" spans="2:27" x14ac:dyDescent="0.25">
      <c r="B7199" s="42"/>
      <c r="AA7199" s="43"/>
    </row>
    <row r="7200" spans="2:27" x14ac:dyDescent="0.25">
      <c r="B7200" s="42"/>
      <c r="AA7200" s="43"/>
    </row>
    <row r="7201" spans="2:27" x14ac:dyDescent="0.25">
      <c r="B7201" s="42"/>
      <c r="AA7201" s="43"/>
    </row>
    <row r="7202" spans="2:27" x14ac:dyDescent="0.25">
      <c r="B7202" s="42"/>
      <c r="AA7202" s="43"/>
    </row>
    <row r="7203" spans="2:27" x14ac:dyDescent="0.25">
      <c r="B7203" s="42"/>
      <c r="AA7203" s="43"/>
    </row>
    <row r="7204" spans="2:27" x14ac:dyDescent="0.25">
      <c r="B7204" s="42"/>
      <c r="AA7204" s="43"/>
    </row>
    <row r="7205" spans="2:27" x14ac:dyDescent="0.25">
      <c r="B7205" s="42"/>
      <c r="AA7205" s="43"/>
    </row>
    <row r="7206" spans="2:27" x14ac:dyDescent="0.25">
      <c r="B7206" s="42"/>
      <c r="AA7206" s="43"/>
    </row>
    <row r="7207" spans="2:27" x14ac:dyDescent="0.25">
      <c r="B7207" s="42"/>
      <c r="AA7207" s="43"/>
    </row>
    <row r="7208" spans="2:27" x14ac:dyDescent="0.25">
      <c r="B7208" s="42"/>
      <c r="AA7208" s="43"/>
    </row>
    <row r="7209" spans="2:27" x14ac:dyDescent="0.25">
      <c r="B7209" s="42"/>
      <c r="AA7209" s="43"/>
    </row>
    <row r="7210" spans="2:27" x14ac:dyDescent="0.25">
      <c r="B7210" s="42"/>
      <c r="AA7210" s="43"/>
    </row>
    <row r="7211" spans="2:27" x14ac:dyDescent="0.25">
      <c r="B7211" s="42"/>
      <c r="AA7211" s="43"/>
    </row>
    <row r="7212" spans="2:27" x14ac:dyDescent="0.25">
      <c r="B7212" s="42"/>
      <c r="AA7212" s="43"/>
    </row>
    <row r="7213" spans="2:27" x14ac:dyDescent="0.25">
      <c r="B7213" s="42"/>
      <c r="AA7213" s="43"/>
    </row>
    <row r="7214" spans="2:27" x14ac:dyDescent="0.25">
      <c r="B7214" s="42"/>
      <c r="AA7214" s="43"/>
    </row>
    <row r="7215" spans="2:27" x14ac:dyDescent="0.25">
      <c r="B7215" s="42"/>
      <c r="AA7215" s="43"/>
    </row>
    <row r="7216" spans="2:27" x14ac:dyDescent="0.25">
      <c r="B7216" s="42"/>
      <c r="AA7216" s="43"/>
    </row>
    <row r="7217" spans="2:27" x14ac:dyDescent="0.25">
      <c r="B7217" s="42"/>
      <c r="AA7217" s="43"/>
    </row>
    <row r="7218" spans="2:27" x14ac:dyDescent="0.25">
      <c r="B7218" s="42"/>
      <c r="AA7218" s="43"/>
    </row>
    <row r="7219" spans="2:27" x14ac:dyDescent="0.25">
      <c r="B7219" s="42"/>
      <c r="AA7219" s="43"/>
    </row>
    <row r="7220" spans="2:27" x14ac:dyDescent="0.25">
      <c r="B7220" s="42"/>
      <c r="AA7220" s="43"/>
    </row>
    <row r="7221" spans="2:27" x14ac:dyDescent="0.25">
      <c r="B7221" s="42"/>
      <c r="AA7221" s="43"/>
    </row>
    <row r="7222" spans="2:27" x14ac:dyDescent="0.25">
      <c r="B7222" s="42"/>
      <c r="AA7222" s="43"/>
    </row>
    <row r="7223" spans="2:27" x14ac:dyDescent="0.25">
      <c r="B7223" s="42"/>
      <c r="AA7223" s="43"/>
    </row>
    <row r="7224" spans="2:27" x14ac:dyDescent="0.25">
      <c r="B7224" s="42"/>
      <c r="AA7224" s="43"/>
    </row>
    <row r="7225" spans="2:27" x14ac:dyDescent="0.25">
      <c r="B7225" s="42"/>
      <c r="AA7225" s="43"/>
    </row>
    <row r="7226" spans="2:27" x14ac:dyDescent="0.25">
      <c r="B7226" s="42"/>
      <c r="AA7226" s="43"/>
    </row>
    <row r="7227" spans="2:27" x14ac:dyDescent="0.25">
      <c r="B7227" s="42"/>
      <c r="AA7227" s="43"/>
    </row>
    <row r="7228" spans="2:27" x14ac:dyDescent="0.25">
      <c r="B7228" s="42"/>
      <c r="AA7228" s="43"/>
    </row>
    <row r="7229" spans="2:27" x14ac:dyDescent="0.25">
      <c r="B7229" s="42"/>
      <c r="AA7229" s="43"/>
    </row>
    <row r="7230" spans="2:27" x14ac:dyDescent="0.25">
      <c r="B7230" s="42"/>
      <c r="AA7230" s="43"/>
    </row>
    <row r="7231" spans="2:27" x14ac:dyDescent="0.25">
      <c r="B7231" s="42"/>
      <c r="AA7231" s="43"/>
    </row>
    <row r="7232" spans="2:27" x14ac:dyDescent="0.25">
      <c r="B7232" s="42"/>
      <c r="AA7232" s="43"/>
    </row>
    <row r="7233" spans="2:27" x14ac:dyDescent="0.25">
      <c r="B7233" s="42"/>
      <c r="AA7233" s="43"/>
    </row>
    <row r="7234" spans="2:27" x14ac:dyDescent="0.25">
      <c r="B7234" s="42"/>
      <c r="AA7234" s="43"/>
    </row>
    <row r="7235" spans="2:27" x14ac:dyDescent="0.25">
      <c r="B7235" s="42"/>
      <c r="AA7235" s="43"/>
    </row>
    <row r="7236" spans="2:27" x14ac:dyDescent="0.25">
      <c r="B7236" s="42"/>
      <c r="AA7236" s="43"/>
    </row>
    <row r="7237" spans="2:27" x14ac:dyDescent="0.25">
      <c r="B7237" s="42"/>
      <c r="AA7237" s="43"/>
    </row>
    <row r="7238" spans="2:27" x14ac:dyDescent="0.25">
      <c r="B7238" s="42"/>
      <c r="AA7238" s="43"/>
    </row>
    <row r="7239" spans="2:27" x14ac:dyDescent="0.25">
      <c r="B7239" s="42"/>
      <c r="AA7239" s="43"/>
    </row>
    <row r="7240" spans="2:27" x14ac:dyDescent="0.25">
      <c r="B7240" s="42"/>
      <c r="AA7240" s="43"/>
    </row>
    <row r="7241" spans="2:27" x14ac:dyDescent="0.25">
      <c r="B7241" s="42"/>
      <c r="AA7241" s="43"/>
    </row>
    <row r="7242" spans="2:27" x14ac:dyDescent="0.25">
      <c r="B7242" s="42"/>
      <c r="AA7242" s="43"/>
    </row>
    <row r="7243" spans="2:27" x14ac:dyDescent="0.25">
      <c r="B7243" s="42"/>
      <c r="AA7243" s="43"/>
    </row>
    <row r="7244" spans="2:27" x14ac:dyDescent="0.25">
      <c r="B7244" s="42"/>
      <c r="AA7244" s="43"/>
    </row>
    <row r="7245" spans="2:27" x14ac:dyDescent="0.25">
      <c r="B7245" s="42"/>
      <c r="AA7245" s="43"/>
    </row>
    <row r="7246" spans="2:27" x14ac:dyDescent="0.25">
      <c r="B7246" s="42"/>
      <c r="AA7246" s="43"/>
    </row>
    <row r="7247" spans="2:27" x14ac:dyDescent="0.25">
      <c r="B7247" s="42"/>
      <c r="AA7247" s="43"/>
    </row>
    <row r="7248" spans="2:27" x14ac:dyDescent="0.25">
      <c r="B7248" s="42"/>
      <c r="AA7248" s="43"/>
    </row>
    <row r="7249" spans="2:27" x14ac:dyDescent="0.25">
      <c r="B7249" s="42"/>
      <c r="AA7249" s="43"/>
    </row>
    <row r="7250" spans="2:27" x14ac:dyDescent="0.25">
      <c r="B7250" s="42"/>
      <c r="AA7250" s="43"/>
    </row>
    <row r="7251" spans="2:27" x14ac:dyDescent="0.25">
      <c r="B7251" s="42"/>
      <c r="AA7251" s="43"/>
    </row>
    <row r="7252" spans="2:27" x14ac:dyDescent="0.25">
      <c r="B7252" s="42"/>
      <c r="AA7252" s="43"/>
    </row>
    <row r="7253" spans="2:27" x14ac:dyDescent="0.25">
      <c r="B7253" s="42"/>
      <c r="AA7253" s="43"/>
    </row>
    <row r="7254" spans="2:27" x14ac:dyDescent="0.25">
      <c r="B7254" s="42"/>
      <c r="AA7254" s="43"/>
    </row>
    <row r="7255" spans="2:27" x14ac:dyDescent="0.25">
      <c r="B7255" s="42"/>
      <c r="AA7255" s="43"/>
    </row>
    <row r="7256" spans="2:27" x14ac:dyDescent="0.25">
      <c r="B7256" s="42"/>
      <c r="AA7256" s="43"/>
    </row>
    <row r="7257" spans="2:27" x14ac:dyDescent="0.25">
      <c r="B7257" s="42"/>
      <c r="AA7257" s="43"/>
    </row>
    <row r="7258" spans="2:27" x14ac:dyDescent="0.25">
      <c r="B7258" s="42"/>
      <c r="AA7258" s="43"/>
    </row>
    <row r="7259" spans="2:27" x14ac:dyDescent="0.25">
      <c r="B7259" s="42"/>
      <c r="AA7259" s="43"/>
    </row>
    <row r="7260" spans="2:27" x14ac:dyDescent="0.25">
      <c r="B7260" s="42"/>
      <c r="AA7260" s="43"/>
    </row>
    <row r="7261" spans="2:27" x14ac:dyDescent="0.25">
      <c r="B7261" s="42"/>
      <c r="AA7261" s="43"/>
    </row>
    <row r="7262" spans="2:27" x14ac:dyDescent="0.25">
      <c r="B7262" s="42"/>
      <c r="AA7262" s="43"/>
    </row>
    <row r="7263" spans="2:27" x14ac:dyDescent="0.25">
      <c r="B7263" s="42"/>
      <c r="AA7263" s="43"/>
    </row>
    <row r="7264" spans="2:27" x14ac:dyDescent="0.25">
      <c r="B7264" s="42"/>
      <c r="AA7264" s="43"/>
    </row>
    <row r="7265" spans="2:27" x14ac:dyDescent="0.25">
      <c r="B7265" s="42"/>
      <c r="AA7265" s="43"/>
    </row>
    <row r="7266" spans="2:27" x14ac:dyDescent="0.25">
      <c r="B7266" s="42"/>
      <c r="AA7266" s="43"/>
    </row>
    <row r="7267" spans="2:27" x14ac:dyDescent="0.25">
      <c r="B7267" s="42"/>
      <c r="AA7267" s="43"/>
    </row>
    <row r="7268" spans="2:27" x14ac:dyDescent="0.25">
      <c r="B7268" s="42"/>
      <c r="AA7268" s="43"/>
    </row>
    <row r="7269" spans="2:27" x14ac:dyDescent="0.25">
      <c r="B7269" s="42"/>
      <c r="AA7269" s="43"/>
    </row>
    <row r="7270" spans="2:27" x14ac:dyDescent="0.25">
      <c r="B7270" s="42"/>
      <c r="AA7270" s="43"/>
    </row>
    <row r="7271" spans="2:27" x14ac:dyDescent="0.25">
      <c r="B7271" s="42"/>
      <c r="AA7271" s="43"/>
    </row>
    <row r="7272" spans="2:27" x14ac:dyDescent="0.25">
      <c r="B7272" s="42"/>
      <c r="AA7272" s="43"/>
    </row>
    <row r="7273" spans="2:27" x14ac:dyDescent="0.25">
      <c r="B7273" s="42"/>
      <c r="AA7273" s="43"/>
    </row>
    <row r="7274" spans="2:27" x14ac:dyDescent="0.25">
      <c r="B7274" s="42"/>
      <c r="AA7274" s="43"/>
    </row>
    <row r="7275" spans="2:27" x14ac:dyDescent="0.25">
      <c r="B7275" s="42"/>
      <c r="AA7275" s="43"/>
    </row>
    <row r="7276" spans="2:27" x14ac:dyDescent="0.25">
      <c r="B7276" s="42"/>
      <c r="AA7276" s="43"/>
    </row>
    <row r="7277" spans="2:27" x14ac:dyDescent="0.25">
      <c r="B7277" s="42"/>
      <c r="AA7277" s="43"/>
    </row>
    <row r="7278" spans="2:27" x14ac:dyDescent="0.25">
      <c r="B7278" s="42"/>
      <c r="AA7278" s="43"/>
    </row>
    <row r="7279" spans="2:27" x14ac:dyDescent="0.25">
      <c r="B7279" s="42"/>
      <c r="AA7279" s="43"/>
    </row>
    <row r="7280" spans="2:27" x14ac:dyDescent="0.25">
      <c r="B7280" s="42"/>
      <c r="AA7280" s="43"/>
    </row>
    <row r="7281" spans="2:27" x14ac:dyDescent="0.25">
      <c r="B7281" s="42"/>
      <c r="AA7281" s="43"/>
    </row>
    <row r="7282" spans="2:27" x14ac:dyDescent="0.25">
      <c r="B7282" s="42"/>
      <c r="AA7282" s="43"/>
    </row>
    <row r="7283" spans="2:27" x14ac:dyDescent="0.25">
      <c r="B7283" s="42"/>
      <c r="AA7283" s="43"/>
    </row>
    <row r="7284" spans="2:27" x14ac:dyDescent="0.25">
      <c r="B7284" s="42"/>
      <c r="AA7284" s="43"/>
    </row>
    <row r="7285" spans="2:27" x14ac:dyDescent="0.25">
      <c r="B7285" s="42"/>
      <c r="AA7285" s="43"/>
    </row>
    <row r="7286" spans="2:27" x14ac:dyDescent="0.25">
      <c r="B7286" s="42"/>
      <c r="AA7286" s="43"/>
    </row>
    <row r="7287" spans="2:27" x14ac:dyDescent="0.25">
      <c r="B7287" s="42"/>
      <c r="AA7287" s="43"/>
    </row>
    <row r="7288" spans="2:27" x14ac:dyDescent="0.25">
      <c r="B7288" s="42"/>
      <c r="AA7288" s="43"/>
    </row>
    <row r="7289" spans="2:27" x14ac:dyDescent="0.25">
      <c r="B7289" s="42"/>
      <c r="AA7289" s="43"/>
    </row>
    <row r="7290" spans="2:27" x14ac:dyDescent="0.25">
      <c r="B7290" s="42"/>
      <c r="AA7290" s="43"/>
    </row>
    <row r="7291" spans="2:27" x14ac:dyDescent="0.25">
      <c r="B7291" s="42"/>
      <c r="AA7291" s="43"/>
    </row>
    <row r="7292" spans="2:27" x14ac:dyDescent="0.25">
      <c r="B7292" s="42"/>
      <c r="AA7292" s="43"/>
    </row>
    <row r="7293" spans="2:27" x14ac:dyDescent="0.25">
      <c r="B7293" s="42"/>
      <c r="AA7293" s="43"/>
    </row>
    <row r="7294" spans="2:27" x14ac:dyDescent="0.25">
      <c r="B7294" s="42"/>
      <c r="AA7294" s="43"/>
    </row>
    <row r="7295" spans="2:27" x14ac:dyDescent="0.25">
      <c r="B7295" s="42"/>
      <c r="AA7295" s="43"/>
    </row>
    <row r="7296" spans="2:27" x14ac:dyDescent="0.25">
      <c r="B7296" s="42"/>
      <c r="AA7296" s="43"/>
    </row>
    <row r="7297" spans="2:27" x14ac:dyDescent="0.25">
      <c r="B7297" s="42"/>
      <c r="AA7297" s="43"/>
    </row>
    <row r="7298" spans="2:27" x14ac:dyDescent="0.25">
      <c r="B7298" s="42"/>
      <c r="AA7298" s="43"/>
    </row>
    <row r="7299" spans="2:27" x14ac:dyDescent="0.25">
      <c r="B7299" s="42"/>
      <c r="AA7299" s="43"/>
    </row>
    <row r="7300" spans="2:27" x14ac:dyDescent="0.25">
      <c r="B7300" s="42"/>
      <c r="AA7300" s="43"/>
    </row>
    <row r="7301" spans="2:27" x14ac:dyDescent="0.25">
      <c r="B7301" s="42"/>
      <c r="AA7301" s="43"/>
    </row>
    <row r="7302" spans="2:27" x14ac:dyDescent="0.25">
      <c r="B7302" s="42"/>
      <c r="AA7302" s="43"/>
    </row>
    <row r="7303" spans="2:27" x14ac:dyDescent="0.25">
      <c r="B7303" s="42"/>
      <c r="AA7303" s="43"/>
    </row>
    <row r="7304" spans="2:27" x14ac:dyDescent="0.25">
      <c r="B7304" s="42"/>
      <c r="AA7304" s="43"/>
    </row>
    <row r="7305" spans="2:27" x14ac:dyDescent="0.25">
      <c r="B7305" s="42"/>
      <c r="AA7305" s="43"/>
    </row>
    <row r="7306" spans="2:27" x14ac:dyDescent="0.25">
      <c r="B7306" s="42"/>
      <c r="AA7306" s="43"/>
    </row>
    <row r="7307" spans="2:27" x14ac:dyDescent="0.25">
      <c r="B7307" s="42"/>
      <c r="AA7307" s="43"/>
    </row>
    <row r="7308" spans="2:27" x14ac:dyDescent="0.25">
      <c r="B7308" s="42"/>
      <c r="AA7308" s="43"/>
    </row>
    <row r="7309" spans="2:27" x14ac:dyDescent="0.25">
      <c r="B7309" s="42"/>
      <c r="AA7309" s="43"/>
    </row>
    <row r="7310" spans="2:27" x14ac:dyDescent="0.25">
      <c r="B7310" s="42"/>
      <c r="AA7310" s="43"/>
    </row>
    <row r="7311" spans="2:27" x14ac:dyDescent="0.25">
      <c r="B7311" s="42"/>
      <c r="AA7311" s="43"/>
    </row>
    <row r="7312" spans="2:27" x14ac:dyDescent="0.25">
      <c r="B7312" s="42"/>
      <c r="AA7312" s="43"/>
    </row>
    <row r="7313" spans="2:27" x14ac:dyDescent="0.25">
      <c r="B7313" s="42"/>
      <c r="AA7313" s="43"/>
    </row>
    <row r="7314" spans="2:27" x14ac:dyDescent="0.25">
      <c r="B7314" s="42"/>
      <c r="AA7314" s="43"/>
    </row>
    <row r="7315" spans="2:27" x14ac:dyDescent="0.25">
      <c r="B7315" s="42"/>
      <c r="AA7315" s="43"/>
    </row>
    <row r="7316" spans="2:27" x14ac:dyDescent="0.25">
      <c r="B7316" s="42"/>
      <c r="AA7316" s="43"/>
    </row>
    <row r="7317" spans="2:27" x14ac:dyDescent="0.25">
      <c r="B7317" s="42"/>
      <c r="AA7317" s="43"/>
    </row>
    <row r="7318" spans="2:27" x14ac:dyDescent="0.25">
      <c r="B7318" s="42"/>
      <c r="AA7318" s="43"/>
    </row>
    <row r="7319" spans="2:27" x14ac:dyDescent="0.25">
      <c r="B7319" s="42"/>
      <c r="AA7319" s="43"/>
    </row>
    <row r="7320" spans="2:27" x14ac:dyDescent="0.25">
      <c r="B7320" s="42"/>
      <c r="AA7320" s="43"/>
    </row>
    <row r="7321" spans="2:27" x14ac:dyDescent="0.25">
      <c r="B7321" s="42"/>
      <c r="AA7321" s="43"/>
    </row>
    <row r="7322" spans="2:27" x14ac:dyDescent="0.25">
      <c r="B7322" s="42"/>
      <c r="AA7322" s="43"/>
    </row>
    <row r="7323" spans="2:27" x14ac:dyDescent="0.25">
      <c r="B7323" s="42"/>
      <c r="AA7323" s="43"/>
    </row>
    <row r="7324" spans="2:27" x14ac:dyDescent="0.25">
      <c r="B7324" s="42"/>
      <c r="AA7324" s="43"/>
    </row>
    <row r="7325" spans="2:27" x14ac:dyDescent="0.25">
      <c r="B7325" s="42"/>
      <c r="AA7325" s="43"/>
    </row>
    <row r="7326" spans="2:27" x14ac:dyDescent="0.25">
      <c r="B7326" s="42"/>
      <c r="AA7326" s="43"/>
    </row>
    <row r="7327" spans="2:27" x14ac:dyDescent="0.25">
      <c r="B7327" s="42"/>
      <c r="AA7327" s="43"/>
    </row>
    <row r="7328" spans="2:27" x14ac:dyDescent="0.25">
      <c r="B7328" s="42"/>
      <c r="AA7328" s="43"/>
    </row>
    <row r="7329" spans="2:27" x14ac:dyDescent="0.25">
      <c r="B7329" s="42"/>
      <c r="AA7329" s="43"/>
    </row>
    <row r="7330" spans="2:27" x14ac:dyDescent="0.25">
      <c r="B7330" s="42"/>
      <c r="AA7330" s="43"/>
    </row>
    <row r="7331" spans="2:27" x14ac:dyDescent="0.25">
      <c r="B7331" s="42"/>
      <c r="AA7331" s="43"/>
    </row>
    <row r="7332" spans="2:27" x14ac:dyDescent="0.25">
      <c r="B7332" s="42"/>
      <c r="AA7332" s="43"/>
    </row>
    <row r="7333" spans="2:27" x14ac:dyDescent="0.25">
      <c r="B7333" s="42"/>
      <c r="AA7333" s="43"/>
    </row>
    <row r="7334" spans="2:27" x14ac:dyDescent="0.25">
      <c r="B7334" s="42"/>
      <c r="AA7334" s="43"/>
    </row>
    <row r="7335" spans="2:27" x14ac:dyDescent="0.25">
      <c r="B7335" s="42"/>
      <c r="AA7335" s="43"/>
    </row>
    <row r="7336" spans="2:27" x14ac:dyDescent="0.25">
      <c r="B7336" s="42"/>
      <c r="AA7336" s="43"/>
    </row>
    <row r="7337" spans="2:27" x14ac:dyDescent="0.25">
      <c r="B7337" s="42"/>
      <c r="AA7337" s="43"/>
    </row>
    <row r="7338" spans="2:27" x14ac:dyDescent="0.25">
      <c r="B7338" s="42"/>
      <c r="AA7338" s="43"/>
    </row>
    <row r="7339" spans="2:27" x14ac:dyDescent="0.25">
      <c r="B7339" s="42"/>
      <c r="AA7339" s="43"/>
    </row>
    <row r="7340" spans="2:27" x14ac:dyDescent="0.25">
      <c r="B7340" s="42"/>
      <c r="AA7340" s="43"/>
    </row>
    <row r="7341" spans="2:27" x14ac:dyDescent="0.25">
      <c r="B7341" s="42"/>
      <c r="AA7341" s="43"/>
    </row>
    <row r="7342" spans="2:27" x14ac:dyDescent="0.25">
      <c r="B7342" s="42"/>
      <c r="AA7342" s="43"/>
    </row>
    <row r="7343" spans="2:27" x14ac:dyDescent="0.25">
      <c r="B7343" s="42"/>
      <c r="AA7343" s="43"/>
    </row>
    <row r="7344" spans="2:27" x14ac:dyDescent="0.25">
      <c r="B7344" s="42"/>
      <c r="AA7344" s="43"/>
    </row>
    <row r="7345" spans="2:27" x14ac:dyDescent="0.25">
      <c r="B7345" s="42"/>
      <c r="AA7345" s="43"/>
    </row>
    <row r="7346" spans="2:27" x14ac:dyDescent="0.25">
      <c r="B7346" s="42"/>
      <c r="AA7346" s="43"/>
    </row>
    <row r="7347" spans="2:27" x14ac:dyDescent="0.25">
      <c r="B7347" s="42"/>
      <c r="AA7347" s="43"/>
    </row>
    <row r="7348" spans="2:27" x14ac:dyDescent="0.25">
      <c r="B7348" s="42"/>
      <c r="AA7348" s="43"/>
    </row>
    <row r="7349" spans="2:27" x14ac:dyDescent="0.25">
      <c r="B7349" s="42"/>
      <c r="AA7349" s="43"/>
    </row>
    <row r="7350" spans="2:27" x14ac:dyDescent="0.25">
      <c r="B7350" s="42"/>
      <c r="AA7350" s="43"/>
    </row>
    <row r="7351" spans="2:27" x14ac:dyDescent="0.25">
      <c r="B7351" s="42"/>
      <c r="AA7351" s="43"/>
    </row>
    <row r="7352" spans="2:27" x14ac:dyDescent="0.25">
      <c r="B7352" s="42"/>
      <c r="AA7352" s="43"/>
    </row>
    <row r="7353" spans="2:27" x14ac:dyDescent="0.25">
      <c r="B7353" s="42"/>
      <c r="AA7353" s="43"/>
    </row>
    <row r="7354" spans="2:27" x14ac:dyDescent="0.25">
      <c r="B7354" s="42"/>
      <c r="AA7354" s="43"/>
    </row>
    <row r="7355" spans="2:27" x14ac:dyDescent="0.25">
      <c r="B7355" s="42"/>
      <c r="AA7355" s="43"/>
    </row>
    <row r="7356" spans="2:27" x14ac:dyDescent="0.25">
      <c r="B7356" s="42"/>
      <c r="AA7356" s="43"/>
    </row>
    <row r="7357" spans="2:27" x14ac:dyDescent="0.25">
      <c r="B7357" s="42"/>
      <c r="AA7357" s="43"/>
    </row>
    <row r="7358" spans="2:27" x14ac:dyDescent="0.25">
      <c r="B7358" s="42"/>
      <c r="AA7358" s="43"/>
    </row>
    <row r="7359" spans="2:27" x14ac:dyDescent="0.25">
      <c r="B7359" s="42"/>
      <c r="AA7359" s="43"/>
    </row>
    <row r="7360" spans="2:27" x14ac:dyDescent="0.25">
      <c r="B7360" s="42"/>
      <c r="AA7360" s="43"/>
    </row>
    <row r="7361" spans="2:27" x14ac:dyDescent="0.25">
      <c r="B7361" s="42"/>
      <c r="AA7361" s="43"/>
    </row>
    <row r="7362" spans="2:27" x14ac:dyDescent="0.25">
      <c r="B7362" s="42"/>
      <c r="AA7362" s="43"/>
    </row>
    <row r="7363" spans="2:27" x14ac:dyDescent="0.25">
      <c r="B7363" s="42"/>
      <c r="AA7363" s="43"/>
    </row>
    <row r="7364" spans="2:27" x14ac:dyDescent="0.25">
      <c r="B7364" s="42"/>
      <c r="AA7364" s="43"/>
    </row>
    <row r="7365" spans="2:27" x14ac:dyDescent="0.25">
      <c r="B7365" s="42"/>
      <c r="AA7365" s="43"/>
    </row>
    <row r="7366" spans="2:27" x14ac:dyDescent="0.25">
      <c r="B7366" s="42"/>
      <c r="AA7366" s="43"/>
    </row>
    <row r="7367" spans="2:27" x14ac:dyDescent="0.25">
      <c r="B7367" s="42"/>
      <c r="AA7367" s="43"/>
    </row>
    <row r="7368" spans="2:27" x14ac:dyDescent="0.25">
      <c r="B7368" s="42"/>
      <c r="AA7368" s="43"/>
    </row>
    <row r="7369" spans="2:27" x14ac:dyDescent="0.25">
      <c r="B7369" s="42"/>
      <c r="AA7369" s="43"/>
    </row>
    <row r="7370" spans="2:27" x14ac:dyDescent="0.25">
      <c r="B7370" s="42"/>
      <c r="AA7370" s="43"/>
    </row>
    <row r="7371" spans="2:27" x14ac:dyDescent="0.25">
      <c r="B7371" s="42"/>
      <c r="AA7371" s="43"/>
    </row>
    <row r="7372" spans="2:27" x14ac:dyDescent="0.25">
      <c r="B7372" s="42"/>
      <c r="AA7372" s="43"/>
    </row>
    <row r="7373" spans="2:27" x14ac:dyDescent="0.25">
      <c r="B7373" s="42"/>
      <c r="AA7373" s="43"/>
    </row>
    <row r="7374" spans="2:27" x14ac:dyDescent="0.25">
      <c r="B7374" s="42"/>
      <c r="AA7374" s="43"/>
    </row>
    <row r="7375" spans="2:27" x14ac:dyDescent="0.25">
      <c r="B7375" s="42"/>
      <c r="AA7375" s="43"/>
    </row>
    <row r="7376" spans="2:27" x14ac:dyDescent="0.25">
      <c r="B7376" s="42"/>
      <c r="AA7376" s="43"/>
    </row>
    <row r="7377" spans="2:27" x14ac:dyDescent="0.25">
      <c r="B7377" s="42"/>
      <c r="AA7377" s="43"/>
    </row>
    <row r="7378" spans="2:27" x14ac:dyDescent="0.25">
      <c r="B7378" s="42"/>
      <c r="AA7378" s="43"/>
    </row>
    <row r="7379" spans="2:27" x14ac:dyDescent="0.25">
      <c r="B7379" s="42"/>
      <c r="AA7379" s="43"/>
    </row>
    <row r="7380" spans="2:27" x14ac:dyDescent="0.25">
      <c r="B7380" s="42"/>
      <c r="AA7380" s="43"/>
    </row>
    <row r="7381" spans="2:27" x14ac:dyDescent="0.25">
      <c r="B7381" s="42"/>
      <c r="AA7381" s="43"/>
    </row>
    <row r="7382" spans="2:27" x14ac:dyDescent="0.25">
      <c r="B7382" s="42"/>
      <c r="AA7382" s="43"/>
    </row>
    <row r="7383" spans="2:27" x14ac:dyDescent="0.25">
      <c r="B7383" s="42"/>
      <c r="AA7383" s="43"/>
    </row>
    <row r="7384" spans="2:27" x14ac:dyDescent="0.25">
      <c r="B7384" s="42"/>
      <c r="AA7384" s="43"/>
    </row>
    <row r="7385" spans="2:27" x14ac:dyDescent="0.25">
      <c r="B7385" s="42"/>
      <c r="AA7385" s="43"/>
    </row>
    <row r="7386" spans="2:27" x14ac:dyDescent="0.25">
      <c r="B7386" s="42"/>
      <c r="AA7386" s="43"/>
    </row>
    <row r="7387" spans="2:27" x14ac:dyDescent="0.25">
      <c r="B7387" s="42"/>
      <c r="AA7387" s="43"/>
    </row>
    <row r="7388" spans="2:27" x14ac:dyDescent="0.25">
      <c r="B7388" s="42"/>
      <c r="AA7388" s="43"/>
    </row>
    <row r="7389" spans="2:27" x14ac:dyDescent="0.25">
      <c r="B7389" s="42"/>
      <c r="AA7389" s="43"/>
    </row>
    <row r="7390" spans="2:27" x14ac:dyDescent="0.25">
      <c r="B7390" s="42"/>
      <c r="AA7390" s="43"/>
    </row>
    <row r="7391" spans="2:27" x14ac:dyDescent="0.25">
      <c r="B7391" s="42"/>
      <c r="AA7391" s="43"/>
    </row>
    <row r="7392" spans="2:27" x14ac:dyDescent="0.25">
      <c r="B7392" s="42"/>
      <c r="AA7392" s="43"/>
    </row>
    <row r="7393" spans="2:27" x14ac:dyDescent="0.25">
      <c r="B7393" s="42"/>
      <c r="AA7393" s="43"/>
    </row>
    <row r="7394" spans="2:27" x14ac:dyDescent="0.25">
      <c r="B7394" s="42"/>
      <c r="AA7394" s="43"/>
    </row>
    <row r="7395" spans="2:27" x14ac:dyDescent="0.25">
      <c r="B7395" s="42"/>
      <c r="AA7395" s="43"/>
    </row>
    <row r="7396" spans="2:27" x14ac:dyDescent="0.25">
      <c r="B7396" s="42"/>
      <c r="AA7396" s="43"/>
    </row>
    <row r="7397" spans="2:27" x14ac:dyDescent="0.25">
      <c r="B7397" s="42"/>
      <c r="AA7397" s="43"/>
    </row>
    <row r="7398" spans="2:27" x14ac:dyDescent="0.25">
      <c r="B7398" s="42"/>
      <c r="AA7398" s="43"/>
    </row>
    <row r="7399" spans="2:27" x14ac:dyDescent="0.25">
      <c r="B7399" s="42"/>
      <c r="AA7399" s="43"/>
    </row>
    <row r="7400" spans="2:27" x14ac:dyDescent="0.25">
      <c r="B7400" s="42"/>
      <c r="AA7400" s="43"/>
    </row>
    <row r="7401" spans="2:27" x14ac:dyDescent="0.25">
      <c r="B7401" s="42"/>
      <c r="AA7401" s="43"/>
    </row>
    <row r="7402" spans="2:27" x14ac:dyDescent="0.25">
      <c r="B7402" s="42"/>
      <c r="AA7402" s="43"/>
    </row>
    <row r="7403" spans="2:27" x14ac:dyDescent="0.25">
      <c r="B7403" s="42"/>
      <c r="AA7403" s="43"/>
    </row>
    <row r="7404" spans="2:27" x14ac:dyDescent="0.25">
      <c r="B7404" s="42"/>
      <c r="AA7404" s="43"/>
    </row>
    <row r="7405" spans="2:27" x14ac:dyDescent="0.25">
      <c r="B7405" s="42"/>
      <c r="AA7405" s="43"/>
    </row>
    <row r="7406" spans="2:27" x14ac:dyDescent="0.25">
      <c r="B7406" s="42"/>
      <c r="AA7406" s="43"/>
    </row>
    <row r="7407" spans="2:27" x14ac:dyDescent="0.25">
      <c r="B7407" s="42"/>
      <c r="AA7407" s="43"/>
    </row>
    <row r="7408" spans="2:27" x14ac:dyDescent="0.25">
      <c r="B7408" s="42"/>
      <c r="AA7408" s="43"/>
    </row>
    <row r="7409" spans="2:27" x14ac:dyDescent="0.25">
      <c r="B7409" s="42"/>
      <c r="AA7409" s="43"/>
    </row>
    <row r="7410" spans="2:27" x14ac:dyDescent="0.25">
      <c r="B7410" s="42"/>
      <c r="AA7410" s="43"/>
    </row>
    <row r="7411" spans="2:27" x14ac:dyDescent="0.25">
      <c r="B7411" s="42"/>
      <c r="AA7411" s="43"/>
    </row>
    <row r="7412" spans="2:27" x14ac:dyDescent="0.25">
      <c r="B7412" s="42"/>
      <c r="AA7412" s="43"/>
    </row>
    <row r="7413" spans="2:27" x14ac:dyDescent="0.25">
      <c r="B7413" s="42"/>
      <c r="AA7413" s="43"/>
    </row>
    <row r="7414" spans="2:27" x14ac:dyDescent="0.25">
      <c r="B7414" s="42"/>
      <c r="AA7414" s="43"/>
    </row>
    <row r="7415" spans="2:27" x14ac:dyDescent="0.25">
      <c r="B7415" s="42"/>
      <c r="AA7415" s="43"/>
    </row>
    <row r="7416" spans="2:27" x14ac:dyDescent="0.25">
      <c r="B7416" s="42"/>
      <c r="AA7416" s="43"/>
    </row>
    <row r="7417" spans="2:27" x14ac:dyDescent="0.25">
      <c r="B7417" s="42"/>
      <c r="AA7417" s="43"/>
    </row>
    <row r="7418" spans="2:27" x14ac:dyDescent="0.25">
      <c r="B7418" s="42"/>
      <c r="AA7418" s="43"/>
    </row>
    <row r="7419" spans="2:27" x14ac:dyDescent="0.25">
      <c r="B7419" s="42"/>
      <c r="AA7419" s="43"/>
    </row>
    <row r="7420" spans="2:27" x14ac:dyDescent="0.25">
      <c r="B7420" s="42"/>
      <c r="AA7420" s="43"/>
    </row>
    <row r="7421" spans="2:27" x14ac:dyDescent="0.25">
      <c r="B7421" s="42"/>
      <c r="AA7421" s="43"/>
    </row>
    <row r="7422" spans="2:27" x14ac:dyDescent="0.25">
      <c r="B7422" s="42"/>
      <c r="AA7422" s="43"/>
    </row>
    <row r="7423" spans="2:27" x14ac:dyDescent="0.25">
      <c r="B7423" s="42"/>
      <c r="AA7423" s="43"/>
    </row>
    <row r="7424" spans="2:27" x14ac:dyDescent="0.25">
      <c r="B7424" s="42"/>
      <c r="AA7424" s="43"/>
    </row>
    <row r="7425" spans="2:27" x14ac:dyDescent="0.25">
      <c r="B7425" s="42"/>
      <c r="AA7425" s="43"/>
    </row>
    <row r="7426" spans="2:27" x14ac:dyDescent="0.25">
      <c r="B7426" s="42"/>
      <c r="AA7426" s="43"/>
    </row>
    <row r="7427" spans="2:27" x14ac:dyDescent="0.25">
      <c r="B7427" s="42"/>
      <c r="AA7427" s="43"/>
    </row>
    <row r="7428" spans="2:27" x14ac:dyDescent="0.25">
      <c r="B7428" s="42"/>
      <c r="AA7428" s="43"/>
    </row>
    <row r="7429" spans="2:27" x14ac:dyDescent="0.25">
      <c r="B7429" s="42"/>
      <c r="AA7429" s="43"/>
    </row>
    <row r="7430" spans="2:27" x14ac:dyDescent="0.25">
      <c r="B7430" s="42"/>
      <c r="AA7430" s="43"/>
    </row>
    <row r="7431" spans="2:27" x14ac:dyDescent="0.25">
      <c r="B7431" s="42"/>
      <c r="AA7431" s="43"/>
    </row>
    <row r="7432" spans="2:27" x14ac:dyDescent="0.25">
      <c r="B7432" s="42"/>
      <c r="AA7432" s="43"/>
    </row>
    <row r="7433" spans="2:27" x14ac:dyDescent="0.25">
      <c r="B7433" s="42"/>
      <c r="AA7433" s="43"/>
    </row>
    <row r="7434" spans="2:27" x14ac:dyDescent="0.25">
      <c r="B7434" s="42"/>
      <c r="AA7434" s="43"/>
    </row>
    <row r="7435" spans="2:27" x14ac:dyDescent="0.25">
      <c r="B7435" s="42"/>
      <c r="AA7435" s="43"/>
    </row>
    <row r="7436" spans="2:27" x14ac:dyDescent="0.25">
      <c r="B7436" s="42"/>
      <c r="AA7436" s="43"/>
    </row>
    <row r="7437" spans="2:27" x14ac:dyDescent="0.25">
      <c r="B7437" s="42"/>
      <c r="AA7437" s="43"/>
    </row>
    <row r="7438" spans="2:27" x14ac:dyDescent="0.25">
      <c r="B7438" s="42"/>
      <c r="AA7438" s="43"/>
    </row>
    <row r="7439" spans="2:27" x14ac:dyDescent="0.25">
      <c r="B7439" s="42"/>
      <c r="AA7439" s="43"/>
    </row>
    <row r="7440" spans="2:27" x14ac:dyDescent="0.25">
      <c r="B7440" s="42"/>
      <c r="AA7440" s="43"/>
    </row>
    <row r="7441" spans="2:27" x14ac:dyDescent="0.25">
      <c r="B7441" s="42"/>
      <c r="AA7441" s="43"/>
    </row>
    <row r="7442" spans="2:27" x14ac:dyDescent="0.25">
      <c r="B7442" s="42"/>
      <c r="AA7442" s="43"/>
    </row>
    <row r="7443" spans="2:27" x14ac:dyDescent="0.25">
      <c r="B7443" s="42"/>
      <c r="AA7443" s="43"/>
    </row>
    <row r="7444" spans="2:27" x14ac:dyDescent="0.25">
      <c r="B7444" s="42"/>
      <c r="AA7444" s="43"/>
    </row>
    <row r="7445" spans="2:27" x14ac:dyDescent="0.25">
      <c r="B7445" s="42"/>
      <c r="AA7445" s="43"/>
    </row>
    <row r="7446" spans="2:27" x14ac:dyDescent="0.25">
      <c r="B7446" s="42"/>
      <c r="AA7446" s="43"/>
    </row>
    <row r="7447" spans="2:27" x14ac:dyDescent="0.25">
      <c r="B7447" s="42"/>
      <c r="AA7447" s="43"/>
    </row>
    <row r="7448" spans="2:27" x14ac:dyDescent="0.25">
      <c r="B7448" s="42"/>
      <c r="AA7448" s="43"/>
    </row>
    <row r="7449" spans="2:27" x14ac:dyDescent="0.25">
      <c r="B7449" s="42"/>
      <c r="AA7449" s="43"/>
    </row>
    <row r="7450" spans="2:27" x14ac:dyDescent="0.25">
      <c r="B7450" s="42"/>
      <c r="AA7450" s="43"/>
    </row>
    <row r="7451" spans="2:27" x14ac:dyDescent="0.25">
      <c r="B7451" s="42"/>
      <c r="AA7451" s="43"/>
    </row>
    <row r="7452" spans="2:27" x14ac:dyDescent="0.25">
      <c r="B7452" s="42"/>
      <c r="AA7452" s="43"/>
    </row>
    <row r="7453" spans="2:27" x14ac:dyDescent="0.25">
      <c r="B7453" s="42"/>
      <c r="AA7453" s="43"/>
    </row>
    <row r="7454" spans="2:27" x14ac:dyDescent="0.25">
      <c r="B7454" s="42"/>
      <c r="AA7454" s="43"/>
    </row>
    <row r="7455" spans="2:27" x14ac:dyDescent="0.25">
      <c r="B7455" s="42"/>
      <c r="AA7455" s="43"/>
    </row>
    <row r="7456" spans="2:27" x14ac:dyDescent="0.25">
      <c r="B7456" s="42"/>
      <c r="AA7456" s="43"/>
    </row>
    <row r="7457" spans="2:27" x14ac:dyDescent="0.25">
      <c r="B7457" s="42"/>
      <c r="AA7457" s="43"/>
    </row>
    <row r="7458" spans="2:27" x14ac:dyDescent="0.25">
      <c r="B7458" s="42"/>
      <c r="AA7458" s="43"/>
    </row>
    <row r="7459" spans="2:27" x14ac:dyDescent="0.25">
      <c r="B7459" s="42"/>
      <c r="AA7459" s="43"/>
    </row>
    <row r="7460" spans="2:27" x14ac:dyDescent="0.25">
      <c r="B7460" s="42"/>
      <c r="AA7460" s="43"/>
    </row>
    <row r="7461" spans="2:27" x14ac:dyDescent="0.25">
      <c r="B7461" s="42"/>
      <c r="AA7461" s="43"/>
    </row>
    <row r="7462" spans="2:27" x14ac:dyDescent="0.25">
      <c r="B7462" s="42"/>
      <c r="AA7462" s="43"/>
    </row>
    <row r="7463" spans="2:27" x14ac:dyDescent="0.25">
      <c r="B7463" s="42"/>
      <c r="AA7463" s="43"/>
    </row>
    <row r="7464" spans="2:27" x14ac:dyDescent="0.25">
      <c r="B7464" s="42"/>
      <c r="AA7464" s="43"/>
    </row>
    <row r="7465" spans="2:27" x14ac:dyDescent="0.25">
      <c r="B7465" s="42"/>
      <c r="AA7465" s="43"/>
    </row>
    <row r="7466" spans="2:27" x14ac:dyDescent="0.25">
      <c r="B7466" s="42"/>
      <c r="AA7466" s="43"/>
    </row>
    <row r="7467" spans="2:27" x14ac:dyDescent="0.25">
      <c r="B7467" s="42"/>
      <c r="AA7467" s="43"/>
    </row>
    <row r="7468" spans="2:27" x14ac:dyDescent="0.25">
      <c r="B7468" s="42"/>
      <c r="AA7468" s="43"/>
    </row>
    <row r="7469" spans="2:27" x14ac:dyDescent="0.25">
      <c r="B7469" s="42"/>
      <c r="AA7469" s="43"/>
    </row>
    <row r="7470" spans="2:27" x14ac:dyDescent="0.25">
      <c r="B7470" s="42"/>
      <c r="AA7470" s="43"/>
    </row>
    <row r="7471" spans="2:27" x14ac:dyDescent="0.25">
      <c r="B7471" s="42"/>
      <c r="AA7471" s="43"/>
    </row>
    <row r="7472" spans="2:27" x14ac:dyDescent="0.25">
      <c r="B7472" s="42"/>
      <c r="AA7472" s="43"/>
    </row>
    <row r="7473" spans="2:27" x14ac:dyDescent="0.25">
      <c r="B7473" s="42"/>
      <c r="AA7473" s="43"/>
    </row>
    <row r="7474" spans="2:27" x14ac:dyDescent="0.25">
      <c r="B7474" s="42"/>
      <c r="AA7474" s="43"/>
    </row>
    <row r="7475" spans="2:27" x14ac:dyDescent="0.25">
      <c r="B7475" s="42"/>
      <c r="AA7475" s="43"/>
    </row>
    <row r="7476" spans="2:27" x14ac:dyDescent="0.25">
      <c r="B7476" s="42"/>
      <c r="AA7476" s="43"/>
    </row>
    <row r="7477" spans="2:27" x14ac:dyDescent="0.25">
      <c r="B7477" s="42"/>
      <c r="AA7477" s="43"/>
    </row>
    <row r="7478" spans="2:27" x14ac:dyDescent="0.25">
      <c r="B7478" s="42"/>
      <c r="AA7478" s="43"/>
    </row>
    <row r="7479" spans="2:27" x14ac:dyDescent="0.25">
      <c r="B7479" s="42"/>
      <c r="AA7479" s="43"/>
    </row>
    <row r="7480" spans="2:27" x14ac:dyDescent="0.25">
      <c r="B7480" s="42"/>
      <c r="AA7480" s="43"/>
    </row>
    <row r="7481" spans="2:27" x14ac:dyDescent="0.25">
      <c r="B7481" s="42"/>
      <c r="AA7481" s="43"/>
    </row>
    <row r="7482" spans="2:27" x14ac:dyDescent="0.25">
      <c r="B7482" s="42"/>
      <c r="AA7482" s="43"/>
    </row>
    <row r="7483" spans="2:27" x14ac:dyDescent="0.25">
      <c r="B7483" s="42"/>
      <c r="AA7483" s="43"/>
    </row>
    <row r="7484" spans="2:27" x14ac:dyDescent="0.25">
      <c r="B7484" s="42"/>
      <c r="AA7484" s="43"/>
    </row>
    <row r="7485" spans="2:27" x14ac:dyDescent="0.25">
      <c r="B7485" s="42"/>
      <c r="AA7485" s="43"/>
    </row>
    <row r="7486" spans="2:27" x14ac:dyDescent="0.25">
      <c r="B7486" s="42"/>
      <c r="AA7486" s="43"/>
    </row>
    <row r="7487" spans="2:27" x14ac:dyDescent="0.25">
      <c r="B7487" s="42"/>
      <c r="AA7487" s="43"/>
    </row>
    <row r="7488" spans="2:27" x14ac:dyDescent="0.25">
      <c r="B7488" s="42"/>
      <c r="AA7488" s="43"/>
    </row>
    <row r="7489" spans="2:27" x14ac:dyDescent="0.25">
      <c r="B7489" s="42"/>
      <c r="AA7489" s="43"/>
    </row>
    <row r="7490" spans="2:27" x14ac:dyDescent="0.25">
      <c r="B7490" s="42"/>
      <c r="AA7490" s="43"/>
    </row>
    <row r="7491" spans="2:27" x14ac:dyDescent="0.25">
      <c r="B7491" s="42"/>
      <c r="AA7491" s="43"/>
    </row>
    <row r="7492" spans="2:27" x14ac:dyDescent="0.25">
      <c r="B7492" s="42"/>
      <c r="AA7492" s="43"/>
    </row>
    <row r="7493" spans="2:27" x14ac:dyDescent="0.25">
      <c r="B7493" s="42"/>
      <c r="AA7493" s="43"/>
    </row>
    <row r="7494" spans="2:27" x14ac:dyDescent="0.25">
      <c r="B7494" s="42"/>
      <c r="AA7494" s="43"/>
    </row>
    <row r="7495" spans="2:27" x14ac:dyDescent="0.25">
      <c r="B7495" s="42"/>
      <c r="AA7495" s="43"/>
    </row>
    <row r="7496" spans="2:27" x14ac:dyDescent="0.25">
      <c r="B7496" s="42"/>
      <c r="AA7496" s="43"/>
    </row>
    <row r="7497" spans="2:27" x14ac:dyDescent="0.25">
      <c r="B7497" s="42"/>
      <c r="AA7497" s="43"/>
    </row>
    <row r="7498" spans="2:27" x14ac:dyDescent="0.25">
      <c r="B7498" s="42"/>
      <c r="AA7498" s="43"/>
    </row>
    <row r="7499" spans="2:27" x14ac:dyDescent="0.25">
      <c r="B7499" s="42"/>
      <c r="AA7499" s="43"/>
    </row>
    <row r="7500" spans="2:27" x14ac:dyDescent="0.25">
      <c r="B7500" s="42"/>
      <c r="AA7500" s="43"/>
    </row>
    <row r="7501" spans="2:27" x14ac:dyDescent="0.25">
      <c r="B7501" s="42"/>
      <c r="AA7501" s="43"/>
    </row>
    <row r="7502" spans="2:27" x14ac:dyDescent="0.25">
      <c r="B7502" s="42"/>
      <c r="AA7502" s="43"/>
    </row>
    <row r="7503" spans="2:27" x14ac:dyDescent="0.25">
      <c r="B7503" s="42"/>
      <c r="AA7503" s="43"/>
    </row>
    <row r="7504" spans="2:27" x14ac:dyDescent="0.25">
      <c r="B7504" s="42"/>
      <c r="AA7504" s="43"/>
    </row>
    <row r="7505" spans="2:27" x14ac:dyDescent="0.25">
      <c r="B7505" s="42"/>
      <c r="AA7505" s="43"/>
    </row>
    <row r="7506" spans="2:27" x14ac:dyDescent="0.25">
      <c r="B7506" s="42"/>
      <c r="AA7506" s="43"/>
    </row>
    <row r="7507" spans="2:27" x14ac:dyDescent="0.25">
      <c r="B7507" s="42"/>
      <c r="AA7507" s="43"/>
    </row>
    <row r="7508" spans="2:27" x14ac:dyDescent="0.25">
      <c r="B7508" s="42"/>
      <c r="AA7508" s="43"/>
    </row>
    <row r="7509" spans="2:27" x14ac:dyDescent="0.25">
      <c r="B7509" s="42"/>
      <c r="AA7509" s="43"/>
    </row>
    <row r="7510" spans="2:27" x14ac:dyDescent="0.25">
      <c r="B7510" s="42"/>
      <c r="AA7510" s="43"/>
    </row>
    <row r="7511" spans="2:27" x14ac:dyDescent="0.25">
      <c r="B7511" s="42"/>
      <c r="AA7511" s="43"/>
    </row>
    <row r="7512" spans="2:27" x14ac:dyDescent="0.25">
      <c r="B7512" s="42"/>
      <c r="AA7512" s="43"/>
    </row>
    <row r="7513" spans="2:27" x14ac:dyDescent="0.25">
      <c r="B7513" s="42"/>
      <c r="AA7513" s="43"/>
    </row>
    <row r="7514" spans="2:27" x14ac:dyDescent="0.25">
      <c r="B7514" s="42"/>
      <c r="AA7514" s="43"/>
    </row>
    <row r="7515" spans="2:27" x14ac:dyDescent="0.25">
      <c r="B7515" s="42"/>
      <c r="AA7515" s="43"/>
    </row>
    <row r="7516" spans="2:27" x14ac:dyDescent="0.25">
      <c r="B7516" s="42"/>
      <c r="AA7516" s="43"/>
    </row>
    <row r="7517" spans="2:27" x14ac:dyDescent="0.25">
      <c r="B7517" s="42"/>
      <c r="AA7517" s="43"/>
    </row>
    <row r="7518" spans="2:27" x14ac:dyDescent="0.25">
      <c r="B7518" s="42"/>
      <c r="AA7518" s="43"/>
    </row>
    <row r="7519" spans="2:27" x14ac:dyDescent="0.25">
      <c r="B7519" s="42"/>
      <c r="AA7519" s="43"/>
    </row>
    <row r="7520" spans="2:27" x14ac:dyDescent="0.25">
      <c r="B7520" s="42"/>
      <c r="AA7520" s="43"/>
    </row>
    <row r="7521" spans="2:27" x14ac:dyDescent="0.25">
      <c r="B7521" s="42"/>
      <c r="AA7521" s="43"/>
    </row>
    <row r="7522" spans="2:27" x14ac:dyDescent="0.25">
      <c r="B7522" s="42"/>
      <c r="AA7522" s="43"/>
    </row>
    <row r="7523" spans="2:27" x14ac:dyDescent="0.25">
      <c r="B7523" s="42"/>
      <c r="AA7523" s="43"/>
    </row>
    <row r="7524" spans="2:27" x14ac:dyDescent="0.25">
      <c r="B7524" s="42"/>
      <c r="AA7524" s="43"/>
    </row>
    <row r="7525" spans="2:27" x14ac:dyDescent="0.25">
      <c r="B7525" s="42"/>
      <c r="AA7525" s="43"/>
    </row>
    <row r="7526" spans="2:27" x14ac:dyDescent="0.25">
      <c r="B7526" s="42"/>
      <c r="AA7526" s="43"/>
    </row>
    <row r="7527" spans="2:27" x14ac:dyDescent="0.25">
      <c r="B7527" s="42"/>
      <c r="AA7527" s="43"/>
    </row>
    <row r="7528" spans="2:27" x14ac:dyDescent="0.25">
      <c r="B7528" s="42"/>
      <c r="AA7528" s="43"/>
    </row>
    <row r="7529" spans="2:27" x14ac:dyDescent="0.25">
      <c r="B7529" s="42"/>
      <c r="AA7529" s="43"/>
    </row>
    <row r="7530" spans="2:27" x14ac:dyDescent="0.25">
      <c r="B7530" s="42"/>
      <c r="AA7530" s="43"/>
    </row>
    <row r="7531" spans="2:27" x14ac:dyDescent="0.25">
      <c r="B7531" s="42"/>
      <c r="AA7531" s="43"/>
    </row>
    <row r="7532" spans="2:27" x14ac:dyDescent="0.25">
      <c r="B7532" s="42"/>
      <c r="AA7532" s="43"/>
    </row>
    <row r="7533" spans="2:27" x14ac:dyDescent="0.25">
      <c r="B7533" s="42"/>
      <c r="AA7533" s="43"/>
    </row>
    <row r="7534" spans="2:27" x14ac:dyDescent="0.25">
      <c r="B7534" s="42"/>
      <c r="AA7534" s="43"/>
    </row>
    <row r="7535" spans="2:27" x14ac:dyDescent="0.25">
      <c r="B7535" s="42"/>
      <c r="AA7535" s="43"/>
    </row>
    <row r="7536" spans="2:27" x14ac:dyDescent="0.25">
      <c r="B7536" s="42"/>
      <c r="AA7536" s="43"/>
    </row>
    <row r="7537" spans="2:27" x14ac:dyDescent="0.25">
      <c r="B7537" s="42"/>
      <c r="AA7537" s="43"/>
    </row>
    <row r="7538" spans="2:27" x14ac:dyDescent="0.25">
      <c r="B7538" s="42"/>
      <c r="AA7538" s="43"/>
    </row>
    <row r="7539" spans="2:27" x14ac:dyDescent="0.25">
      <c r="B7539" s="42"/>
      <c r="AA7539" s="43"/>
    </row>
    <row r="7540" spans="2:27" x14ac:dyDescent="0.25">
      <c r="B7540" s="42"/>
      <c r="AA7540" s="43"/>
    </row>
    <row r="7541" spans="2:27" x14ac:dyDescent="0.25">
      <c r="B7541" s="42"/>
      <c r="AA7541" s="43"/>
    </row>
    <row r="7542" spans="2:27" x14ac:dyDescent="0.25">
      <c r="B7542" s="42"/>
      <c r="AA7542" s="43"/>
    </row>
    <row r="7543" spans="2:27" x14ac:dyDescent="0.25">
      <c r="B7543" s="42"/>
      <c r="AA7543" s="43"/>
    </row>
    <row r="7544" spans="2:27" x14ac:dyDescent="0.25">
      <c r="B7544" s="42"/>
      <c r="AA7544" s="43"/>
    </row>
    <row r="7545" spans="2:27" x14ac:dyDescent="0.25">
      <c r="B7545" s="42"/>
      <c r="AA7545" s="43"/>
    </row>
    <row r="7546" spans="2:27" x14ac:dyDescent="0.25">
      <c r="B7546" s="42"/>
      <c r="AA7546" s="43"/>
    </row>
    <row r="7547" spans="2:27" x14ac:dyDescent="0.25">
      <c r="B7547" s="42"/>
      <c r="AA7547" s="43"/>
    </row>
    <row r="7548" spans="2:27" x14ac:dyDescent="0.25">
      <c r="B7548" s="42"/>
      <c r="AA7548" s="43"/>
    </row>
    <row r="7549" spans="2:27" x14ac:dyDescent="0.25">
      <c r="B7549" s="42"/>
      <c r="AA7549" s="43"/>
    </row>
    <row r="7550" spans="2:27" x14ac:dyDescent="0.25">
      <c r="B7550" s="42"/>
      <c r="AA7550" s="43"/>
    </row>
    <row r="7551" spans="2:27" x14ac:dyDescent="0.25">
      <c r="B7551" s="42"/>
      <c r="AA7551" s="43"/>
    </row>
    <row r="7552" spans="2:27" x14ac:dyDescent="0.25">
      <c r="B7552" s="42"/>
      <c r="AA7552" s="43"/>
    </row>
    <row r="7553" spans="2:27" x14ac:dyDescent="0.25">
      <c r="B7553" s="42"/>
      <c r="AA7553" s="43"/>
    </row>
    <row r="7554" spans="2:27" x14ac:dyDescent="0.25">
      <c r="B7554" s="42"/>
      <c r="AA7554" s="43"/>
    </row>
    <row r="7555" spans="2:27" x14ac:dyDescent="0.25">
      <c r="B7555" s="42"/>
      <c r="AA7555" s="43"/>
    </row>
    <row r="7556" spans="2:27" x14ac:dyDescent="0.25">
      <c r="B7556" s="42"/>
      <c r="AA7556" s="43"/>
    </row>
    <row r="7557" spans="2:27" x14ac:dyDescent="0.25">
      <c r="B7557" s="42"/>
      <c r="AA7557" s="43"/>
    </row>
    <row r="7558" spans="2:27" x14ac:dyDescent="0.25">
      <c r="B7558" s="42"/>
      <c r="AA7558" s="43"/>
    </row>
    <row r="7559" spans="2:27" x14ac:dyDescent="0.25">
      <c r="B7559" s="42"/>
      <c r="AA7559" s="43"/>
    </row>
    <row r="7560" spans="2:27" x14ac:dyDescent="0.25">
      <c r="B7560" s="42"/>
      <c r="AA7560" s="43"/>
    </row>
    <row r="7561" spans="2:27" x14ac:dyDescent="0.25">
      <c r="B7561" s="42"/>
      <c r="AA7561" s="43"/>
    </row>
    <row r="7562" spans="2:27" x14ac:dyDescent="0.25">
      <c r="B7562" s="42"/>
      <c r="AA7562" s="43"/>
    </row>
    <row r="7563" spans="2:27" x14ac:dyDescent="0.25">
      <c r="B7563" s="42"/>
      <c r="AA7563" s="43"/>
    </row>
    <row r="7564" spans="2:27" x14ac:dyDescent="0.25">
      <c r="B7564" s="42"/>
      <c r="AA7564" s="43"/>
    </row>
    <row r="7565" spans="2:27" x14ac:dyDescent="0.25">
      <c r="B7565" s="42"/>
      <c r="AA7565" s="43"/>
    </row>
    <row r="7566" spans="2:27" x14ac:dyDescent="0.25">
      <c r="B7566" s="42"/>
      <c r="AA7566" s="43"/>
    </row>
    <row r="7567" spans="2:27" x14ac:dyDescent="0.25">
      <c r="B7567" s="42"/>
      <c r="AA7567" s="43"/>
    </row>
    <row r="7568" spans="2:27" x14ac:dyDescent="0.25">
      <c r="B7568" s="42"/>
      <c r="AA7568" s="43"/>
    </row>
    <row r="7569" spans="2:27" x14ac:dyDescent="0.25">
      <c r="B7569" s="42"/>
      <c r="AA7569" s="43"/>
    </row>
    <row r="7570" spans="2:27" x14ac:dyDescent="0.25">
      <c r="B7570" s="42"/>
      <c r="AA7570" s="43"/>
    </row>
    <row r="7571" spans="2:27" x14ac:dyDescent="0.25">
      <c r="B7571" s="42"/>
      <c r="AA7571" s="43"/>
    </row>
    <row r="7572" spans="2:27" x14ac:dyDescent="0.25">
      <c r="B7572" s="42"/>
      <c r="AA7572" s="43"/>
    </row>
    <row r="7573" spans="2:27" x14ac:dyDescent="0.25">
      <c r="B7573" s="42"/>
      <c r="AA7573" s="43"/>
    </row>
    <row r="7574" spans="2:27" x14ac:dyDescent="0.25">
      <c r="B7574" s="42"/>
      <c r="AA7574" s="43"/>
    </row>
    <row r="7575" spans="2:27" x14ac:dyDescent="0.25">
      <c r="B7575" s="42"/>
      <c r="AA7575" s="43"/>
    </row>
    <row r="7576" spans="2:27" x14ac:dyDescent="0.25">
      <c r="B7576" s="42"/>
      <c r="AA7576" s="43"/>
    </row>
    <row r="7577" spans="2:27" x14ac:dyDescent="0.25">
      <c r="B7577" s="42"/>
      <c r="AA7577" s="43"/>
    </row>
    <row r="7578" spans="2:27" x14ac:dyDescent="0.25">
      <c r="B7578" s="42"/>
      <c r="AA7578" s="43"/>
    </row>
    <row r="7579" spans="2:27" x14ac:dyDescent="0.25">
      <c r="B7579" s="42"/>
      <c r="AA7579" s="43"/>
    </row>
    <row r="7580" spans="2:27" x14ac:dyDescent="0.25">
      <c r="B7580" s="42"/>
      <c r="AA7580" s="43"/>
    </row>
    <row r="7581" spans="2:27" x14ac:dyDescent="0.25">
      <c r="B7581" s="42"/>
      <c r="AA7581" s="43"/>
    </row>
    <row r="7582" spans="2:27" x14ac:dyDescent="0.25">
      <c r="B7582" s="42"/>
      <c r="AA7582" s="43"/>
    </row>
    <row r="7583" spans="2:27" x14ac:dyDescent="0.25">
      <c r="B7583" s="42"/>
      <c r="AA7583" s="43"/>
    </row>
    <row r="7584" spans="2:27" x14ac:dyDescent="0.25">
      <c r="B7584" s="42"/>
      <c r="AA7584" s="43"/>
    </row>
    <row r="7585" spans="2:27" x14ac:dyDescent="0.25">
      <c r="B7585" s="42"/>
      <c r="AA7585" s="43"/>
    </row>
    <row r="7586" spans="2:27" x14ac:dyDescent="0.25">
      <c r="B7586" s="42"/>
      <c r="AA7586" s="43"/>
    </row>
    <row r="7587" spans="2:27" x14ac:dyDescent="0.25">
      <c r="B7587" s="42"/>
      <c r="AA7587" s="43"/>
    </row>
    <row r="7588" spans="2:27" x14ac:dyDescent="0.25">
      <c r="B7588" s="42"/>
      <c r="AA7588" s="43"/>
    </row>
    <row r="7589" spans="2:27" x14ac:dyDescent="0.25">
      <c r="B7589" s="42"/>
      <c r="AA7589" s="43"/>
    </row>
    <row r="7590" spans="2:27" x14ac:dyDescent="0.25">
      <c r="B7590" s="42"/>
      <c r="AA7590" s="43"/>
    </row>
    <row r="7591" spans="2:27" x14ac:dyDescent="0.25">
      <c r="B7591" s="42"/>
      <c r="AA7591" s="43"/>
    </row>
    <row r="7592" spans="2:27" x14ac:dyDescent="0.25">
      <c r="B7592" s="42"/>
      <c r="AA7592" s="43"/>
    </row>
    <row r="7593" spans="2:27" x14ac:dyDescent="0.25">
      <c r="B7593" s="42"/>
      <c r="AA7593" s="43"/>
    </row>
    <row r="7594" spans="2:27" x14ac:dyDescent="0.25">
      <c r="B7594" s="42"/>
      <c r="AA7594" s="43"/>
    </row>
    <row r="7595" spans="2:27" x14ac:dyDescent="0.25">
      <c r="B7595" s="42"/>
      <c r="AA7595" s="43"/>
    </row>
    <row r="7596" spans="2:27" x14ac:dyDescent="0.25">
      <c r="B7596" s="42"/>
      <c r="AA7596" s="43"/>
    </row>
    <row r="7597" spans="2:27" x14ac:dyDescent="0.25">
      <c r="B7597" s="42"/>
      <c r="AA7597" s="43"/>
    </row>
    <row r="7598" spans="2:27" x14ac:dyDescent="0.25">
      <c r="B7598" s="42"/>
      <c r="AA7598" s="43"/>
    </row>
    <row r="7599" spans="2:27" x14ac:dyDescent="0.25">
      <c r="B7599" s="42"/>
      <c r="AA7599" s="43"/>
    </row>
    <row r="7600" spans="2:27" x14ac:dyDescent="0.25">
      <c r="B7600" s="42"/>
      <c r="AA7600" s="43"/>
    </row>
    <row r="7601" spans="2:27" x14ac:dyDescent="0.25">
      <c r="B7601" s="42"/>
      <c r="AA7601" s="43"/>
    </row>
    <row r="7602" spans="2:27" x14ac:dyDescent="0.25">
      <c r="B7602" s="42"/>
      <c r="AA7602" s="43"/>
    </row>
    <row r="7603" spans="2:27" x14ac:dyDescent="0.25">
      <c r="B7603" s="42"/>
      <c r="AA7603" s="43"/>
    </row>
    <row r="7604" spans="2:27" x14ac:dyDescent="0.25">
      <c r="B7604" s="42"/>
      <c r="AA7604" s="43"/>
    </row>
    <row r="7605" spans="2:27" x14ac:dyDescent="0.25">
      <c r="B7605" s="42"/>
      <c r="AA7605" s="43"/>
    </row>
    <row r="7606" spans="2:27" x14ac:dyDescent="0.25">
      <c r="B7606" s="42"/>
      <c r="AA7606" s="43"/>
    </row>
    <row r="7607" spans="2:27" x14ac:dyDescent="0.25">
      <c r="B7607" s="42"/>
      <c r="AA7607" s="43"/>
    </row>
    <row r="7608" spans="2:27" x14ac:dyDescent="0.25">
      <c r="B7608" s="42"/>
      <c r="AA7608" s="43"/>
    </row>
    <row r="7609" spans="2:27" x14ac:dyDescent="0.25">
      <c r="B7609" s="42"/>
      <c r="AA7609" s="43"/>
    </row>
    <row r="7610" spans="2:27" x14ac:dyDescent="0.25">
      <c r="B7610" s="42"/>
      <c r="AA7610" s="43"/>
    </row>
    <row r="7611" spans="2:27" x14ac:dyDescent="0.25">
      <c r="B7611" s="42"/>
      <c r="AA7611" s="43"/>
    </row>
    <row r="7612" spans="2:27" x14ac:dyDescent="0.25">
      <c r="B7612" s="42"/>
      <c r="AA7612" s="43"/>
    </row>
    <row r="7613" spans="2:27" x14ac:dyDescent="0.25">
      <c r="B7613" s="42"/>
      <c r="AA7613" s="43"/>
    </row>
    <row r="7614" spans="2:27" x14ac:dyDescent="0.25">
      <c r="B7614" s="42"/>
      <c r="AA7614" s="43"/>
    </row>
    <row r="7615" spans="2:27" x14ac:dyDescent="0.25">
      <c r="B7615" s="42"/>
      <c r="AA7615" s="43"/>
    </row>
    <row r="7616" spans="2:27" x14ac:dyDescent="0.25">
      <c r="B7616" s="42"/>
      <c r="AA7616" s="43"/>
    </row>
    <row r="7617" spans="2:27" x14ac:dyDescent="0.25">
      <c r="B7617" s="42"/>
      <c r="AA7617" s="43"/>
    </row>
    <row r="7618" spans="2:27" x14ac:dyDescent="0.25">
      <c r="B7618" s="42"/>
      <c r="AA7618" s="43"/>
    </row>
    <row r="7619" spans="2:27" x14ac:dyDescent="0.25">
      <c r="B7619" s="42"/>
      <c r="AA7619" s="43"/>
    </row>
    <row r="7620" spans="2:27" x14ac:dyDescent="0.25">
      <c r="B7620" s="42"/>
      <c r="AA7620" s="43"/>
    </row>
    <row r="7621" spans="2:27" x14ac:dyDescent="0.25">
      <c r="B7621" s="42"/>
      <c r="AA7621" s="43"/>
    </row>
    <row r="7622" spans="2:27" x14ac:dyDescent="0.25">
      <c r="B7622" s="42"/>
      <c r="AA7622" s="43"/>
    </row>
    <row r="7623" spans="2:27" x14ac:dyDescent="0.25">
      <c r="B7623" s="42"/>
      <c r="AA7623" s="43"/>
    </row>
    <row r="7624" spans="2:27" x14ac:dyDescent="0.25">
      <c r="B7624" s="42"/>
      <c r="AA7624" s="43"/>
    </row>
    <row r="7625" spans="2:27" x14ac:dyDescent="0.25">
      <c r="B7625" s="42"/>
      <c r="AA7625" s="43"/>
    </row>
    <row r="7626" spans="2:27" x14ac:dyDescent="0.25">
      <c r="B7626" s="42"/>
      <c r="AA7626" s="43"/>
    </row>
    <row r="7627" spans="2:27" x14ac:dyDescent="0.25">
      <c r="B7627" s="42"/>
      <c r="AA7627" s="43"/>
    </row>
    <row r="7628" spans="2:27" x14ac:dyDescent="0.25">
      <c r="B7628" s="42"/>
      <c r="AA7628" s="43"/>
    </row>
    <row r="7629" spans="2:27" x14ac:dyDescent="0.25">
      <c r="B7629" s="42"/>
      <c r="AA7629" s="43"/>
    </row>
    <row r="7630" spans="2:27" x14ac:dyDescent="0.25">
      <c r="B7630" s="42"/>
      <c r="AA7630" s="43"/>
    </row>
    <row r="7631" spans="2:27" x14ac:dyDescent="0.25">
      <c r="B7631" s="42"/>
      <c r="AA7631" s="43"/>
    </row>
    <row r="7632" spans="2:27" x14ac:dyDescent="0.25">
      <c r="B7632" s="42"/>
      <c r="AA7632" s="43"/>
    </row>
    <row r="7633" spans="2:27" x14ac:dyDescent="0.25">
      <c r="B7633" s="42"/>
      <c r="AA7633" s="43"/>
    </row>
    <row r="7634" spans="2:27" x14ac:dyDescent="0.25">
      <c r="B7634" s="42"/>
      <c r="AA7634" s="43"/>
    </row>
    <row r="7635" spans="2:27" x14ac:dyDescent="0.25">
      <c r="B7635" s="42"/>
      <c r="AA7635" s="43"/>
    </row>
    <row r="7636" spans="2:27" x14ac:dyDescent="0.25">
      <c r="B7636" s="42"/>
      <c r="AA7636" s="43"/>
    </row>
    <row r="7637" spans="2:27" x14ac:dyDescent="0.25">
      <c r="B7637" s="42"/>
      <c r="AA7637" s="43"/>
    </row>
    <row r="7638" spans="2:27" x14ac:dyDescent="0.25">
      <c r="B7638" s="42"/>
      <c r="AA7638" s="43"/>
    </row>
    <row r="7639" spans="2:27" x14ac:dyDescent="0.25">
      <c r="B7639" s="42"/>
      <c r="AA7639" s="43"/>
    </row>
    <row r="7640" spans="2:27" x14ac:dyDescent="0.25">
      <c r="B7640" s="42"/>
      <c r="AA7640" s="43"/>
    </row>
    <row r="7641" spans="2:27" x14ac:dyDescent="0.25">
      <c r="B7641" s="42"/>
      <c r="AA7641" s="43"/>
    </row>
    <row r="7642" spans="2:27" x14ac:dyDescent="0.25">
      <c r="B7642" s="42"/>
      <c r="AA7642" s="43"/>
    </row>
    <row r="7643" spans="2:27" x14ac:dyDescent="0.25">
      <c r="B7643" s="42"/>
      <c r="AA7643" s="43"/>
    </row>
    <row r="7644" spans="2:27" x14ac:dyDescent="0.25">
      <c r="B7644" s="42"/>
      <c r="AA7644" s="43"/>
    </row>
    <row r="7645" spans="2:27" x14ac:dyDescent="0.25">
      <c r="B7645" s="42"/>
      <c r="AA7645" s="43"/>
    </row>
    <row r="7646" spans="2:27" x14ac:dyDescent="0.25">
      <c r="B7646" s="42"/>
      <c r="AA7646" s="43"/>
    </row>
    <row r="7647" spans="2:27" x14ac:dyDescent="0.25">
      <c r="B7647" s="42"/>
      <c r="AA7647" s="43"/>
    </row>
    <row r="7648" spans="2:27" x14ac:dyDescent="0.25">
      <c r="B7648" s="42"/>
      <c r="AA7648" s="43"/>
    </row>
    <row r="7649" spans="2:27" x14ac:dyDescent="0.25">
      <c r="B7649" s="42"/>
      <c r="AA7649" s="43"/>
    </row>
    <row r="7650" spans="2:27" x14ac:dyDescent="0.25">
      <c r="B7650" s="42"/>
      <c r="AA7650" s="43"/>
    </row>
    <row r="7651" spans="2:27" x14ac:dyDescent="0.25">
      <c r="B7651" s="42"/>
      <c r="AA7651" s="43"/>
    </row>
    <row r="7652" spans="2:27" x14ac:dyDescent="0.25">
      <c r="B7652" s="42"/>
      <c r="AA7652" s="43"/>
    </row>
    <row r="7653" spans="2:27" x14ac:dyDescent="0.25">
      <c r="B7653" s="42"/>
      <c r="AA7653" s="43"/>
    </row>
    <row r="7654" spans="2:27" x14ac:dyDescent="0.25">
      <c r="B7654" s="42"/>
      <c r="AA7654" s="43"/>
    </row>
    <row r="7655" spans="2:27" x14ac:dyDescent="0.25">
      <c r="B7655" s="42"/>
      <c r="AA7655" s="43"/>
    </row>
    <row r="7656" spans="2:27" x14ac:dyDescent="0.25">
      <c r="B7656" s="42"/>
      <c r="AA7656" s="43"/>
    </row>
    <row r="7657" spans="2:27" x14ac:dyDescent="0.25">
      <c r="B7657" s="42"/>
      <c r="AA7657" s="43"/>
    </row>
    <row r="7658" spans="2:27" x14ac:dyDescent="0.25">
      <c r="B7658" s="42"/>
      <c r="AA7658" s="43"/>
    </row>
    <row r="7659" spans="2:27" x14ac:dyDescent="0.25">
      <c r="B7659" s="42"/>
      <c r="AA7659" s="43"/>
    </row>
    <row r="7660" spans="2:27" x14ac:dyDescent="0.25">
      <c r="B7660" s="42"/>
      <c r="AA7660" s="43"/>
    </row>
    <row r="7661" spans="2:27" x14ac:dyDescent="0.25">
      <c r="B7661" s="42"/>
      <c r="AA7661" s="43"/>
    </row>
    <row r="7662" spans="2:27" x14ac:dyDescent="0.25">
      <c r="B7662" s="42"/>
      <c r="AA7662" s="43"/>
    </row>
    <row r="7663" spans="2:27" x14ac:dyDescent="0.25">
      <c r="B7663" s="42"/>
      <c r="AA7663" s="43"/>
    </row>
    <row r="7664" spans="2:27" x14ac:dyDescent="0.25">
      <c r="B7664" s="42"/>
      <c r="AA7664" s="43"/>
    </row>
    <row r="7665" spans="2:27" x14ac:dyDescent="0.25">
      <c r="B7665" s="42"/>
      <c r="AA7665" s="43"/>
    </row>
    <row r="7666" spans="2:27" x14ac:dyDescent="0.25">
      <c r="B7666" s="42"/>
      <c r="AA7666" s="43"/>
    </row>
    <row r="7667" spans="2:27" x14ac:dyDescent="0.25">
      <c r="B7667" s="42"/>
      <c r="AA7667" s="43"/>
    </row>
    <row r="7668" spans="2:27" x14ac:dyDescent="0.25">
      <c r="B7668" s="42"/>
      <c r="AA7668" s="43"/>
    </row>
    <row r="7669" spans="2:27" x14ac:dyDescent="0.25">
      <c r="B7669" s="42"/>
      <c r="AA7669" s="43"/>
    </row>
    <row r="7670" spans="2:27" x14ac:dyDescent="0.25">
      <c r="B7670" s="42"/>
      <c r="AA7670" s="43"/>
    </row>
    <row r="7671" spans="2:27" x14ac:dyDescent="0.25">
      <c r="B7671" s="42"/>
      <c r="AA7671" s="43"/>
    </row>
    <row r="7672" spans="2:27" x14ac:dyDescent="0.25">
      <c r="B7672" s="42"/>
      <c r="AA7672" s="43"/>
    </row>
    <row r="7673" spans="2:27" x14ac:dyDescent="0.25">
      <c r="B7673" s="42"/>
      <c r="AA7673" s="43"/>
    </row>
    <row r="7674" spans="2:27" x14ac:dyDescent="0.25">
      <c r="B7674" s="42"/>
      <c r="AA7674" s="43"/>
    </row>
    <row r="7675" spans="2:27" x14ac:dyDescent="0.25">
      <c r="B7675" s="42"/>
      <c r="AA7675" s="43"/>
    </row>
    <row r="7676" spans="2:27" x14ac:dyDescent="0.25">
      <c r="B7676" s="42"/>
      <c r="AA7676" s="43"/>
    </row>
    <row r="7677" spans="2:27" x14ac:dyDescent="0.25">
      <c r="B7677" s="42"/>
      <c r="AA7677" s="43"/>
    </row>
    <row r="7678" spans="2:27" x14ac:dyDescent="0.25">
      <c r="B7678" s="42"/>
      <c r="AA7678" s="43"/>
    </row>
    <row r="7679" spans="2:27" x14ac:dyDescent="0.25">
      <c r="B7679" s="42"/>
      <c r="AA7679" s="43"/>
    </row>
    <row r="7680" spans="2:27" x14ac:dyDescent="0.25">
      <c r="B7680" s="42"/>
      <c r="AA7680" s="43"/>
    </row>
    <row r="7681" spans="2:27" x14ac:dyDescent="0.25">
      <c r="B7681" s="42"/>
      <c r="AA7681" s="43"/>
    </row>
    <row r="7682" spans="2:27" x14ac:dyDescent="0.25">
      <c r="B7682" s="42"/>
      <c r="AA7682" s="43"/>
    </row>
    <row r="7683" spans="2:27" x14ac:dyDescent="0.25">
      <c r="B7683" s="42"/>
      <c r="AA7683" s="43"/>
    </row>
    <row r="7684" spans="2:27" x14ac:dyDescent="0.25">
      <c r="B7684" s="42"/>
      <c r="AA7684" s="43"/>
    </row>
    <row r="7685" spans="2:27" x14ac:dyDescent="0.25">
      <c r="B7685" s="42"/>
      <c r="AA7685" s="43"/>
    </row>
    <row r="7686" spans="2:27" x14ac:dyDescent="0.25">
      <c r="B7686" s="42"/>
      <c r="AA7686" s="43"/>
    </row>
    <row r="7687" spans="2:27" x14ac:dyDescent="0.25">
      <c r="B7687" s="42"/>
      <c r="AA7687" s="43"/>
    </row>
    <row r="7688" spans="2:27" x14ac:dyDescent="0.25">
      <c r="B7688" s="42"/>
      <c r="AA7688" s="43"/>
    </row>
    <row r="7689" spans="2:27" x14ac:dyDescent="0.25">
      <c r="B7689" s="42"/>
      <c r="AA7689" s="43"/>
    </row>
    <row r="7690" spans="2:27" x14ac:dyDescent="0.25">
      <c r="B7690" s="42"/>
      <c r="AA7690" s="43"/>
    </row>
    <row r="7691" spans="2:27" x14ac:dyDescent="0.25">
      <c r="B7691" s="42"/>
      <c r="AA7691" s="43"/>
    </row>
    <row r="7692" spans="2:27" x14ac:dyDescent="0.25">
      <c r="B7692" s="42"/>
      <c r="AA7692" s="43"/>
    </row>
    <row r="7693" spans="2:27" x14ac:dyDescent="0.25">
      <c r="B7693" s="42"/>
      <c r="AA7693" s="43"/>
    </row>
    <row r="7694" spans="2:27" x14ac:dyDescent="0.25">
      <c r="B7694" s="42"/>
      <c r="AA7694" s="43"/>
    </row>
    <row r="7695" spans="2:27" x14ac:dyDescent="0.25">
      <c r="B7695" s="42"/>
      <c r="AA7695" s="43"/>
    </row>
    <row r="7696" spans="2:27" x14ac:dyDescent="0.25">
      <c r="B7696" s="42"/>
      <c r="AA7696" s="43"/>
    </row>
    <row r="7697" spans="2:27" x14ac:dyDescent="0.25">
      <c r="B7697" s="42"/>
      <c r="AA7697" s="43"/>
    </row>
    <row r="7698" spans="2:27" x14ac:dyDescent="0.25">
      <c r="B7698" s="42"/>
      <c r="AA7698" s="43"/>
    </row>
    <row r="7699" spans="2:27" x14ac:dyDescent="0.25">
      <c r="B7699" s="42"/>
      <c r="AA7699" s="43"/>
    </row>
    <row r="7700" spans="2:27" x14ac:dyDescent="0.25">
      <c r="B7700" s="42"/>
      <c r="AA7700" s="43"/>
    </row>
    <row r="7701" spans="2:27" x14ac:dyDescent="0.25">
      <c r="B7701" s="42"/>
      <c r="AA7701" s="43"/>
    </row>
    <row r="7702" spans="2:27" x14ac:dyDescent="0.25">
      <c r="B7702" s="42"/>
      <c r="AA7702" s="43"/>
    </row>
    <row r="7703" spans="2:27" x14ac:dyDescent="0.25">
      <c r="B7703" s="42"/>
      <c r="AA7703" s="43"/>
    </row>
    <row r="7704" spans="2:27" x14ac:dyDescent="0.25">
      <c r="B7704" s="42"/>
      <c r="AA7704" s="43"/>
    </row>
    <row r="7705" spans="2:27" x14ac:dyDescent="0.25">
      <c r="B7705" s="42"/>
      <c r="AA7705" s="43"/>
    </row>
    <row r="7706" spans="2:27" x14ac:dyDescent="0.25">
      <c r="B7706" s="42"/>
      <c r="AA7706" s="43"/>
    </row>
    <row r="7707" spans="2:27" x14ac:dyDescent="0.25">
      <c r="B7707" s="42"/>
      <c r="AA7707" s="43"/>
    </row>
    <row r="7708" spans="2:27" x14ac:dyDescent="0.25">
      <c r="B7708" s="42"/>
      <c r="AA7708" s="43"/>
    </row>
    <row r="7709" spans="2:27" x14ac:dyDescent="0.25">
      <c r="B7709" s="42"/>
      <c r="AA7709" s="43"/>
    </row>
    <row r="7710" spans="2:27" x14ac:dyDescent="0.25">
      <c r="B7710" s="42"/>
      <c r="AA7710" s="43"/>
    </row>
    <row r="7711" spans="2:27" x14ac:dyDescent="0.25">
      <c r="B7711" s="42"/>
      <c r="AA7711" s="43"/>
    </row>
    <row r="7712" spans="2:27" x14ac:dyDescent="0.25">
      <c r="B7712" s="42"/>
      <c r="AA7712" s="43"/>
    </row>
    <row r="7713" spans="2:27" x14ac:dyDescent="0.25">
      <c r="B7713" s="42"/>
      <c r="AA7713" s="43"/>
    </row>
    <row r="7714" spans="2:27" x14ac:dyDescent="0.25">
      <c r="B7714" s="42"/>
      <c r="AA7714" s="43"/>
    </row>
    <row r="7715" spans="2:27" x14ac:dyDescent="0.25">
      <c r="B7715" s="42"/>
      <c r="AA7715" s="43"/>
    </row>
    <row r="7716" spans="2:27" x14ac:dyDescent="0.25">
      <c r="B7716" s="42"/>
      <c r="AA7716" s="43"/>
    </row>
    <row r="7717" spans="2:27" x14ac:dyDescent="0.25">
      <c r="B7717" s="42"/>
      <c r="AA7717" s="43"/>
    </row>
    <row r="7718" spans="2:27" x14ac:dyDescent="0.25">
      <c r="B7718" s="42"/>
      <c r="AA7718" s="43"/>
    </row>
    <row r="7719" spans="2:27" x14ac:dyDescent="0.25">
      <c r="B7719" s="42"/>
      <c r="AA7719" s="43"/>
    </row>
    <row r="7720" spans="2:27" x14ac:dyDescent="0.25">
      <c r="B7720" s="42"/>
      <c r="AA7720" s="43"/>
    </row>
    <row r="7721" spans="2:27" x14ac:dyDescent="0.25">
      <c r="B7721" s="42"/>
      <c r="AA7721" s="43"/>
    </row>
    <row r="7722" spans="2:27" x14ac:dyDescent="0.25">
      <c r="B7722" s="42"/>
      <c r="AA7722" s="43"/>
    </row>
    <row r="7723" spans="2:27" x14ac:dyDescent="0.25">
      <c r="B7723" s="42"/>
      <c r="AA7723" s="43"/>
    </row>
    <row r="7724" spans="2:27" x14ac:dyDescent="0.25">
      <c r="B7724" s="42"/>
      <c r="AA7724" s="43"/>
    </row>
    <row r="7725" spans="2:27" x14ac:dyDescent="0.25">
      <c r="B7725" s="42"/>
      <c r="AA7725" s="43"/>
    </row>
    <row r="7726" spans="2:27" x14ac:dyDescent="0.25">
      <c r="B7726" s="42"/>
      <c r="AA7726" s="43"/>
    </row>
    <row r="7727" spans="2:27" x14ac:dyDescent="0.25">
      <c r="B7727" s="42"/>
      <c r="AA7727" s="43"/>
    </row>
    <row r="7728" spans="2:27" x14ac:dyDescent="0.25">
      <c r="B7728" s="42"/>
      <c r="AA7728" s="43"/>
    </row>
    <row r="7729" spans="2:27" x14ac:dyDescent="0.25">
      <c r="B7729" s="42"/>
      <c r="AA7729" s="43"/>
    </row>
    <row r="7730" spans="2:27" x14ac:dyDescent="0.25">
      <c r="B7730" s="42"/>
      <c r="AA7730" s="43"/>
    </row>
    <row r="7731" spans="2:27" x14ac:dyDescent="0.25">
      <c r="B7731" s="42"/>
      <c r="AA7731" s="43"/>
    </row>
    <row r="7732" spans="2:27" x14ac:dyDescent="0.25">
      <c r="B7732" s="42"/>
      <c r="AA7732" s="43"/>
    </row>
    <row r="7733" spans="2:27" x14ac:dyDescent="0.25">
      <c r="B7733" s="42"/>
      <c r="AA7733" s="43"/>
    </row>
    <row r="7734" spans="2:27" x14ac:dyDescent="0.25">
      <c r="B7734" s="42"/>
      <c r="AA7734" s="43"/>
    </row>
    <row r="7735" spans="2:27" x14ac:dyDescent="0.25">
      <c r="B7735" s="42"/>
      <c r="AA7735" s="43"/>
    </row>
    <row r="7736" spans="2:27" x14ac:dyDescent="0.25">
      <c r="B7736" s="42"/>
      <c r="AA7736" s="43"/>
    </row>
    <row r="7737" spans="2:27" x14ac:dyDescent="0.25">
      <c r="B7737" s="42"/>
      <c r="AA7737" s="43"/>
    </row>
    <row r="7738" spans="2:27" x14ac:dyDescent="0.25">
      <c r="B7738" s="42"/>
      <c r="AA7738" s="43"/>
    </row>
    <row r="7739" spans="2:27" x14ac:dyDescent="0.25">
      <c r="B7739" s="42"/>
      <c r="AA7739" s="43"/>
    </row>
    <row r="7740" spans="2:27" x14ac:dyDescent="0.25">
      <c r="B7740" s="42"/>
      <c r="AA7740" s="43"/>
    </row>
    <row r="7741" spans="2:27" x14ac:dyDescent="0.25">
      <c r="B7741" s="42"/>
      <c r="AA7741" s="43"/>
    </row>
    <row r="7742" spans="2:27" x14ac:dyDescent="0.25">
      <c r="B7742" s="42"/>
      <c r="AA7742" s="43"/>
    </row>
    <row r="7743" spans="2:27" x14ac:dyDescent="0.25">
      <c r="B7743" s="42"/>
      <c r="AA7743" s="43"/>
    </row>
    <row r="7744" spans="2:27" x14ac:dyDescent="0.25">
      <c r="B7744" s="42"/>
      <c r="AA7744" s="43"/>
    </row>
    <row r="7745" spans="2:27" x14ac:dyDescent="0.25">
      <c r="B7745" s="42"/>
      <c r="AA7745" s="43"/>
    </row>
    <row r="7746" spans="2:27" x14ac:dyDescent="0.25">
      <c r="B7746" s="42"/>
      <c r="AA7746" s="43"/>
    </row>
    <row r="7747" spans="2:27" x14ac:dyDescent="0.25">
      <c r="B7747" s="42"/>
      <c r="AA7747" s="43"/>
    </row>
    <row r="7748" spans="2:27" x14ac:dyDescent="0.25">
      <c r="B7748" s="42"/>
      <c r="AA7748" s="43"/>
    </row>
    <row r="7749" spans="2:27" x14ac:dyDescent="0.25">
      <c r="B7749" s="42"/>
      <c r="AA7749" s="43"/>
    </row>
    <row r="7750" spans="2:27" x14ac:dyDescent="0.25">
      <c r="B7750" s="42"/>
      <c r="AA7750" s="43"/>
    </row>
    <row r="7751" spans="2:27" x14ac:dyDescent="0.25">
      <c r="B7751" s="42"/>
      <c r="AA7751" s="43"/>
    </row>
    <row r="7752" spans="2:27" x14ac:dyDescent="0.25">
      <c r="B7752" s="42"/>
      <c r="AA7752" s="43"/>
    </row>
    <row r="7753" spans="2:27" x14ac:dyDescent="0.25">
      <c r="B7753" s="42"/>
      <c r="AA7753" s="43"/>
    </row>
    <row r="7754" spans="2:27" x14ac:dyDescent="0.25">
      <c r="B7754" s="42"/>
      <c r="AA7754" s="43"/>
    </row>
    <row r="7755" spans="2:27" x14ac:dyDescent="0.25">
      <c r="B7755" s="42"/>
      <c r="AA7755" s="43"/>
    </row>
    <row r="7756" spans="2:27" x14ac:dyDescent="0.25">
      <c r="B7756" s="42"/>
      <c r="AA7756" s="43"/>
    </row>
    <row r="7757" spans="2:27" x14ac:dyDescent="0.25">
      <c r="B7757" s="42"/>
      <c r="AA7757" s="43"/>
    </row>
    <row r="7758" spans="2:27" x14ac:dyDescent="0.25">
      <c r="B7758" s="42"/>
      <c r="AA7758" s="43"/>
    </row>
    <row r="7759" spans="2:27" x14ac:dyDescent="0.25">
      <c r="B7759" s="42"/>
      <c r="AA7759" s="43"/>
    </row>
    <row r="7760" spans="2:27" x14ac:dyDescent="0.25">
      <c r="B7760" s="42"/>
      <c r="AA7760" s="43"/>
    </row>
    <row r="7761" spans="2:27" x14ac:dyDescent="0.25">
      <c r="B7761" s="42"/>
      <c r="AA7761" s="43"/>
    </row>
    <row r="7762" spans="2:27" x14ac:dyDescent="0.25">
      <c r="B7762" s="42"/>
      <c r="AA7762" s="43"/>
    </row>
    <row r="7763" spans="2:27" x14ac:dyDescent="0.25">
      <c r="B7763" s="42"/>
      <c r="AA7763" s="43"/>
    </row>
    <row r="7764" spans="2:27" x14ac:dyDescent="0.25">
      <c r="B7764" s="42"/>
      <c r="AA7764" s="43"/>
    </row>
    <row r="7765" spans="2:27" x14ac:dyDescent="0.25">
      <c r="B7765" s="42"/>
      <c r="AA7765" s="43"/>
    </row>
    <row r="7766" spans="2:27" x14ac:dyDescent="0.25">
      <c r="B7766" s="42"/>
      <c r="AA7766" s="43"/>
    </row>
    <row r="7767" spans="2:27" x14ac:dyDescent="0.25">
      <c r="B7767" s="42"/>
      <c r="AA7767" s="43"/>
    </row>
    <row r="7768" spans="2:27" x14ac:dyDescent="0.25">
      <c r="B7768" s="42"/>
      <c r="AA7768" s="43"/>
    </row>
    <row r="7769" spans="2:27" x14ac:dyDescent="0.25">
      <c r="B7769" s="42"/>
      <c r="AA7769" s="43"/>
    </row>
    <row r="7770" spans="2:27" x14ac:dyDescent="0.25">
      <c r="B7770" s="42"/>
      <c r="AA7770" s="43"/>
    </row>
    <row r="7771" spans="2:27" x14ac:dyDescent="0.25">
      <c r="B7771" s="42"/>
      <c r="AA7771" s="43"/>
    </row>
    <row r="7772" spans="2:27" x14ac:dyDescent="0.25">
      <c r="B7772" s="42"/>
      <c r="AA7772" s="43"/>
    </row>
    <row r="7773" spans="2:27" x14ac:dyDescent="0.25">
      <c r="B7773" s="42"/>
      <c r="AA7773" s="43"/>
    </row>
    <row r="7774" spans="2:27" x14ac:dyDescent="0.25">
      <c r="B7774" s="42"/>
      <c r="AA7774" s="43"/>
    </row>
    <row r="7775" spans="2:27" x14ac:dyDescent="0.25">
      <c r="B7775" s="42"/>
      <c r="AA7775" s="43"/>
    </row>
    <row r="7776" spans="2:27" x14ac:dyDescent="0.25">
      <c r="B7776" s="42"/>
      <c r="AA7776" s="43"/>
    </row>
    <row r="7777" spans="2:27" x14ac:dyDescent="0.25">
      <c r="B7777" s="42"/>
      <c r="AA7777" s="43"/>
    </row>
    <row r="7778" spans="2:27" x14ac:dyDescent="0.25">
      <c r="B7778" s="42"/>
      <c r="AA7778" s="43"/>
    </row>
    <row r="7779" spans="2:27" x14ac:dyDescent="0.25">
      <c r="B7779" s="42"/>
      <c r="AA7779" s="43"/>
    </row>
    <row r="7780" spans="2:27" x14ac:dyDescent="0.25">
      <c r="B7780" s="42"/>
      <c r="AA7780" s="43"/>
    </row>
    <row r="7781" spans="2:27" x14ac:dyDescent="0.25">
      <c r="B7781" s="42"/>
      <c r="AA7781" s="43"/>
    </row>
    <row r="7782" spans="2:27" x14ac:dyDescent="0.25">
      <c r="B7782" s="42"/>
      <c r="AA7782" s="43"/>
    </row>
    <row r="7783" spans="2:27" x14ac:dyDescent="0.25">
      <c r="B7783" s="42"/>
      <c r="AA7783" s="43"/>
    </row>
    <row r="7784" spans="2:27" x14ac:dyDescent="0.25">
      <c r="B7784" s="42"/>
      <c r="AA7784" s="43"/>
    </row>
    <row r="7785" spans="2:27" x14ac:dyDescent="0.25">
      <c r="B7785" s="42"/>
      <c r="AA7785" s="43"/>
    </row>
    <row r="7786" spans="2:27" x14ac:dyDescent="0.25">
      <c r="B7786" s="42"/>
      <c r="AA7786" s="43"/>
    </row>
    <row r="7787" spans="2:27" x14ac:dyDescent="0.25">
      <c r="B7787" s="42"/>
      <c r="AA7787" s="43"/>
    </row>
    <row r="7788" spans="2:27" x14ac:dyDescent="0.25">
      <c r="B7788" s="42"/>
      <c r="AA7788" s="43"/>
    </row>
    <row r="7789" spans="2:27" x14ac:dyDescent="0.25">
      <c r="B7789" s="42"/>
      <c r="AA7789" s="43"/>
    </row>
    <row r="7790" spans="2:27" x14ac:dyDescent="0.25">
      <c r="B7790" s="42"/>
      <c r="AA7790" s="43"/>
    </row>
    <row r="7791" spans="2:27" x14ac:dyDescent="0.25">
      <c r="B7791" s="42"/>
      <c r="AA7791" s="43"/>
    </row>
    <row r="7792" spans="2:27" x14ac:dyDescent="0.25">
      <c r="B7792" s="42"/>
      <c r="AA7792" s="43"/>
    </row>
    <row r="7793" spans="2:27" x14ac:dyDescent="0.25">
      <c r="B7793" s="42"/>
      <c r="AA7793" s="43"/>
    </row>
    <row r="7794" spans="2:27" x14ac:dyDescent="0.25">
      <c r="B7794" s="42"/>
      <c r="AA7794" s="43"/>
    </row>
    <row r="7795" spans="2:27" x14ac:dyDescent="0.25">
      <c r="B7795" s="42"/>
      <c r="AA7795" s="43"/>
    </row>
    <row r="7796" spans="2:27" x14ac:dyDescent="0.25">
      <c r="B7796" s="42"/>
      <c r="AA7796" s="43"/>
    </row>
    <row r="7797" spans="2:27" x14ac:dyDescent="0.25">
      <c r="B7797" s="42"/>
      <c r="AA7797" s="43"/>
    </row>
    <row r="7798" spans="2:27" x14ac:dyDescent="0.25">
      <c r="B7798" s="42"/>
      <c r="AA7798" s="43"/>
    </row>
    <row r="7799" spans="2:27" x14ac:dyDescent="0.25">
      <c r="B7799" s="42"/>
      <c r="AA7799" s="43"/>
    </row>
    <row r="7800" spans="2:27" x14ac:dyDescent="0.25">
      <c r="B7800" s="42"/>
      <c r="AA7800" s="43"/>
    </row>
    <row r="7801" spans="2:27" x14ac:dyDescent="0.25">
      <c r="B7801" s="42"/>
      <c r="AA7801" s="43"/>
    </row>
    <row r="7802" spans="2:27" x14ac:dyDescent="0.25">
      <c r="B7802" s="42"/>
      <c r="AA7802" s="43"/>
    </row>
    <row r="7803" spans="2:27" x14ac:dyDescent="0.25">
      <c r="B7803" s="42"/>
      <c r="AA7803" s="43"/>
    </row>
    <row r="7804" spans="2:27" x14ac:dyDescent="0.25">
      <c r="B7804" s="42"/>
      <c r="AA7804" s="43"/>
    </row>
    <row r="7805" spans="2:27" x14ac:dyDescent="0.25">
      <c r="B7805" s="42"/>
      <c r="AA7805" s="43"/>
    </row>
    <row r="7806" spans="2:27" x14ac:dyDescent="0.25">
      <c r="B7806" s="42"/>
      <c r="AA7806" s="43"/>
    </row>
    <row r="7807" spans="2:27" x14ac:dyDescent="0.25">
      <c r="B7807" s="42"/>
      <c r="AA7807" s="43"/>
    </row>
    <row r="7808" spans="2:27" x14ac:dyDescent="0.25">
      <c r="B7808" s="42"/>
      <c r="AA7808" s="43"/>
    </row>
    <row r="7809" spans="2:27" x14ac:dyDescent="0.25">
      <c r="B7809" s="42"/>
      <c r="AA7809" s="43"/>
    </row>
    <row r="7810" spans="2:27" x14ac:dyDescent="0.25">
      <c r="B7810" s="42"/>
      <c r="AA7810" s="43"/>
    </row>
    <row r="7811" spans="2:27" x14ac:dyDescent="0.25">
      <c r="B7811" s="42"/>
      <c r="AA7811" s="43"/>
    </row>
    <row r="7812" spans="2:27" x14ac:dyDescent="0.25">
      <c r="B7812" s="42"/>
      <c r="AA7812" s="43"/>
    </row>
    <row r="7813" spans="2:27" x14ac:dyDescent="0.25">
      <c r="B7813" s="42"/>
      <c r="AA7813" s="43"/>
    </row>
    <row r="7814" spans="2:27" x14ac:dyDescent="0.25">
      <c r="B7814" s="42"/>
      <c r="AA7814" s="43"/>
    </row>
    <row r="7815" spans="2:27" x14ac:dyDescent="0.25">
      <c r="B7815" s="42"/>
      <c r="AA7815" s="43"/>
    </row>
    <row r="7816" spans="2:27" x14ac:dyDescent="0.25">
      <c r="B7816" s="42"/>
      <c r="AA7816" s="43"/>
    </row>
    <row r="7817" spans="2:27" x14ac:dyDescent="0.25">
      <c r="B7817" s="42"/>
      <c r="AA7817" s="43"/>
    </row>
    <row r="7818" spans="2:27" x14ac:dyDescent="0.25">
      <c r="B7818" s="42"/>
      <c r="AA7818" s="43"/>
    </row>
    <row r="7819" spans="2:27" x14ac:dyDescent="0.25">
      <c r="B7819" s="42"/>
      <c r="AA7819" s="43"/>
    </row>
    <row r="7820" spans="2:27" x14ac:dyDescent="0.25">
      <c r="B7820" s="42"/>
      <c r="AA7820" s="43"/>
    </row>
    <row r="7821" spans="2:27" x14ac:dyDescent="0.25">
      <c r="B7821" s="42"/>
      <c r="AA7821" s="43"/>
    </row>
    <row r="7822" spans="2:27" x14ac:dyDescent="0.25">
      <c r="B7822" s="42"/>
      <c r="AA7822" s="43"/>
    </row>
    <row r="7823" spans="2:27" x14ac:dyDescent="0.25">
      <c r="B7823" s="42"/>
      <c r="AA7823" s="43"/>
    </row>
    <row r="7824" spans="2:27" x14ac:dyDescent="0.25">
      <c r="B7824" s="42"/>
      <c r="AA7824" s="43"/>
    </row>
    <row r="7825" spans="2:27" x14ac:dyDescent="0.25">
      <c r="B7825" s="42"/>
      <c r="AA7825" s="43"/>
    </row>
    <row r="7826" spans="2:27" x14ac:dyDescent="0.25">
      <c r="B7826" s="42"/>
      <c r="AA7826" s="43"/>
    </row>
    <row r="7827" spans="2:27" x14ac:dyDescent="0.25">
      <c r="B7827" s="42"/>
      <c r="AA7827" s="43"/>
    </row>
    <row r="7828" spans="2:27" x14ac:dyDescent="0.25">
      <c r="B7828" s="42"/>
      <c r="AA7828" s="43"/>
    </row>
    <row r="7829" spans="2:27" x14ac:dyDescent="0.25">
      <c r="B7829" s="42"/>
      <c r="AA7829" s="43"/>
    </row>
    <row r="7830" spans="2:27" x14ac:dyDescent="0.25">
      <c r="B7830" s="42"/>
      <c r="AA7830" s="43"/>
    </row>
    <row r="7831" spans="2:27" x14ac:dyDescent="0.25">
      <c r="B7831" s="42"/>
      <c r="AA7831" s="43"/>
    </row>
    <row r="7832" spans="2:27" x14ac:dyDescent="0.25">
      <c r="B7832" s="42"/>
      <c r="AA7832" s="43"/>
    </row>
    <row r="7833" spans="2:27" x14ac:dyDescent="0.25">
      <c r="B7833" s="42"/>
      <c r="AA7833" s="43"/>
    </row>
    <row r="7834" spans="2:27" x14ac:dyDescent="0.25">
      <c r="B7834" s="42"/>
      <c r="AA7834" s="43"/>
    </row>
    <row r="7835" spans="2:27" x14ac:dyDescent="0.25">
      <c r="B7835" s="42"/>
      <c r="AA7835" s="43"/>
    </row>
    <row r="7836" spans="2:27" x14ac:dyDescent="0.25">
      <c r="B7836" s="42"/>
      <c r="AA7836" s="43"/>
    </row>
    <row r="7837" spans="2:27" x14ac:dyDescent="0.25">
      <c r="B7837" s="42"/>
      <c r="AA7837" s="43"/>
    </row>
    <row r="7838" spans="2:27" x14ac:dyDescent="0.25">
      <c r="B7838" s="42"/>
      <c r="AA7838" s="43"/>
    </row>
    <row r="7839" spans="2:27" x14ac:dyDescent="0.25">
      <c r="B7839" s="42"/>
      <c r="AA7839" s="43"/>
    </row>
    <row r="7840" spans="2:27" x14ac:dyDescent="0.25">
      <c r="B7840" s="42"/>
      <c r="AA7840" s="43"/>
    </row>
    <row r="7841" spans="2:27" x14ac:dyDescent="0.25">
      <c r="B7841" s="42"/>
      <c r="AA7841" s="43"/>
    </row>
    <row r="7842" spans="2:27" x14ac:dyDescent="0.25">
      <c r="B7842" s="42"/>
      <c r="AA7842" s="43"/>
    </row>
    <row r="7843" spans="2:27" x14ac:dyDescent="0.25">
      <c r="B7843" s="42"/>
      <c r="AA7843" s="43"/>
    </row>
    <row r="7844" spans="2:27" x14ac:dyDescent="0.25">
      <c r="B7844" s="42"/>
      <c r="AA7844" s="43"/>
    </row>
    <row r="7845" spans="2:27" x14ac:dyDescent="0.25">
      <c r="B7845" s="42"/>
      <c r="AA7845" s="43"/>
    </row>
    <row r="7846" spans="2:27" x14ac:dyDescent="0.25">
      <c r="B7846" s="42"/>
      <c r="AA7846" s="43"/>
    </row>
    <row r="7847" spans="2:27" x14ac:dyDescent="0.25">
      <c r="B7847" s="42"/>
      <c r="AA7847" s="43"/>
    </row>
    <row r="7848" spans="2:27" x14ac:dyDescent="0.25">
      <c r="B7848" s="42"/>
      <c r="AA7848" s="43"/>
    </row>
    <row r="7849" spans="2:27" x14ac:dyDescent="0.25">
      <c r="B7849" s="42"/>
      <c r="AA7849" s="43"/>
    </row>
    <row r="7850" spans="2:27" x14ac:dyDescent="0.25">
      <c r="B7850" s="42"/>
      <c r="AA7850" s="43"/>
    </row>
    <row r="7851" spans="2:27" x14ac:dyDescent="0.25">
      <c r="B7851" s="42"/>
      <c r="AA7851" s="43"/>
    </row>
    <row r="7852" spans="2:27" x14ac:dyDescent="0.25">
      <c r="B7852" s="42"/>
      <c r="AA7852" s="43"/>
    </row>
    <row r="7853" spans="2:27" x14ac:dyDescent="0.25">
      <c r="B7853" s="42"/>
      <c r="AA7853" s="43"/>
    </row>
    <row r="7854" spans="2:27" x14ac:dyDescent="0.25">
      <c r="B7854" s="42"/>
      <c r="AA7854" s="43"/>
    </row>
    <row r="7855" spans="2:27" x14ac:dyDescent="0.25">
      <c r="B7855" s="42"/>
      <c r="AA7855" s="43"/>
    </row>
    <row r="7856" spans="2:27" x14ac:dyDescent="0.25">
      <c r="B7856" s="42"/>
      <c r="AA7856" s="43"/>
    </row>
    <row r="7857" spans="2:27" x14ac:dyDescent="0.25">
      <c r="B7857" s="42"/>
      <c r="AA7857" s="43"/>
    </row>
    <row r="7858" spans="2:27" x14ac:dyDescent="0.25">
      <c r="B7858" s="42"/>
      <c r="AA7858" s="43"/>
    </row>
    <row r="7859" spans="2:27" x14ac:dyDescent="0.25">
      <c r="B7859" s="42"/>
      <c r="AA7859" s="43"/>
    </row>
    <row r="7860" spans="2:27" x14ac:dyDescent="0.25">
      <c r="B7860" s="42"/>
      <c r="AA7860" s="43"/>
    </row>
    <row r="7861" spans="2:27" x14ac:dyDescent="0.25">
      <c r="B7861" s="42"/>
      <c r="AA7861" s="43"/>
    </row>
    <row r="7862" spans="2:27" x14ac:dyDescent="0.25">
      <c r="B7862" s="42"/>
      <c r="AA7862" s="43"/>
    </row>
    <row r="7863" spans="2:27" x14ac:dyDescent="0.25">
      <c r="B7863" s="42"/>
      <c r="AA7863" s="43"/>
    </row>
    <row r="7864" spans="2:27" x14ac:dyDescent="0.25">
      <c r="B7864" s="42"/>
      <c r="AA7864" s="43"/>
    </row>
    <row r="7865" spans="2:27" x14ac:dyDescent="0.25">
      <c r="B7865" s="42"/>
      <c r="AA7865" s="43"/>
    </row>
    <row r="7866" spans="2:27" x14ac:dyDescent="0.25">
      <c r="B7866" s="42"/>
      <c r="AA7866" s="43"/>
    </row>
    <row r="7867" spans="2:27" x14ac:dyDescent="0.25">
      <c r="B7867" s="42"/>
      <c r="AA7867" s="43"/>
    </row>
    <row r="7868" spans="2:27" x14ac:dyDescent="0.25">
      <c r="B7868" s="42"/>
      <c r="AA7868" s="43"/>
    </row>
    <row r="7869" spans="2:27" x14ac:dyDescent="0.25">
      <c r="B7869" s="42"/>
      <c r="AA7869" s="43"/>
    </row>
    <row r="7870" spans="2:27" x14ac:dyDescent="0.25">
      <c r="B7870" s="42"/>
      <c r="AA7870" s="43"/>
    </row>
    <row r="7871" spans="2:27" x14ac:dyDescent="0.25">
      <c r="B7871" s="42"/>
      <c r="AA7871" s="43"/>
    </row>
    <row r="7872" spans="2:27" x14ac:dyDescent="0.25">
      <c r="B7872" s="42"/>
      <c r="AA7872" s="43"/>
    </row>
    <row r="7873" spans="2:27" x14ac:dyDescent="0.25">
      <c r="B7873" s="42"/>
      <c r="AA7873" s="43"/>
    </row>
    <row r="7874" spans="2:27" x14ac:dyDescent="0.25">
      <c r="B7874" s="42"/>
      <c r="AA7874" s="43"/>
    </row>
    <row r="7875" spans="2:27" x14ac:dyDescent="0.25">
      <c r="B7875" s="42"/>
      <c r="AA7875" s="43"/>
    </row>
    <row r="7876" spans="2:27" x14ac:dyDescent="0.25">
      <c r="B7876" s="42"/>
      <c r="AA7876" s="43"/>
    </row>
    <row r="7877" spans="2:27" x14ac:dyDescent="0.25">
      <c r="B7877" s="42"/>
      <c r="AA7877" s="43"/>
    </row>
    <row r="7878" spans="2:27" x14ac:dyDescent="0.25">
      <c r="B7878" s="42"/>
      <c r="AA7878" s="43"/>
    </row>
    <row r="7879" spans="2:27" x14ac:dyDescent="0.25">
      <c r="B7879" s="42"/>
      <c r="AA7879" s="43"/>
    </row>
    <row r="7880" spans="2:27" x14ac:dyDescent="0.25">
      <c r="B7880" s="42"/>
      <c r="AA7880" s="43"/>
    </row>
    <row r="7881" spans="2:27" x14ac:dyDescent="0.25">
      <c r="B7881" s="42"/>
      <c r="AA7881" s="43"/>
    </row>
    <row r="7882" spans="2:27" x14ac:dyDescent="0.25">
      <c r="B7882" s="42"/>
      <c r="AA7882" s="43"/>
    </row>
    <row r="7883" spans="2:27" x14ac:dyDescent="0.25">
      <c r="B7883" s="42"/>
      <c r="AA7883" s="43"/>
    </row>
    <row r="7884" spans="2:27" x14ac:dyDescent="0.25">
      <c r="B7884" s="42"/>
      <c r="AA7884" s="43"/>
    </row>
    <row r="7885" spans="2:27" x14ac:dyDescent="0.25">
      <c r="B7885" s="42"/>
      <c r="AA7885" s="43"/>
    </row>
    <row r="7886" spans="2:27" x14ac:dyDescent="0.25">
      <c r="B7886" s="42"/>
      <c r="AA7886" s="43"/>
    </row>
    <row r="7887" spans="2:27" x14ac:dyDescent="0.25">
      <c r="B7887" s="42"/>
      <c r="AA7887" s="43"/>
    </row>
    <row r="7888" spans="2:27" x14ac:dyDescent="0.25">
      <c r="B7888" s="42"/>
      <c r="AA7888" s="43"/>
    </row>
    <row r="7889" spans="2:27" x14ac:dyDescent="0.25">
      <c r="B7889" s="42"/>
      <c r="AA7889" s="43"/>
    </row>
    <row r="7890" spans="2:27" x14ac:dyDescent="0.25">
      <c r="B7890" s="42"/>
      <c r="AA7890" s="43"/>
    </row>
    <row r="7891" spans="2:27" x14ac:dyDescent="0.25">
      <c r="B7891" s="42"/>
      <c r="AA7891" s="43"/>
    </row>
    <row r="7892" spans="2:27" x14ac:dyDescent="0.25">
      <c r="B7892" s="42"/>
      <c r="AA7892" s="43"/>
    </row>
    <row r="7893" spans="2:27" x14ac:dyDescent="0.25">
      <c r="B7893" s="42"/>
      <c r="AA7893" s="43"/>
    </row>
    <row r="7894" spans="2:27" x14ac:dyDescent="0.25">
      <c r="B7894" s="42"/>
      <c r="AA7894" s="43"/>
    </row>
    <row r="7895" spans="2:27" x14ac:dyDescent="0.25">
      <c r="B7895" s="42"/>
      <c r="AA7895" s="43"/>
    </row>
    <row r="7896" spans="2:27" x14ac:dyDescent="0.25">
      <c r="B7896" s="42"/>
      <c r="AA7896" s="43"/>
    </row>
    <row r="7897" spans="2:27" x14ac:dyDescent="0.25">
      <c r="B7897" s="42"/>
      <c r="AA7897" s="43"/>
    </row>
    <row r="7898" spans="2:27" x14ac:dyDescent="0.25">
      <c r="B7898" s="42"/>
      <c r="AA7898" s="43"/>
    </row>
    <row r="7899" spans="2:27" x14ac:dyDescent="0.25">
      <c r="B7899" s="42"/>
      <c r="AA7899" s="43"/>
    </row>
    <row r="7900" spans="2:27" x14ac:dyDescent="0.25">
      <c r="B7900" s="42"/>
      <c r="AA7900" s="43"/>
    </row>
    <row r="7901" spans="2:27" x14ac:dyDescent="0.25">
      <c r="B7901" s="42"/>
      <c r="AA7901" s="43"/>
    </row>
    <row r="7902" spans="2:27" x14ac:dyDescent="0.25">
      <c r="B7902" s="42"/>
      <c r="AA7902" s="43"/>
    </row>
    <row r="7903" spans="2:27" x14ac:dyDescent="0.25">
      <c r="B7903" s="42"/>
      <c r="AA7903" s="43"/>
    </row>
    <row r="7904" spans="2:27" x14ac:dyDescent="0.25">
      <c r="B7904" s="42"/>
      <c r="AA7904" s="43"/>
    </row>
    <row r="7905" spans="2:27" x14ac:dyDescent="0.25">
      <c r="B7905" s="42"/>
      <c r="AA7905" s="43"/>
    </row>
    <row r="7906" spans="2:27" x14ac:dyDescent="0.25">
      <c r="B7906" s="42"/>
      <c r="AA7906" s="43"/>
    </row>
    <row r="7907" spans="2:27" x14ac:dyDescent="0.25">
      <c r="B7907" s="42"/>
      <c r="AA7907" s="43"/>
    </row>
    <row r="7908" spans="2:27" x14ac:dyDescent="0.25">
      <c r="B7908" s="42"/>
      <c r="AA7908" s="43"/>
    </row>
    <row r="7909" spans="2:27" x14ac:dyDescent="0.25">
      <c r="B7909" s="42"/>
      <c r="AA7909" s="43"/>
    </row>
    <row r="7910" spans="2:27" x14ac:dyDescent="0.25">
      <c r="B7910" s="42"/>
      <c r="AA7910" s="43"/>
    </row>
    <row r="7911" spans="2:27" x14ac:dyDescent="0.25">
      <c r="B7911" s="42"/>
      <c r="AA7911" s="43"/>
    </row>
    <row r="7912" spans="2:27" x14ac:dyDescent="0.25">
      <c r="B7912" s="42"/>
      <c r="AA7912" s="43"/>
    </row>
    <row r="7913" spans="2:27" x14ac:dyDescent="0.25">
      <c r="B7913" s="42"/>
      <c r="AA7913" s="43"/>
    </row>
    <row r="7914" spans="2:27" x14ac:dyDescent="0.25">
      <c r="B7914" s="42"/>
      <c r="AA7914" s="43"/>
    </row>
    <row r="7915" spans="2:27" x14ac:dyDescent="0.25">
      <c r="B7915" s="42"/>
      <c r="AA7915" s="43"/>
    </row>
    <row r="7916" spans="2:27" x14ac:dyDescent="0.25">
      <c r="B7916" s="42"/>
      <c r="AA7916" s="43"/>
    </row>
    <row r="7917" spans="2:27" x14ac:dyDescent="0.25">
      <c r="B7917" s="42"/>
      <c r="AA7917" s="43"/>
    </row>
    <row r="7918" spans="2:27" x14ac:dyDescent="0.25">
      <c r="B7918" s="42"/>
      <c r="AA7918" s="43"/>
    </row>
    <row r="7919" spans="2:27" x14ac:dyDescent="0.25">
      <c r="B7919" s="42"/>
      <c r="AA7919" s="43"/>
    </row>
    <row r="7920" spans="2:27" x14ac:dyDescent="0.25">
      <c r="B7920" s="42"/>
      <c r="AA7920" s="43"/>
    </row>
    <row r="7921" spans="2:27" x14ac:dyDescent="0.25">
      <c r="B7921" s="42"/>
      <c r="AA7921" s="43"/>
    </row>
    <row r="7922" spans="2:27" x14ac:dyDescent="0.25">
      <c r="B7922" s="42"/>
      <c r="AA7922" s="43"/>
    </row>
    <row r="7923" spans="2:27" x14ac:dyDescent="0.25">
      <c r="B7923" s="42"/>
      <c r="AA7923" s="43"/>
    </row>
    <row r="7924" spans="2:27" x14ac:dyDescent="0.25">
      <c r="B7924" s="42"/>
      <c r="AA7924" s="43"/>
    </row>
    <row r="7925" spans="2:27" x14ac:dyDescent="0.25">
      <c r="B7925" s="42"/>
      <c r="AA7925" s="43"/>
    </row>
    <row r="7926" spans="2:27" x14ac:dyDescent="0.25">
      <c r="B7926" s="42"/>
      <c r="AA7926" s="43"/>
    </row>
    <row r="7927" spans="2:27" x14ac:dyDescent="0.25">
      <c r="B7927" s="42"/>
      <c r="AA7927" s="43"/>
    </row>
    <row r="7928" spans="2:27" x14ac:dyDescent="0.25">
      <c r="B7928" s="42"/>
      <c r="AA7928" s="43"/>
    </row>
    <row r="7929" spans="2:27" x14ac:dyDescent="0.25">
      <c r="B7929" s="42"/>
      <c r="AA7929" s="43"/>
    </row>
    <row r="7930" spans="2:27" x14ac:dyDescent="0.25">
      <c r="B7930" s="42"/>
      <c r="AA7930" s="43"/>
    </row>
    <row r="7931" spans="2:27" x14ac:dyDescent="0.25">
      <c r="B7931" s="42"/>
      <c r="AA7931" s="43"/>
    </row>
    <row r="7932" spans="2:27" x14ac:dyDescent="0.25">
      <c r="B7932" s="42"/>
      <c r="AA7932" s="43"/>
    </row>
    <row r="7933" spans="2:27" x14ac:dyDescent="0.25">
      <c r="B7933" s="42"/>
      <c r="AA7933" s="43"/>
    </row>
    <row r="7934" spans="2:27" x14ac:dyDescent="0.25">
      <c r="B7934" s="42"/>
      <c r="AA7934" s="43"/>
    </row>
    <row r="7935" spans="2:27" x14ac:dyDescent="0.25">
      <c r="B7935" s="42"/>
      <c r="AA7935" s="43"/>
    </row>
    <row r="7936" spans="2:27" x14ac:dyDescent="0.25">
      <c r="B7936" s="42"/>
      <c r="AA7936" s="43"/>
    </row>
    <row r="7937" spans="2:27" x14ac:dyDescent="0.25">
      <c r="B7937" s="42"/>
      <c r="AA7937" s="43"/>
    </row>
    <row r="7938" spans="2:27" x14ac:dyDescent="0.25">
      <c r="B7938" s="42"/>
      <c r="AA7938" s="43"/>
    </row>
    <row r="7939" spans="2:27" x14ac:dyDescent="0.25">
      <c r="B7939" s="42"/>
      <c r="AA7939" s="43"/>
    </row>
    <row r="7940" spans="2:27" x14ac:dyDescent="0.25">
      <c r="B7940" s="42"/>
      <c r="AA7940" s="43"/>
    </row>
    <row r="7941" spans="2:27" x14ac:dyDescent="0.25">
      <c r="B7941" s="42"/>
      <c r="AA7941" s="43"/>
    </row>
    <row r="7942" spans="2:27" x14ac:dyDescent="0.25">
      <c r="B7942" s="42"/>
      <c r="AA7942" s="43"/>
    </row>
    <row r="7943" spans="2:27" x14ac:dyDescent="0.25">
      <c r="B7943" s="42"/>
      <c r="AA7943" s="43"/>
    </row>
    <row r="7944" spans="2:27" x14ac:dyDescent="0.25">
      <c r="B7944" s="42"/>
      <c r="AA7944" s="43"/>
    </row>
    <row r="7945" spans="2:27" x14ac:dyDescent="0.25">
      <c r="B7945" s="42"/>
      <c r="AA7945" s="43"/>
    </row>
    <row r="7946" spans="2:27" x14ac:dyDescent="0.25">
      <c r="B7946" s="42"/>
      <c r="AA7946" s="43"/>
    </row>
    <row r="7947" spans="2:27" x14ac:dyDescent="0.25">
      <c r="B7947" s="42"/>
      <c r="AA7947" s="43"/>
    </row>
    <row r="7948" spans="2:27" x14ac:dyDescent="0.25">
      <c r="B7948" s="42"/>
      <c r="AA7948" s="43"/>
    </row>
    <row r="7949" spans="2:27" x14ac:dyDescent="0.25">
      <c r="B7949" s="42"/>
      <c r="AA7949" s="43"/>
    </row>
    <row r="7950" spans="2:27" x14ac:dyDescent="0.25">
      <c r="B7950" s="42"/>
      <c r="AA7950" s="43"/>
    </row>
    <row r="7951" spans="2:27" x14ac:dyDescent="0.25">
      <c r="B7951" s="42"/>
      <c r="AA7951" s="43"/>
    </row>
    <row r="7952" spans="2:27" x14ac:dyDescent="0.25">
      <c r="B7952" s="42"/>
      <c r="AA7952" s="43"/>
    </row>
    <row r="7953" spans="2:27" x14ac:dyDescent="0.25">
      <c r="B7953" s="42"/>
      <c r="AA7953" s="43"/>
    </row>
    <row r="7954" spans="2:27" x14ac:dyDescent="0.25">
      <c r="B7954" s="42"/>
      <c r="AA7954" s="43"/>
    </row>
    <row r="7955" spans="2:27" x14ac:dyDescent="0.25">
      <c r="B7955" s="42"/>
      <c r="AA7955" s="43"/>
    </row>
    <row r="7956" spans="2:27" x14ac:dyDescent="0.25">
      <c r="B7956" s="42"/>
      <c r="AA7956" s="43"/>
    </row>
    <row r="7957" spans="2:27" x14ac:dyDescent="0.25">
      <c r="B7957" s="42"/>
      <c r="AA7957" s="43"/>
    </row>
    <row r="7958" spans="2:27" x14ac:dyDescent="0.25">
      <c r="B7958" s="42"/>
      <c r="AA7958" s="43"/>
    </row>
    <row r="7959" spans="2:27" x14ac:dyDescent="0.25">
      <c r="B7959" s="42"/>
      <c r="AA7959" s="43"/>
    </row>
    <row r="7960" spans="2:27" x14ac:dyDescent="0.25">
      <c r="B7960" s="42"/>
      <c r="AA7960" s="43"/>
    </row>
    <row r="7961" spans="2:27" x14ac:dyDescent="0.25">
      <c r="B7961" s="42"/>
      <c r="AA7961" s="43"/>
    </row>
    <row r="7962" spans="2:27" x14ac:dyDescent="0.25">
      <c r="B7962" s="42"/>
      <c r="AA7962" s="43"/>
    </row>
    <row r="7963" spans="2:27" x14ac:dyDescent="0.25">
      <c r="B7963" s="42"/>
      <c r="AA7963" s="43"/>
    </row>
    <row r="7964" spans="2:27" x14ac:dyDescent="0.25">
      <c r="B7964" s="42"/>
      <c r="AA7964" s="43"/>
    </row>
    <row r="7965" spans="2:27" x14ac:dyDescent="0.25">
      <c r="B7965" s="42"/>
      <c r="AA7965" s="43"/>
    </row>
    <row r="7966" spans="2:27" x14ac:dyDescent="0.25">
      <c r="B7966" s="42"/>
      <c r="AA7966" s="43"/>
    </row>
    <row r="7967" spans="2:27" x14ac:dyDescent="0.25">
      <c r="B7967" s="42"/>
      <c r="AA7967" s="43"/>
    </row>
    <row r="7968" spans="2:27" x14ac:dyDescent="0.25">
      <c r="B7968" s="42"/>
      <c r="AA7968" s="43"/>
    </row>
    <row r="7969" spans="2:27" x14ac:dyDescent="0.25">
      <c r="B7969" s="42"/>
      <c r="AA7969" s="43"/>
    </row>
    <row r="7970" spans="2:27" x14ac:dyDescent="0.25">
      <c r="B7970" s="42"/>
      <c r="AA7970" s="43"/>
    </row>
    <row r="7971" spans="2:27" x14ac:dyDescent="0.25">
      <c r="B7971" s="42"/>
      <c r="AA7971" s="43"/>
    </row>
    <row r="7972" spans="2:27" x14ac:dyDescent="0.25">
      <c r="B7972" s="42"/>
      <c r="AA7972" s="43"/>
    </row>
    <row r="7973" spans="2:27" x14ac:dyDescent="0.25">
      <c r="B7973" s="42"/>
      <c r="AA7973" s="43"/>
    </row>
    <row r="7974" spans="2:27" x14ac:dyDescent="0.25">
      <c r="B7974" s="42"/>
      <c r="AA7974" s="43"/>
    </row>
    <row r="7975" spans="2:27" x14ac:dyDescent="0.25">
      <c r="B7975" s="42"/>
      <c r="AA7975" s="43"/>
    </row>
    <row r="7976" spans="2:27" x14ac:dyDescent="0.25">
      <c r="B7976" s="42"/>
      <c r="AA7976" s="43"/>
    </row>
    <row r="7977" spans="2:27" x14ac:dyDescent="0.25">
      <c r="B7977" s="42"/>
      <c r="AA7977" s="43"/>
    </row>
    <row r="7978" spans="2:27" x14ac:dyDescent="0.25">
      <c r="B7978" s="42"/>
      <c r="AA7978" s="43"/>
    </row>
    <row r="7979" spans="2:27" x14ac:dyDescent="0.25">
      <c r="B7979" s="42"/>
      <c r="AA7979" s="43"/>
    </row>
    <row r="7980" spans="2:27" x14ac:dyDescent="0.25">
      <c r="B7980" s="42"/>
      <c r="AA7980" s="43"/>
    </row>
    <row r="7981" spans="2:27" x14ac:dyDescent="0.25">
      <c r="B7981" s="42"/>
      <c r="AA7981" s="43"/>
    </row>
    <row r="7982" spans="2:27" x14ac:dyDescent="0.25">
      <c r="B7982" s="42"/>
      <c r="AA7982" s="43"/>
    </row>
    <row r="7983" spans="2:27" x14ac:dyDescent="0.25">
      <c r="B7983" s="42"/>
      <c r="AA7983" s="43"/>
    </row>
    <row r="7984" spans="2:27" x14ac:dyDescent="0.25">
      <c r="B7984" s="42"/>
      <c r="AA7984" s="43"/>
    </row>
    <row r="7985" spans="2:27" x14ac:dyDescent="0.25">
      <c r="B7985" s="42"/>
      <c r="AA7985" s="43"/>
    </row>
    <row r="7986" spans="2:27" x14ac:dyDescent="0.25">
      <c r="B7986" s="42"/>
      <c r="AA7986" s="43"/>
    </row>
    <row r="7987" spans="2:27" x14ac:dyDescent="0.25">
      <c r="B7987" s="42"/>
      <c r="AA7987" s="43"/>
    </row>
    <row r="7988" spans="2:27" x14ac:dyDescent="0.25">
      <c r="B7988" s="42"/>
      <c r="AA7988" s="43"/>
    </row>
    <row r="7989" spans="2:27" x14ac:dyDescent="0.25">
      <c r="B7989" s="42"/>
      <c r="AA7989" s="43"/>
    </row>
    <row r="7990" spans="2:27" x14ac:dyDescent="0.25">
      <c r="B7990" s="42"/>
      <c r="AA7990" s="43"/>
    </row>
    <row r="7991" spans="2:27" x14ac:dyDescent="0.25">
      <c r="B7991" s="42"/>
      <c r="AA7991" s="43"/>
    </row>
    <row r="7992" spans="2:27" x14ac:dyDescent="0.25">
      <c r="B7992" s="42"/>
      <c r="AA7992" s="43"/>
    </row>
    <row r="7993" spans="2:27" x14ac:dyDescent="0.25">
      <c r="B7993" s="42"/>
      <c r="AA7993" s="43"/>
    </row>
    <row r="7994" spans="2:27" x14ac:dyDescent="0.25">
      <c r="B7994" s="42"/>
      <c r="AA7994" s="43"/>
    </row>
    <row r="7995" spans="2:27" x14ac:dyDescent="0.25">
      <c r="B7995" s="42"/>
      <c r="AA7995" s="43"/>
    </row>
    <row r="7996" spans="2:27" x14ac:dyDescent="0.25">
      <c r="B7996" s="42"/>
      <c r="AA7996" s="43"/>
    </row>
    <row r="7997" spans="2:27" x14ac:dyDescent="0.25">
      <c r="B7997" s="42"/>
      <c r="AA7997" s="43"/>
    </row>
    <row r="7998" spans="2:27" x14ac:dyDescent="0.25">
      <c r="B7998" s="42"/>
      <c r="AA7998" s="43"/>
    </row>
    <row r="7999" spans="2:27" x14ac:dyDescent="0.25">
      <c r="B7999" s="42"/>
      <c r="AA7999" s="43"/>
    </row>
    <row r="8000" spans="2:27" x14ac:dyDescent="0.25">
      <c r="B8000" s="42"/>
      <c r="AA8000" s="43"/>
    </row>
    <row r="8001" spans="2:27" x14ac:dyDescent="0.25">
      <c r="B8001" s="42"/>
      <c r="AA8001" s="43"/>
    </row>
    <row r="8002" spans="2:27" x14ac:dyDescent="0.25">
      <c r="B8002" s="42"/>
      <c r="AA8002" s="43"/>
    </row>
    <row r="8003" spans="2:27" x14ac:dyDescent="0.25">
      <c r="B8003" s="42"/>
      <c r="AA8003" s="43"/>
    </row>
    <row r="8004" spans="2:27" x14ac:dyDescent="0.25">
      <c r="B8004" s="42"/>
      <c r="AA8004" s="43"/>
    </row>
    <row r="8005" spans="2:27" x14ac:dyDescent="0.25">
      <c r="B8005" s="42"/>
      <c r="AA8005" s="43"/>
    </row>
    <row r="8006" spans="2:27" x14ac:dyDescent="0.25">
      <c r="B8006" s="42"/>
      <c r="AA8006" s="43"/>
    </row>
    <row r="8007" spans="2:27" x14ac:dyDescent="0.25">
      <c r="B8007" s="42"/>
      <c r="AA8007" s="43"/>
    </row>
    <row r="8008" spans="2:27" x14ac:dyDescent="0.25">
      <c r="B8008" s="42"/>
      <c r="AA8008" s="43"/>
    </row>
    <row r="8009" spans="2:27" x14ac:dyDescent="0.25">
      <c r="B8009" s="42"/>
      <c r="AA8009" s="43"/>
    </row>
    <row r="8010" spans="2:27" x14ac:dyDescent="0.25">
      <c r="B8010" s="42"/>
      <c r="AA8010" s="43"/>
    </row>
    <row r="8011" spans="2:27" x14ac:dyDescent="0.25">
      <c r="B8011" s="42"/>
      <c r="AA8011" s="43"/>
    </row>
    <row r="8012" spans="2:27" x14ac:dyDescent="0.25">
      <c r="B8012" s="42"/>
      <c r="AA8012" s="43"/>
    </row>
    <row r="8013" spans="2:27" x14ac:dyDescent="0.25">
      <c r="B8013" s="42"/>
      <c r="AA8013" s="43"/>
    </row>
    <row r="8014" spans="2:27" x14ac:dyDescent="0.25">
      <c r="B8014" s="42"/>
      <c r="AA8014" s="43"/>
    </row>
    <row r="8015" spans="2:27" x14ac:dyDescent="0.25">
      <c r="B8015" s="42"/>
      <c r="AA8015" s="43"/>
    </row>
    <row r="8016" spans="2:27" x14ac:dyDescent="0.25">
      <c r="B8016" s="42"/>
      <c r="AA8016" s="43"/>
    </row>
    <row r="8017" spans="2:27" x14ac:dyDescent="0.25">
      <c r="B8017" s="42"/>
      <c r="AA8017" s="43"/>
    </row>
    <row r="8018" spans="2:27" x14ac:dyDescent="0.25">
      <c r="B8018" s="42"/>
      <c r="AA8018" s="43"/>
    </row>
    <row r="8019" spans="2:27" x14ac:dyDescent="0.25">
      <c r="B8019" s="42"/>
      <c r="AA8019" s="43"/>
    </row>
    <row r="8020" spans="2:27" x14ac:dyDescent="0.25">
      <c r="B8020" s="42"/>
      <c r="AA8020" s="43"/>
    </row>
    <row r="8021" spans="2:27" x14ac:dyDescent="0.25">
      <c r="B8021" s="42"/>
      <c r="AA8021" s="43"/>
    </row>
    <row r="8022" spans="2:27" x14ac:dyDescent="0.25">
      <c r="B8022" s="42"/>
      <c r="AA8022" s="43"/>
    </row>
    <row r="8023" spans="2:27" x14ac:dyDescent="0.25">
      <c r="B8023" s="42"/>
      <c r="AA8023" s="43"/>
    </row>
    <row r="8024" spans="2:27" x14ac:dyDescent="0.25">
      <c r="B8024" s="42"/>
      <c r="AA8024" s="43"/>
    </row>
    <row r="8025" spans="2:27" x14ac:dyDescent="0.25">
      <c r="B8025" s="42"/>
      <c r="AA8025" s="43"/>
    </row>
    <row r="8026" spans="2:27" x14ac:dyDescent="0.25">
      <c r="B8026" s="42"/>
      <c r="AA8026" s="43"/>
    </row>
    <row r="8027" spans="2:27" x14ac:dyDescent="0.25">
      <c r="B8027" s="42"/>
      <c r="AA8027" s="43"/>
    </row>
    <row r="8028" spans="2:27" x14ac:dyDescent="0.25">
      <c r="B8028" s="42"/>
      <c r="AA8028" s="43"/>
    </row>
    <row r="8029" spans="2:27" x14ac:dyDescent="0.25">
      <c r="B8029" s="42"/>
      <c r="AA8029" s="43"/>
    </row>
    <row r="8030" spans="2:27" x14ac:dyDescent="0.25">
      <c r="B8030" s="42"/>
      <c r="AA8030" s="43"/>
    </row>
    <row r="8031" spans="2:27" x14ac:dyDescent="0.25">
      <c r="B8031" s="42"/>
      <c r="AA8031" s="43"/>
    </row>
    <row r="8032" spans="2:27" x14ac:dyDescent="0.25">
      <c r="B8032" s="42"/>
      <c r="AA8032" s="43"/>
    </row>
    <row r="8033" spans="2:27" x14ac:dyDescent="0.25">
      <c r="B8033" s="42"/>
      <c r="AA8033" s="43"/>
    </row>
    <row r="8034" spans="2:27" x14ac:dyDescent="0.25">
      <c r="B8034" s="42"/>
      <c r="AA8034" s="43"/>
    </row>
    <row r="8035" spans="2:27" x14ac:dyDescent="0.25">
      <c r="B8035" s="42"/>
      <c r="AA8035" s="43"/>
    </row>
    <row r="8036" spans="2:27" x14ac:dyDescent="0.25">
      <c r="B8036" s="42"/>
      <c r="AA8036" s="43"/>
    </row>
    <row r="8037" spans="2:27" x14ac:dyDescent="0.25">
      <c r="B8037" s="42"/>
      <c r="AA8037" s="43"/>
    </row>
    <row r="8038" spans="2:27" x14ac:dyDescent="0.25">
      <c r="B8038" s="42"/>
      <c r="AA8038" s="43"/>
    </row>
    <row r="8039" spans="2:27" x14ac:dyDescent="0.25">
      <c r="B8039" s="42"/>
      <c r="AA8039" s="43"/>
    </row>
    <row r="8040" spans="2:27" x14ac:dyDescent="0.25">
      <c r="B8040" s="42"/>
      <c r="AA8040" s="43"/>
    </row>
    <row r="8041" spans="2:27" x14ac:dyDescent="0.25">
      <c r="B8041" s="42"/>
      <c r="AA8041" s="43"/>
    </row>
    <row r="8042" spans="2:27" x14ac:dyDescent="0.25">
      <c r="B8042" s="42"/>
      <c r="AA8042" s="43"/>
    </row>
    <row r="8043" spans="2:27" x14ac:dyDescent="0.25">
      <c r="B8043" s="42"/>
      <c r="AA8043" s="43"/>
    </row>
    <row r="8044" spans="2:27" x14ac:dyDescent="0.25">
      <c r="B8044" s="42"/>
      <c r="AA8044" s="43"/>
    </row>
    <row r="8045" spans="2:27" x14ac:dyDescent="0.25">
      <c r="B8045" s="42"/>
      <c r="AA8045" s="43"/>
    </row>
    <row r="8046" spans="2:27" x14ac:dyDescent="0.25">
      <c r="B8046" s="42"/>
      <c r="AA8046" s="43"/>
    </row>
    <row r="8047" spans="2:27" x14ac:dyDescent="0.25">
      <c r="B8047" s="42"/>
      <c r="AA8047" s="43"/>
    </row>
    <row r="8048" spans="2:27" x14ac:dyDescent="0.25">
      <c r="B8048" s="42"/>
      <c r="AA8048" s="43"/>
    </row>
    <row r="8049" spans="2:27" x14ac:dyDescent="0.25">
      <c r="B8049" s="42"/>
      <c r="AA8049" s="43"/>
    </row>
    <row r="8050" spans="2:27" x14ac:dyDescent="0.25">
      <c r="B8050" s="42"/>
      <c r="AA8050" s="43"/>
    </row>
    <row r="8051" spans="2:27" x14ac:dyDescent="0.25">
      <c r="B8051" s="42"/>
      <c r="AA8051" s="43"/>
    </row>
    <row r="8052" spans="2:27" x14ac:dyDescent="0.25">
      <c r="B8052" s="42"/>
      <c r="AA8052" s="43"/>
    </row>
    <row r="8053" spans="2:27" x14ac:dyDescent="0.25">
      <c r="B8053" s="42"/>
      <c r="AA8053" s="43"/>
    </row>
    <row r="8054" spans="2:27" x14ac:dyDescent="0.25">
      <c r="B8054" s="42"/>
      <c r="AA8054" s="43"/>
    </row>
    <row r="8055" spans="2:27" x14ac:dyDescent="0.25">
      <c r="B8055" s="42"/>
      <c r="AA8055" s="43"/>
    </row>
    <row r="8056" spans="2:27" x14ac:dyDescent="0.25">
      <c r="B8056" s="42"/>
      <c r="AA8056" s="43"/>
    </row>
    <row r="8057" spans="2:27" x14ac:dyDescent="0.25">
      <c r="B8057" s="42"/>
      <c r="AA8057" s="43"/>
    </row>
    <row r="8058" spans="2:27" x14ac:dyDescent="0.25">
      <c r="B8058" s="42"/>
      <c r="AA8058" s="43"/>
    </row>
    <row r="8059" spans="2:27" x14ac:dyDescent="0.25">
      <c r="B8059" s="42"/>
      <c r="AA8059" s="43"/>
    </row>
    <row r="8060" spans="2:27" x14ac:dyDescent="0.25">
      <c r="B8060" s="42"/>
      <c r="AA8060" s="43"/>
    </row>
    <row r="8061" spans="2:27" x14ac:dyDescent="0.25">
      <c r="B8061" s="42"/>
      <c r="AA8061" s="43"/>
    </row>
    <row r="8062" spans="2:27" x14ac:dyDescent="0.25">
      <c r="B8062" s="42"/>
      <c r="AA8062" s="43"/>
    </row>
    <row r="8063" spans="2:27" x14ac:dyDescent="0.25">
      <c r="B8063" s="42"/>
      <c r="AA8063" s="43"/>
    </row>
    <row r="8064" spans="2:27" x14ac:dyDescent="0.25">
      <c r="B8064" s="42"/>
      <c r="AA8064" s="43"/>
    </row>
    <row r="8065" spans="2:27" x14ac:dyDescent="0.25">
      <c r="B8065" s="42"/>
      <c r="AA8065" s="43"/>
    </row>
    <row r="8066" spans="2:27" x14ac:dyDescent="0.25">
      <c r="B8066" s="42"/>
      <c r="AA8066" s="43"/>
    </row>
    <row r="8067" spans="2:27" x14ac:dyDescent="0.25">
      <c r="B8067" s="42"/>
      <c r="AA8067" s="43"/>
    </row>
    <row r="8068" spans="2:27" x14ac:dyDescent="0.25">
      <c r="B8068" s="42"/>
      <c r="AA8068" s="43"/>
    </row>
    <row r="8069" spans="2:27" x14ac:dyDescent="0.25">
      <c r="B8069" s="42"/>
      <c r="AA8069" s="43"/>
    </row>
    <row r="8070" spans="2:27" x14ac:dyDescent="0.25">
      <c r="B8070" s="42"/>
      <c r="AA8070" s="43"/>
    </row>
    <row r="8071" spans="2:27" x14ac:dyDescent="0.25">
      <c r="B8071" s="42"/>
      <c r="AA8071" s="43"/>
    </row>
    <row r="8072" spans="2:27" x14ac:dyDescent="0.25">
      <c r="B8072" s="42"/>
      <c r="AA8072" s="43"/>
    </row>
    <row r="8073" spans="2:27" x14ac:dyDescent="0.25">
      <c r="B8073" s="42"/>
      <c r="AA8073" s="43"/>
    </row>
    <row r="8074" spans="2:27" x14ac:dyDescent="0.25">
      <c r="B8074" s="42"/>
      <c r="AA8074" s="43"/>
    </row>
    <row r="8075" spans="2:27" x14ac:dyDescent="0.25">
      <c r="B8075" s="42"/>
      <c r="AA8075" s="43"/>
    </row>
    <row r="8076" spans="2:27" x14ac:dyDescent="0.25">
      <c r="B8076" s="42"/>
      <c r="AA8076" s="43"/>
    </row>
    <row r="8077" spans="2:27" x14ac:dyDescent="0.25">
      <c r="B8077" s="42"/>
      <c r="AA8077" s="43"/>
    </row>
    <row r="8078" spans="2:27" x14ac:dyDescent="0.25">
      <c r="B8078" s="42"/>
      <c r="AA8078" s="43"/>
    </row>
    <row r="8079" spans="2:27" x14ac:dyDescent="0.25">
      <c r="B8079" s="42"/>
      <c r="AA8079" s="43"/>
    </row>
    <row r="8080" spans="2:27" x14ac:dyDescent="0.25">
      <c r="B8080" s="42"/>
      <c r="AA8080" s="43"/>
    </row>
    <row r="8081" spans="2:27" x14ac:dyDescent="0.25">
      <c r="B8081" s="42"/>
      <c r="AA8081" s="43"/>
    </row>
    <row r="8082" spans="2:27" x14ac:dyDescent="0.25">
      <c r="B8082" s="42"/>
      <c r="AA8082" s="43"/>
    </row>
    <row r="8083" spans="2:27" x14ac:dyDescent="0.25">
      <c r="B8083" s="42"/>
      <c r="AA8083" s="43"/>
    </row>
    <row r="8084" spans="2:27" x14ac:dyDescent="0.25">
      <c r="B8084" s="42"/>
      <c r="AA8084" s="43"/>
    </row>
    <row r="8085" spans="2:27" x14ac:dyDescent="0.25">
      <c r="B8085" s="42"/>
      <c r="AA8085" s="43"/>
    </row>
    <row r="8086" spans="2:27" x14ac:dyDescent="0.25">
      <c r="B8086" s="42"/>
      <c r="AA8086" s="43"/>
    </row>
    <row r="8087" spans="2:27" x14ac:dyDescent="0.25">
      <c r="B8087" s="42"/>
      <c r="AA8087" s="43"/>
    </row>
    <row r="8088" spans="2:27" x14ac:dyDescent="0.25">
      <c r="B8088" s="42"/>
      <c r="AA8088" s="43"/>
    </row>
    <row r="8089" spans="2:27" x14ac:dyDescent="0.25">
      <c r="B8089" s="42"/>
      <c r="AA8089" s="43"/>
    </row>
    <row r="8090" spans="2:27" x14ac:dyDescent="0.25">
      <c r="B8090" s="42"/>
      <c r="AA8090" s="43"/>
    </row>
    <row r="8091" spans="2:27" x14ac:dyDescent="0.25">
      <c r="B8091" s="42"/>
      <c r="AA8091" s="43"/>
    </row>
    <row r="8092" spans="2:27" x14ac:dyDescent="0.25">
      <c r="B8092" s="42"/>
      <c r="AA8092" s="43"/>
    </row>
    <row r="8093" spans="2:27" x14ac:dyDescent="0.25">
      <c r="B8093" s="42"/>
      <c r="AA8093" s="43"/>
    </row>
    <row r="8094" spans="2:27" x14ac:dyDescent="0.25">
      <c r="B8094" s="42"/>
      <c r="AA8094" s="43"/>
    </row>
    <row r="8095" spans="2:27" x14ac:dyDescent="0.25">
      <c r="B8095" s="42"/>
      <c r="AA8095" s="43"/>
    </row>
    <row r="8096" spans="2:27" x14ac:dyDescent="0.25">
      <c r="B8096" s="42"/>
      <c r="AA8096" s="43"/>
    </row>
    <row r="8097" spans="2:27" x14ac:dyDescent="0.25">
      <c r="B8097" s="42"/>
      <c r="AA8097" s="43"/>
    </row>
    <row r="8098" spans="2:27" x14ac:dyDescent="0.25">
      <c r="B8098" s="42"/>
      <c r="AA8098" s="43"/>
    </row>
    <row r="8099" spans="2:27" x14ac:dyDescent="0.25">
      <c r="B8099" s="42"/>
      <c r="AA8099" s="43"/>
    </row>
    <row r="8100" spans="2:27" x14ac:dyDescent="0.25">
      <c r="B8100" s="42"/>
      <c r="AA8100" s="43"/>
    </row>
    <row r="8101" spans="2:27" x14ac:dyDescent="0.25">
      <c r="B8101" s="42"/>
      <c r="AA8101" s="43"/>
    </row>
    <row r="8102" spans="2:27" x14ac:dyDescent="0.25">
      <c r="B8102" s="42"/>
      <c r="AA8102" s="43"/>
    </row>
    <row r="8103" spans="2:27" x14ac:dyDescent="0.25">
      <c r="B8103" s="42"/>
      <c r="AA8103" s="43"/>
    </row>
    <row r="8104" spans="2:27" x14ac:dyDescent="0.25">
      <c r="B8104" s="42"/>
      <c r="AA8104" s="43"/>
    </row>
    <row r="8105" spans="2:27" x14ac:dyDescent="0.25">
      <c r="B8105" s="42"/>
      <c r="AA8105" s="43"/>
    </row>
    <row r="8106" spans="2:27" x14ac:dyDescent="0.25">
      <c r="B8106" s="42"/>
      <c r="AA8106" s="43"/>
    </row>
    <row r="8107" spans="2:27" x14ac:dyDescent="0.25">
      <c r="B8107" s="42"/>
      <c r="AA8107" s="43"/>
    </row>
    <row r="8108" spans="2:27" x14ac:dyDescent="0.25">
      <c r="B8108" s="42"/>
      <c r="AA8108" s="43"/>
    </row>
    <row r="8109" spans="2:27" x14ac:dyDescent="0.25">
      <c r="B8109" s="42"/>
      <c r="AA8109" s="43"/>
    </row>
    <row r="8110" spans="2:27" x14ac:dyDescent="0.25">
      <c r="B8110" s="42"/>
      <c r="AA8110" s="43"/>
    </row>
    <row r="8111" spans="2:27" x14ac:dyDescent="0.25">
      <c r="B8111" s="42"/>
      <c r="AA8111" s="43"/>
    </row>
    <row r="8112" spans="2:27" x14ac:dyDescent="0.25">
      <c r="B8112" s="42"/>
      <c r="AA8112" s="43"/>
    </row>
    <row r="8113" spans="2:27" x14ac:dyDescent="0.25">
      <c r="B8113" s="42"/>
      <c r="AA8113" s="43"/>
    </row>
    <row r="8114" spans="2:27" x14ac:dyDescent="0.25">
      <c r="B8114" s="42"/>
      <c r="AA8114" s="43"/>
    </row>
    <row r="8115" spans="2:27" x14ac:dyDescent="0.25">
      <c r="B8115" s="42"/>
      <c r="AA8115" s="43"/>
    </row>
    <row r="8116" spans="2:27" x14ac:dyDescent="0.25">
      <c r="B8116" s="42"/>
      <c r="AA8116" s="43"/>
    </row>
    <row r="8117" spans="2:27" x14ac:dyDescent="0.25">
      <c r="B8117" s="42"/>
      <c r="AA8117" s="43"/>
    </row>
    <row r="8118" spans="2:27" x14ac:dyDescent="0.25">
      <c r="B8118" s="42"/>
      <c r="AA8118" s="43"/>
    </row>
    <row r="8119" spans="2:27" x14ac:dyDescent="0.25">
      <c r="B8119" s="42"/>
      <c r="AA8119" s="43"/>
    </row>
    <row r="8120" spans="2:27" x14ac:dyDescent="0.25">
      <c r="B8120" s="42"/>
      <c r="AA8120" s="43"/>
    </row>
    <row r="8121" spans="2:27" x14ac:dyDescent="0.25">
      <c r="B8121" s="42"/>
      <c r="AA8121" s="43"/>
    </row>
    <row r="8122" spans="2:27" x14ac:dyDescent="0.25">
      <c r="B8122" s="42"/>
      <c r="AA8122" s="43"/>
    </row>
    <row r="8123" spans="2:27" x14ac:dyDescent="0.25">
      <c r="B8123" s="42"/>
      <c r="AA8123" s="43"/>
    </row>
    <row r="8124" spans="2:27" x14ac:dyDescent="0.25">
      <c r="B8124" s="42"/>
      <c r="AA8124" s="43"/>
    </row>
    <row r="8125" spans="2:27" x14ac:dyDescent="0.25">
      <c r="B8125" s="42"/>
      <c r="AA8125" s="43"/>
    </row>
    <row r="8126" spans="2:27" x14ac:dyDescent="0.25">
      <c r="B8126" s="42"/>
      <c r="AA8126" s="43"/>
    </row>
    <row r="8127" spans="2:27" x14ac:dyDescent="0.25">
      <c r="B8127" s="42"/>
      <c r="AA8127" s="43"/>
    </row>
    <row r="8128" spans="2:27" x14ac:dyDescent="0.25">
      <c r="B8128" s="42"/>
      <c r="AA8128" s="43"/>
    </row>
    <row r="8129" spans="2:27" x14ac:dyDescent="0.25">
      <c r="B8129" s="42"/>
      <c r="AA8129" s="43"/>
    </row>
    <row r="8130" spans="2:27" x14ac:dyDescent="0.25">
      <c r="B8130" s="42"/>
      <c r="AA8130" s="43"/>
    </row>
    <row r="8131" spans="2:27" x14ac:dyDescent="0.25">
      <c r="B8131" s="42"/>
      <c r="AA8131" s="43"/>
    </row>
    <row r="8132" spans="2:27" x14ac:dyDescent="0.25">
      <c r="B8132" s="42"/>
      <c r="AA8132" s="43"/>
    </row>
    <row r="8133" spans="2:27" x14ac:dyDescent="0.25">
      <c r="B8133" s="42"/>
      <c r="AA8133" s="43"/>
    </row>
    <row r="8134" spans="2:27" x14ac:dyDescent="0.25">
      <c r="B8134" s="42"/>
      <c r="AA8134" s="43"/>
    </row>
    <row r="8135" spans="2:27" x14ac:dyDescent="0.25">
      <c r="B8135" s="42"/>
      <c r="AA8135" s="43"/>
    </row>
    <row r="8136" spans="2:27" x14ac:dyDescent="0.25">
      <c r="B8136" s="42"/>
      <c r="AA8136" s="43"/>
    </row>
    <row r="8137" spans="2:27" x14ac:dyDescent="0.25">
      <c r="B8137" s="42"/>
      <c r="AA8137" s="43"/>
    </row>
    <row r="8138" spans="2:27" x14ac:dyDescent="0.25">
      <c r="B8138" s="42"/>
      <c r="AA8138" s="43"/>
    </row>
    <row r="8139" spans="2:27" x14ac:dyDescent="0.25">
      <c r="B8139" s="42"/>
      <c r="AA8139" s="43"/>
    </row>
    <row r="8140" spans="2:27" x14ac:dyDescent="0.25">
      <c r="B8140" s="42"/>
      <c r="AA8140" s="43"/>
    </row>
    <row r="8141" spans="2:27" x14ac:dyDescent="0.25">
      <c r="B8141" s="42"/>
      <c r="AA8141" s="43"/>
    </row>
    <row r="8142" spans="2:27" x14ac:dyDescent="0.25">
      <c r="B8142" s="42"/>
      <c r="AA8142" s="43"/>
    </row>
    <row r="8143" spans="2:27" x14ac:dyDescent="0.25">
      <c r="B8143" s="42"/>
      <c r="AA8143" s="43"/>
    </row>
    <row r="8144" spans="2:27" x14ac:dyDescent="0.25">
      <c r="B8144" s="42"/>
      <c r="AA8144" s="43"/>
    </row>
    <row r="8145" spans="2:27" x14ac:dyDescent="0.25">
      <c r="B8145" s="42"/>
      <c r="AA8145" s="43"/>
    </row>
    <row r="8146" spans="2:27" x14ac:dyDescent="0.25">
      <c r="B8146" s="42"/>
      <c r="AA8146" s="43"/>
    </row>
    <row r="8147" spans="2:27" x14ac:dyDescent="0.25">
      <c r="B8147" s="42"/>
      <c r="AA8147" s="43"/>
    </row>
    <row r="8148" spans="2:27" x14ac:dyDescent="0.25">
      <c r="B8148" s="42"/>
      <c r="AA8148" s="43"/>
    </row>
    <row r="8149" spans="2:27" x14ac:dyDescent="0.25">
      <c r="B8149" s="42"/>
      <c r="AA8149" s="43"/>
    </row>
    <row r="8150" spans="2:27" x14ac:dyDescent="0.25">
      <c r="B8150" s="42"/>
      <c r="AA8150" s="43"/>
    </row>
    <row r="8151" spans="2:27" x14ac:dyDescent="0.25">
      <c r="B8151" s="42"/>
      <c r="AA8151" s="43"/>
    </row>
    <row r="8152" spans="2:27" x14ac:dyDescent="0.25">
      <c r="B8152" s="42"/>
      <c r="AA8152" s="43"/>
    </row>
    <row r="8153" spans="2:27" x14ac:dyDescent="0.25">
      <c r="B8153" s="42"/>
      <c r="AA8153" s="43"/>
    </row>
    <row r="8154" spans="2:27" x14ac:dyDescent="0.25">
      <c r="B8154" s="42"/>
      <c r="AA8154" s="43"/>
    </row>
    <row r="8155" spans="2:27" x14ac:dyDescent="0.25">
      <c r="B8155" s="42"/>
      <c r="AA8155" s="43"/>
    </row>
    <row r="8156" spans="2:27" x14ac:dyDescent="0.25">
      <c r="B8156" s="42"/>
      <c r="AA8156" s="43"/>
    </row>
    <row r="8157" spans="2:27" x14ac:dyDescent="0.25">
      <c r="B8157" s="42"/>
      <c r="AA8157" s="43"/>
    </row>
    <row r="8158" spans="2:27" x14ac:dyDescent="0.25">
      <c r="B8158" s="42"/>
      <c r="AA8158" s="43"/>
    </row>
    <row r="8159" spans="2:27" x14ac:dyDescent="0.25">
      <c r="B8159" s="42"/>
      <c r="AA8159" s="43"/>
    </row>
    <row r="8160" spans="2:27" x14ac:dyDescent="0.25">
      <c r="B8160" s="42"/>
      <c r="AA8160" s="43"/>
    </row>
    <row r="8161" spans="2:27" x14ac:dyDescent="0.25">
      <c r="B8161" s="42"/>
      <c r="AA8161" s="43"/>
    </row>
    <row r="8162" spans="2:27" x14ac:dyDescent="0.25">
      <c r="B8162" s="42"/>
      <c r="AA8162" s="43"/>
    </row>
    <row r="8163" spans="2:27" x14ac:dyDescent="0.25">
      <c r="B8163" s="42"/>
      <c r="AA8163" s="43"/>
    </row>
    <row r="8164" spans="2:27" x14ac:dyDescent="0.25">
      <c r="B8164" s="42"/>
      <c r="AA8164" s="43"/>
    </row>
    <row r="8165" spans="2:27" x14ac:dyDescent="0.25">
      <c r="B8165" s="42"/>
      <c r="AA8165" s="43"/>
    </row>
    <row r="8166" spans="2:27" x14ac:dyDescent="0.25">
      <c r="B8166" s="42"/>
      <c r="AA8166" s="43"/>
    </row>
    <row r="8167" spans="2:27" x14ac:dyDescent="0.25">
      <c r="B8167" s="42"/>
      <c r="AA8167" s="43"/>
    </row>
    <row r="8168" spans="2:27" x14ac:dyDescent="0.25">
      <c r="B8168" s="42"/>
      <c r="AA8168" s="43"/>
    </row>
    <row r="8169" spans="2:27" x14ac:dyDescent="0.25">
      <c r="B8169" s="42"/>
      <c r="AA8169" s="43"/>
    </row>
    <row r="8170" spans="2:27" x14ac:dyDescent="0.25">
      <c r="B8170" s="42"/>
      <c r="AA8170" s="43"/>
    </row>
    <row r="8171" spans="2:27" x14ac:dyDescent="0.25">
      <c r="B8171" s="42"/>
      <c r="AA8171" s="43"/>
    </row>
    <row r="8172" spans="2:27" x14ac:dyDescent="0.25">
      <c r="B8172" s="42"/>
      <c r="AA8172" s="43"/>
    </row>
    <row r="8173" spans="2:27" x14ac:dyDescent="0.25">
      <c r="B8173" s="42"/>
      <c r="AA8173" s="43"/>
    </row>
    <row r="8174" spans="2:27" x14ac:dyDescent="0.25">
      <c r="B8174" s="42"/>
      <c r="AA8174" s="43"/>
    </row>
    <row r="8175" spans="2:27" x14ac:dyDescent="0.25">
      <c r="B8175" s="42"/>
      <c r="AA8175" s="43"/>
    </row>
    <row r="8176" spans="2:27" x14ac:dyDescent="0.25">
      <c r="B8176" s="42"/>
      <c r="AA8176" s="43"/>
    </row>
    <row r="8177" spans="2:27" x14ac:dyDescent="0.25">
      <c r="B8177" s="42"/>
      <c r="AA8177" s="43"/>
    </row>
    <row r="8178" spans="2:27" x14ac:dyDescent="0.25">
      <c r="B8178" s="42"/>
      <c r="AA8178" s="43"/>
    </row>
    <row r="8179" spans="2:27" x14ac:dyDescent="0.25">
      <c r="B8179" s="42"/>
      <c r="AA8179" s="43"/>
    </row>
    <row r="8180" spans="2:27" x14ac:dyDescent="0.25">
      <c r="B8180" s="42"/>
      <c r="AA8180" s="43"/>
    </row>
    <row r="8181" spans="2:27" x14ac:dyDescent="0.25">
      <c r="B8181" s="42"/>
      <c r="AA8181" s="43"/>
    </row>
    <row r="8182" spans="2:27" x14ac:dyDescent="0.25">
      <c r="B8182" s="42"/>
      <c r="AA8182" s="43"/>
    </row>
    <row r="8183" spans="2:27" x14ac:dyDescent="0.25">
      <c r="B8183" s="42"/>
      <c r="AA8183" s="43"/>
    </row>
    <row r="8184" spans="2:27" x14ac:dyDescent="0.25">
      <c r="B8184" s="42"/>
      <c r="AA8184" s="43"/>
    </row>
    <row r="8185" spans="2:27" x14ac:dyDescent="0.25">
      <c r="B8185" s="42"/>
      <c r="AA8185" s="43"/>
    </row>
    <row r="8186" spans="2:27" x14ac:dyDescent="0.25">
      <c r="B8186" s="42"/>
      <c r="AA8186" s="43"/>
    </row>
    <row r="8187" spans="2:27" x14ac:dyDescent="0.25">
      <c r="B8187" s="42"/>
      <c r="AA8187" s="43"/>
    </row>
    <row r="8188" spans="2:27" x14ac:dyDescent="0.25">
      <c r="B8188" s="42"/>
      <c r="AA8188" s="43"/>
    </row>
    <row r="8189" spans="2:27" x14ac:dyDescent="0.25">
      <c r="B8189" s="42"/>
      <c r="AA8189" s="43"/>
    </row>
    <row r="8190" spans="2:27" x14ac:dyDescent="0.25">
      <c r="B8190" s="42"/>
      <c r="AA8190" s="43"/>
    </row>
    <row r="8191" spans="2:27" x14ac:dyDescent="0.25">
      <c r="B8191" s="42"/>
      <c r="AA8191" s="43"/>
    </row>
    <row r="8192" spans="2:27" x14ac:dyDescent="0.25">
      <c r="B8192" s="42"/>
      <c r="AA8192" s="43"/>
    </row>
    <row r="8193" spans="2:27" x14ac:dyDescent="0.25">
      <c r="B8193" s="42"/>
      <c r="AA8193" s="43"/>
    </row>
    <row r="8194" spans="2:27" x14ac:dyDescent="0.25">
      <c r="B8194" s="42"/>
      <c r="AA8194" s="43"/>
    </row>
    <row r="8195" spans="2:27" x14ac:dyDescent="0.25">
      <c r="B8195" s="42"/>
      <c r="AA8195" s="43"/>
    </row>
    <row r="8196" spans="2:27" x14ac:dyDescent="0.25">
      <c r="B8196" s="42"/>
      <c r="AA8196" s="43"/>
    </row>
    <row r="8197" spans="2:27" x14ac:dyDescent="0.25">
      <c r="B8197" s="42"/>
      <c r="AA8197" s="43"/>
    </row>
    <row r="8198" spans="2:27" x14ac:dyDescent="0.25">
      <c r="B8198" s="42"/>
      <c r="AA8198" s="43"/>
    </row>
    <row r="8199" spans="2:27" x14ac:dyDescent="0.25">
      <c r="B8199" s="42"/>
      <c r="AA8199" s="43"/>
    </row>
    <row r="8200" spans="2:27" x14ac:dyDescent="0.25">
      <c r="B8200" s="42"/>
      <c r="AA8200" s="43"/>
    </row>
    <row r="8201" spans="2:27" x14ac:dyDescent="0.25">
      <c r="B8201" s="42"/>
      <c r="AA8201" s="43"/>
    </row>
    <row r="8202" spans="2:27" x14ac:dyDescent="0.25">
      <c r="B8202" s="42"/>
      <c r="AA8202" s="43"/>
    </row>
    <row r="8203" spans="2:27" x14ac:dyDescent="0.25">
      <c r="B8203" s="42"/>
      <c r="AA8203" s="43"/>
    </row>
    <row r="8204" spans="2:27" x14ac:dyDescent="0.25">
      <c r="B8204" s="42"/>
      <c r="AA8204" s="43"/>
    </row>
    <row r="8205" spans="2:27" x14ac:dyDescent="0.25">
      <c r="B8205" s="42"/>
      <c r="AA8205" s="43"/>
    </row>
    <row r="8206" spans="2:27" x14ac:dyDescent="0.25">
      <c r="B8206" s="42"/>
      <c r="AA8206" s="43"/>
    </row>
    <row r="8207" spans="2:27" x14ac:dyDescent="0.25">
      <c r="B8207" s="42"/>
      <c r="AA8207" s="43"/>
    </row>
    <row r="8208" spans="2:27" x14ac:dyDescent="0.25">
      <c r="B8208" s="42"/>
      <c r="AA8208" s="43"/>
    </row>
    <row r="8209" spans="2:27" x14ac:dyDescent="0.25">
      <c r="B8209" s="42"/>
      <c r="AA8209" s="43"/>
    </row>
    <row r="8210" spans="2:27" x14ac:dyDescent="0.25">
      <c r="B8210" s="42"/>
      <c r="AA8210" s="43"/>
    </row>
    <row r="8211" spans="2:27" x14ac:dyDescent="0.25">
      <c r="B8211" s="42"/>
      <c r="AA8211" s="43"/>
    </row>
    <row r="8212" spans="2:27" x14ac:dyDescent="0.25">
      <c r="B8212" s="42"/>
      <c r="AA8212" s="43"/>
    </row>
    <row r="8213" spans="2:27" x14ac:dyDescent="0.25">
      <c r="B8213" s="42"/>
      <c r="AA8213" s="43"/>
    </row>
    <row r="8214" spans="2:27" x14ac:dyDescent="0.25">
      <c r="B8214" s="42"/>
      <c r="AA8214" s="43"/>
    </row>
    <row r="8215" spans="2:27" x14ac:dyDescent="0.25">
      <c r="B8215" s="42"/>
      <c r="AA8215" s="43"/>
    </row>
    <row r="8216" spans="2:27" x14ac:dyDescent="0.25">
      <c r="B8216" s="42"/>
      <c r="AA8216" s="43"/>
    </row>
    <row r="8217" spans="2:27" x14ac:dyDescent="0.25">
      <c r="B8217" s="42"/>
      <c r="AA8217" s="43"/>
    </row>
    <row r="8218" spans="2:27" x14ac:dyDescent="0.25">
      <c r="B8218" s="42"/>
      <c r="AA8218" s="43"/>
    </row>
    <row r="8219" spans="2:27" x14ac:dyDescent="0.25">
      <c r="B8219" s="42"/>
      <c r="AA8219" s="43"/>
    </row>
    <row r="8220" spans="2:27" x14ac:dyDescent="0.25">
      <c r="B8220" s="42"/>
      <c r="AA8220" s="43"/>
    </row>
    <row r="8221" spans="2:27" x14ac:dyDescent="0.25">
      <c r="B8221" s="42"/>
      <c r="AA8221" s="43"/>
    </row>
    <row r="8222" spans="2:27" x14ac:dyDescent="0.25">
      <c r="B8222" s="42"/>
      <c r="AA8222" s="43"/>
    </row>
    <row r="8223" spans="2:27" x14ac:dyDescent="0.25">
      <c r="B8223" s="42"/>
      <c r="AA8223" s="43"/>
    </row>
    <row r="8224" spans="2:27" x14ac:dyDescent="0.25">
      <c r="B8224" s="42"/>
      <c r="AA8224" s="43"/>
    </row>
    <row r="8225" spans="2:27" x14ac:dyDescent="0.25">
      <c r="B8225" s="42"/>
      <c r="AA8225" s="43"/>
    </row>
    <row r="8226" spans="2:27" x14ac:dyDescent="0.25">
      <c r="B8226" s="42"/>
      <c r="AA8226" s="43"/>
    </row>
    <row r="8227" spans="2:27" x14ac:dyDescent="0.25">
      <c r="B8227" s="42"/>
      <c r="AA8227" s="43"/>
    </row>
    <row r="8228" spans="2:27" x14ac:dyDescent="0.25">
      <c r="B8228" s="42"/>
      <c r="AA8228" s="43"/>
    </row>
    <row r="8229" spans="2:27" x14ac:dyDescent="0.25">
      <c r="B8229" s="42"/>
      <c r="AA8229" s="43"/>
    </row>
    <row r="8230" spans="2:27" x14ac:dyDescent="0.25">
      <c r="B8230" s="42"/>
      <c r="AA8230" s="43"/>
    </row>
    <row r="8231" spans="2:27" x14ac:dyDescent="0.25">
      <c r="B8231" s="42"/>
      <c r="AA8231" s="43"/>
    </row>
    <row r="8232" spans="2:27" x14ac:dyDescent="0.25">
      <c r="B8232" s="42"/>
      <c r="AA8232" s="43"/>
    </row>
    <row r="8233" spans="2:27" x14ac:dyDescent="0.25">
      <c r="B8233" s="42"/>
      <c r="AA8233" s="43"/>
    </row>
    <row r="8234" spans="2:27" x14ac:dyDescent="0.25">
      <c r="B8234" s="42"/>
      <c r="AA8234" s="43"/>
    </row>
    <row r="8235" spans="2:27" x14ac:dyDescent="0.25">
      <c r="B8235" s="42"/>
      <c r="AA8235" s="43"/>
    </row>
    <row r="8236" spans="2:27" x14ac:dyDescent="0.25">
      <c r="B8236" s="42"/>
      <c r="AA8236" s="43"/>
    </row>
    <row r="8237" spans="2:27" x14ac:dyDescent="0.25">
      <c r="B8237" s="42"/>
      <c r="AA8237" s="43"/>
    </row>
    <row r="8238" spans="2:27" x14ac:dyDescent="0.25">
      <c r="B8238" s="42"/>
      <c r="AA8238" s="43"/>
    </row>
    <row r="8239" spans="2:27" x14ac:dyDescent="0.25">
      <c r="B8239" s="42"/>
      <c r="AA8239" s="43"/>
    </row>
    <row r="8240" spans="2:27" x14ac:dyDescent="0.25">
      <c r="B8240" s="42"/>
      <c r="AA8240" s="43"/>
    </row>
    <row r="8241" spans="2:27" x14ac:dyDescent="0.25">
      <c r="B8241" s="42"/>
      <c r="AA8241" s="43"/>
    </row>
    <row r="8242" spans="2:27" x14ac:dyDescent="0.25">
      <c r="B8242" s="42"/>
      <c r="AA8242" s="43"/>
    </row>
    <row r="8243" spans="2:27" x14ac:dyDescent="0.25">
      <c r="B8243" s="42"/>
      <c r="AA8243" s="43"/>
    </row>
    <row r="8244" spans="2:27" x14ac:dyDescent="0.25">
      <c r="B8244" s="42"/>
      <c r="AA8244" s="43"/>
    </row>
    <row r="8245" spans="2:27" x14ac:dyDescent="0.25">
      <c r="B8245" s="42"/>
      <c r="AA8245" s="43"/>
    </row>
    <row r="8246" spans="2:27" x14ac:dyDescent="0.25">
      <c r="B8246" s="42"/>
      <c r="AA8246" s="43"/>
    </row>
    <row r="8247" spans="2:27" x14ac:dyDescent="0.25">
      <c r="B8247" s="42"/>
      <c r="AA8247" s="43"/>
    </row>
    <row r="8248" spans="2:27" x14ac:dyDescent="0.25">
      <c r="B8248" s="42"/>
      <c r="AA8248" s="43"/>
    </row>
    <row r="8249" spans="2:27" x14ac:dyDescent="0.25">
      <c r="B8249" s="42"/>
      <c r="AA8249" s="43"/>
    </row>
    <row r="8250" spans="2:27" x14ac:dyDescent="0.25">
      <c r="B8250" s="42"/>
      <c r="AA8250" s="43"/>
    </row>
    <row r="8251" spans="2:27" x14ac:dyDescent="0.25">
      <c r="B8251" s="42"/>
      <c r="AA8251" s="43"/>
    </row>
    <row r="8252" spans="2:27" x14ac:dyDescent="0.25">
      <c r="B8252" s="42"/>
      <c r="AA8252" s="43"/>
    </row>
    <row r="8253" spans="2:27" x14ac:dyDescent="0.25">
      <c r="B8253" s="42"/>
      <c r="AA8253" s="43"/>
    </row>
    <row r="8254" spans="2:27" x14ac:dyDescent="0.25">
      <c r="B8254" s="42"/>
      <c r="AA8254" s="43"/>
    </row>
    <row r="8255" spans="2:27" x14ac:dyDescent="0.25">
      <c r="B8255" s="42"/>
      <c r="AA8255" s="43"/>
    </row>
    <row r="8256" spans="2:27" x14ac:dyDescent="0.25">
      <c r="B8256" s="42"/>
      <c r="AA8256" s="43"/>
    </row>
    <row r="8257" spans="2:27" x14ac:dyDescent="0.25">
      <c r="B8257" s="42"/>
      <c r="AA8257" s="43"/>
    </row>
    <row r="8258" spans="2:27" x14ac:dyDescent="0.25">
      <c r="B8258" s="42"/>
      <c r="AA8258" s="43"/>
    </row>
    <row r="8259" spans="2:27" x14ac:dyDescent="0.25">
      <c r="B8259" s="42"/>
      <c r="AA8259" s="43"/>
    </row>
    <row r="8260" spans="2:27" x14ac:dyDescent="0.25">
      <c r="B8260" s="42"/>
      <c r="AA8260" s="43"/>
    </row>
    <row r="8261" spans="2:27" x14ac:dyDescent="0.25">
      <c r="B8261" s="42"/>
      <c r="AA8261" s="43"/>
    </row>
    <row r="8262" spans="2:27" x14ac:dyDescent="0.25">
      <c r="B8262" s="42"/>
      <c r="AA8262" s="43"/>
    </row>
    <row r="8263" spans="2:27" x14ac:dyDescent="0.25">
      <c r="B8263" s="42"/>
      <c r="AA8263" s="43"/>
    </row>
    <row r="8264" spans="2:27" x14ac:dyDescent="0.25">
      <c r="B8264" s="42"/>
      <c r="AA8264" s="43"/>
    </row>
    <row r="8265" spans="2:27" x14ac:dyDescent="0.25">
      <c r="B8265" s="42"/>
      <c r="AA8265" s="43"/>
    </row>
    <row r="8266" spans="2:27" x14ac:dyDescent="0.25">
      <c r="B8266" s="42"/>
      <c r="AA8266" s="43"/>
    </row>
    <row r="8267" spans="2:27" x14ac:dyDescent="0.25">
      <c r="B8267" s="42"/>
      <c r="AA8267" s="43"/>
    </row>
    <row r="8268" spans="2:27" x14ac:dyDescent="0.25">
      <c r="B8268" s="42"/>
      <c r="AA8268" s="43"/>
    </row>
    <row r="8269" spans="2:27" x14ac:dyDescent="0.25">
      <c r="B8269" s="42"/>
      <c r="AA8269" s="43"/>
    </row>
    <row r="8270" spans="2:27" x14ac:dyDescent="0.25">
      <c r="B8270" s="42"/>
      <c r="AA8270" s="43"/>
    </row>
    <row r="8271" spans="2:27" x14ac:dyDescent="0.25">
      <c r="B8271" s="42"/>
      <c r="AA8271" s="43"/>
    </row>
    <row r="8272" spans="2:27" x14ac:dyDescent="0.25">
      <c r="B8272" s="42"/>
      <c r="AA8272" s="43"/>
    </row>
    <row r="8273" spans="2:27" x14ac:dyDescent="0.25">
      <c r="B8273" s="42"/>
      <c r="AA8273" s="43"/>
    </row>
    <row r="8274" spans="2:27" x14ac:dyDescent="0.25">
      <c r="B8274" s="42"/>
      <c r="AA8274" s="43"/>
    </row>
    <row r="8275" spans="2:27" x14ac:dyDescent="0.25">
      <c r="B8275" s="42"/>
      <c r="AA8275" s="43"/>
    </row>
    <row r="8276" spans="2:27" x14ac:dyDescent="0.25">
      <c r="B8276" s="42"/>
      <c r="AA8276" s="43"/>
    </row>
    <row r="8277" spans="2:27" x14ac:dyDescent="0.25">
      <c r="B8277" s="42"/>
      <c r="AA8277" s="43"/>
    </row>
    <row r="8278" spans="2:27" x14ac:dyDescent="0.25">
      <c r="B8278" s="42"/>
      <c r="AA8278" s="43"/>
    </row>
    <row r="8279" spans="2:27" x14ac:dyDescent="0.25">
      <c r="B8279" s="42"/>
      <c r="AA8279" s="43"/>
    </row>
    <row r="8280" spans="2:27" x14ac:dyDescent="0.25">
      <c r="B8280" s="42"/>
      <c r="AA8280" s="43"/>
    </row>
    <row r="8281" spans="2:27" x14ac:dyDescent="0.25">
      <c r="B8281" s="42"/>
      <c r="AA8281" s="43"/>
    </row>
    <row r="8282" spans="2:27" x14ac:dyDescent="0.25">
      <c r="B8282" s="42"/>
      <c r="AA8282" s="43"/>
    </row>
    <row r="8283" spans="2:27" x14ac:dyDescent="0.25">
      <c r="B8283" s="42"/>
      <c r="AA8283" s="43"/>
    </row>
    <row r="8284" spans="2:27" x14ac:dyDescent="0.25">
      <c r="B8284" s="42"/>
      <c r="AA8284" s="43"/>
    </row>
    <row r="8285" spans="2:27" x14ac:dyDescent="0.25">
      <c r="B8285" s="42"/>
      <c r="AA8285" s="43"/>
    </row>
    <row r="8286" spans="2:27" x14ac:dyDescent="0.25">
      <c r="B8286" s="42"/>
      <c r="AA8286" s="43"/>
    </row>
    <row r="8287" spans="2:27" x14ac:dyDescent="0.25">
      <c r="B8287" s="42"/>
      <c r="AA8287" s="43"/>
    </row>
    <row r="8288" spans="2:27" x14ac:dyDescent="0.25">
      <c r="B8288" s="42"/>
      <c r="AA8288" s="43"/>
    </row>
    <row r="8289" spans="2:27" x14ac:dyDescent="0.25">
      <c r="B8289" s="42"/>
      <c r="AA8289" s="43"/>
    </row>
    <row r="8290" spans="2:27" x14ac:dyDescent="0.25">
      <c r="B8290" s="42"/>
      <c r="AA8290" s="43"/>
    </row>
    <row r="8291" spans="2:27" x14ac:dyDescent="0.25">
      <c r="B8291" s="42"/>
      <c r="AA8291" s="43"/>
    </row>
    <row r="8292" spans="2:27" x14ac:dyDescent="0.25">
      <c r="B8292" s="42"/>
      <c r="AA8292" s="43"/>
    </row>
    <row r="8293" spans="2:27" x14ac:dyDescent="0.25">
      <c r="B8293" s="42"/>
      <c r="AA8293" s="43"/>
    </row>
    <row r="8294" spans="2:27" x14ac:dyDescent="0.25">
      <c r="B8294" s="42"/>
      <c r="AA8294" s="43"/>
    </row>
    <row r="8295" spans="2:27" x14ac:dyDescent="0.25">
      <c r="B8295" s="42"/>
      <c r="AA8295" s="43"/>
    </row>
    <row r="8296" spans="2:27" x14ac:dyDescent="0.25">
      <c r="B8296" s="42"/>
      <c r="AA8296" s="43"/>
    </row>
    <row r="8297" spans="2:27" x14ac:dyDescent="0.25">
      <c r="B8297" s="42"/>
      <c r="AA8297" s="43"/>
    </row>
    <row r="8298" spans="2:27" x14ac:dyDescent="0.25">
      <c r="B8298" s="42"/>
      <c r="AA8298" s="43"/>
    </row>
    <row r="8299" spans="2:27" x14ac:dyDescent="0.25">
      <c r="B8299" s="42"/>
      <c r="AA8299" s="43"/>
    </row>
    <row r="8300" spans="2:27" x14ac:dyDescent="0.25">
      <c r="B8300" s="42"/>
      <c r="AA8300" s="43"/>
    </row>
    <row r="8301" spans="2:27" x14ac:dyDescent="0.25">
      <c r="B8301" s="42"/>
      <c r="AA8301" s="43"/>
    </row>
    <row r="8302" spans="2:27" x14ac:dyDescent="0.25">
      <c r="B8302" s="42"/>
      <c r="AA8302" s="43"/>
    </row>
    <row r="8303" spans="2:27" x14ac:dyDescent="0.25">
      <c r="B8303" s="42"/>
      <c r="AA8303" s="43"/>
    </row>
    <row r="8304" spans="2:27" x14ac:dyDescent="0.25">
      <c r="B8304" s="42"/>
      <c r="AA8304" s="43"/>
    </row>
    <row r="8305" spans="2:27" x14ac:dyDescent="0.25">
      <c r="B8305" s="42"/>
      <c r="AA8305" s="43"/>
    </row>
    <row r="8306" spans="2:27" x14ac:dyDescent="0.25">
      <c r="B8306" s="42"/>
      <c r="AA8306" s="43"/>
    </row>
    <row r="8307" spans="2:27" x14ac:dyDescent="0.25">
      <c r="B8307" s="42"/>
      <c r="AA8307" s="43"/>
    </row>
    <row r="8308" spans="2:27" x14ac:dyDescent="0.25">
      <c r="B8308" s="42"/>
      <c r="AA8308" s="43"/>
    </row>
    <row r="8309" spans="2:27" x14ac:dyDescent="0.25">
      <c r="B8309" s="42"/>
      <c r="AA8309" s="43"/>
    </row>
    <row r="8310" spans="2:27" x14ac:dyDescent="0.25">
      <c r="B8310" s="42"/>
      <c r="AA8310" s="43"/>
    </row>
    <row r="8311" spans="2:27" x14ac:dyDescent="0.25">
      <c r="B8311" s="42"/>
      <c r="AA8311" s="43"/>
    </row>
    <row r="8312" spans="2:27" x14ac:dyDescent="0.25">
      <c r="B8312" s="42"/>
      <c r="AA8312" s="43"/>
    </row>
    <row r="8313" spans="2:27" x14ac:dyDescent="0.25">
      <c r="B8313" s="42"/>
      <c r="AA8313" s="43"/>
    </row>
    <row r="8314" spans="2:27" x14ac:dyDescent="0.25">
      <c r="B8314" s="42"/>
      <c r="AA8314" s="43"/>
    </row>
    <row r="8315" spans="2:27" x14ac:dyDescent="0.25">
      <c r="B8315" s="42"/>
      <c r="AA8315" s="43"/>
    </row>
    <row r="8316" spans="2:27" x14ac:dyDescent="0.25">
      <c r="B8316" s="42"/>
      <c r="AA8316" s="43"/>
    </row>
    <row r="8317" spans="2:27" x14ac:dyDescent="0.25">
      <c r="B8317" s="42"/>
      <c r="AA8317" s="43"/>
    </row>
    <row r="8318" spans="2:27" x14ac:dyDescent="0.25">
      <c r="B8318" s="42"/>
      <c r="AA8318" s="43"/>
    </row>
    <row r="8319" spans="2:27" x14ac:dyDescent="0.25">
      <c r="B8319" s="42"/>
      <c r="AA8319" s="43"/>
    </row>
    <row r="8320" spans="2:27" x14ac:dyDescent="0.25">
      <c r="B8320" s="42"/>
      <c r="AA8320" s="43"/>
    </row>
    <row r="8321" spans="2:27" x14ac:dyDescent="0.25">
      <c r="B8321" s="42"/>
      <c r="AA8321" s="43"/>
    </row>
    <row r="8322" spans="2:27" x14ac:dyDescent="0.25">
      <c r="B8322" s="42"/>
      <c r="AA8322" s="43"/>
    </row>
    <row r="8323" spans="2:27" x14ac:dyDescent="0.25">
      <c r="B8323" s="42"/>
      <c r="AA8323" s="43"/>
    </row>
    <row r="8324" spans="2:27" x14ac:dyDescent="0.25">
      <c r="B8324" s="42"/>
      <c r="AA8324" s="43"/>
    </row>
    <row r="8325" spans="2:27" x14ac:dyDescent="0.25">
      <c r="B8325" s="42"/>
      <c r="AA8325" s="43"/>
    </row>
    <row r="8326" spans="2:27" x14ac:dyDescent="0.25">
      <c r="B8326" s="42"/>
      <c r="AA8326" s="43"/>
    </row>
    <row r="8327" spans="2:27" x14ac:dyDescent="0.25">
      <c r="B8327" s="42"/>
      <c r="AA8327" s="43"/>
    </row>
    <row r="8328" spans="2:27" x14ac:dyDescent="0.25">
      <c r="B8328" s="42"/>
      <c r="AA8328" s="43"/>
    </row>
    <row r="8329" spans="2:27" x14ac:dyDescent="0.25">
      <c r="B8329" s="42"/>
      <c r="AA8329" s="43"/>
    </row>
    <row r="8330" spans="2:27" x14ac:dyDescent="0.25">
      <c r="B8330" s="42"/>
      <c r="AA8330" s="43"/>
    </row>
    <row r="8331" spans="2:27" x14ac:dyDescent="0.25">
      <c r="B8331" s="42"/>
      <c r="AA8331" s="43"/>
    </row>
    <row r="8332" spans="2:27" x14ac:dyDescent="0.25">
      <c r="B8332" s="42"/>
      <c r="AA8332" s="43"/>
    </row>
    <row r="8333" spans="2:27" x14ac:dyDescent="0.25">
      <c r="B8333" s="42"/>
      <c r="AA8333" s="43"/>
    </row>
    <row r="8334" spans="2:27" x14ac:dyDescent="0.25">
      <c r="B8334" s="42"/>
      <c r="AA8334" s="43"/>
    </row>
    <row r="8335" spans="2:27" x14ac:dyDescent="0.25">
      <c r="B8335" s="42"/>
      <c r="AA8335" s="43"/>
    </row>
    <row r="8336" spans="2:27" x14ac:dyDescent="0.25">
      <c r="B8336" s="42"/>
      <c r="AA8336" s="43"/>
    </row>
    <row r="8337" spans="2:27" x14ac:dyDescent="0.25">
      <c r="B8337" s="42"/>
      <c r="AA8337" s="43"/>
    </row>
    <row r="8338" spans="2:27" x14ac:dyDescent="0.25">
      <c r="B8338" s="42"/>
      <c r="AA8338" s="43"/>
    </row>
    <row r="8339" spans="2:27" x14ac:dyDescent="0.25">
      <c r="B8339" s="42"/>
      <c r="AA8339" s="43"/>
    </row>
    <row r="8340" spans="2:27" x14ac:dyDescent="0.25">
      <c r="B8340" s="42"/>
      <c r="AA8340" s="43"/>
    </row>
    <row r="8341" spans="2:27" x14ac:dyDescent="0.25">
      <c r="B8341" s="42"/>
      <c r="AA8341" s="43"/>
    </row>
    <row r="8342" spans="2:27" x14ac:dyDescent="0.25">
      <c r="B8342" s="42"/>
      <c r="AA8342" s="43"/>
    </row>
    <row r="8343" spans="2:27" x14ac:dyDescent="0.25">
      <c r="B8343" s="42"/>
      <c r="AA8343" s="43"/>
    </row>
    <row r="8344" spans="2:27" x14ac:dyDescent="0.25">
      <c r="B8344" s="42"/>
      <c r="AA8344" s="43"/>
    </row>
    <row r="8345" spans="2:27" x14ac:dyDescent="0.25">
      <c r="B8345" s="42"/>
      <c r="AA8345" s="43"/>
    </row>
    <row r="8346" spans="2:27" x14ac:dyDescent="0.25">
      <c r="B8346" s="42"/>
      <c r="AA8346" s="43"/>
    </row>
    <row r="8347" spans="2:27" x14ac:dyDescent="0.25">
      <c r="B8347" s="42"/>
      <c r="AA8347" s="43"/>
    </row>
    <row r="8348" spans="2:27" x14ac:dyDescent="0.25">
      <c r="B8348" s="42"/>
      <c r="AA8348" s="43"/>
    </row>
    <row r="8349" spans="2:27" x14ac:dyDescent="0.25">
      <c r="B8349" s="42"/>
      <c r="AA8349" s="43"/>
    </row>
    <row r="8350" spans="2:27" x14ac:dyDescent="0.25">
      <c r="B8350" s="42"/>
      <c r="AA8350" s="43"/>
    </row>
    <row r="8351" spans="2:27" x14ac:dyDescent="0.25">
      <c r="B8351" s="42"/>
      <c r="AA8351" s="43"/>
    </row>
    <row r="8352" spans="2:27" x14ac:dyDescent="0.25">
      <c r="B8352" s="42"/>
      <c r="AA8352" s="43"/>
    </row>
    <row r="8353" spans="2:27" x14ac:dyDescent="0.25">
      <c r="B8353" s="42"/>
      <c r="AA8353" s="43"/>
    </row>
    <row r="8354" spans="2:27" x14ac:dyDescent="0.25">
      <c r="B8354" s="42"/>
      <c r="AA8354" s="43"/>
    </row>
    <row r="8355" spans="2:27" x14ac:dyDescent="0.25">
      <c r="B8355" s="42"/>
      <c r="AA8355" s="43"/>
    </row>
    <row r="8356" spans="2:27" x14ac:dyDescent="0.25">
      <c r="B8356" s="42"/>
      <c r="AA8356" s="43"/>
    </row>
    <row r="8357" spans="2:27" x14ac:dyDescent="0.25">
      <c r="B8357" s="42"/>
      <c r="AA8357" s="43"/>
    </row>
    <row r="8358" spans="2:27" x14ac:dyDescent="0.25">
      <c r="B8358" s="42"/>
      <c r="AA8358" s="43"/>
    </row>
    <row r="8359" spans="2:27" x14ac:dyDescent="0.25">
      <c r="B8359" s="42"/>
      <c r="AA8359" s="43"/>
    </row>
    <row r="8360" spans="2:27" x14ac:dyDescent="0.25">
      <c r="B8360" s="42"/>
      <c r="AA8360" s="43"/>
    </row>
    <row r="8361" spans="2:27" x14ac:dyDescent="0.25">
      <c r="B8361" s="42"/>
      <c r="AA8361" s="43"/>
    </row>
    <row r="8362" spans="2:27" x14ac:dyDescent="0.25">
      <c r="B8362" s="42"/>
      <c r="AA8362" s="43"/>
    </row>
    <row r="8363" spans="2:27" x14ac:dyDescent="0.25">
      <c r="B8363" s="42"/>
      <c r="AA8363" s="43"/>
    </row>
    <row r="8364" spans="2:27" x14ac:dyDescent="0.25">
      <c r="B8364" s="42"/>
      <c r="AA8364" s="43"/>
    </row>
    <row r="8365" spans="2:27" x14ac:dyDescent="0.25">
      <c r="B8365" s="42"/>
      <c r="AA8365" s="43"/>
    </row>
    <row r="8366" spans="2:27" x14ac:dyDescent="0.25">
      <c r="B8366" s="42"/>
      <c r="AA8366" s="43"/>
    </row>
    <row r="8367" spans="2:27" x14ac:dyDescent="0.25">
      <c r="B8367" s="42"/>
      <c r="AA8367" s="43"/>
    </row>
    <row r="8368" spans="2:27" x14ac:dyDescent="0.25">
      <c r="B8368" s="42"/>
      <c r="AA8368" s="43"/>
    </row>
    <row r="8369" spans="2:27" x14ac:dyDescent="0.25">
      <c r="B8369" s="42"/>
      <c r="AA8369" s="43"/>
    </row>
    <row r="8370" spans="2:27" x14ac:dyDescent="0.25">
      <c r="B8370" s="42"/>
      <c r="AA8370" s="43"/>
    </row>
    <row r="8371" spans="2:27" x14ac:dyDescent="0.25">
      <c r="B8371" s="42"/>
      <c r="AA8371" s="43"/>
    </row>
    <row r="8372" spans="2:27" x14ac:dyDescent="0.25">
      <c r="B8372" s="42"/>
      <c r="AA8372" s="43"/>
    </row>
    <row r="8373" spans="2:27" x14ac:dyDescent="0.25">
      <c r="B8373" s="42"/>
      <c r="AA8373" s="43"/>
    </row>
    <row r="8374" spans="2:27" x14ac:dyDescent="0.25">
      <c r="B8374" s="42"/>
      <c r="AA8374" s="43"/>
    </row>
    <row r="8375" spans="2:27" x14ac:dyDescent="0.25">
      <c r="B8375" s="42"/>
      <c r="AA8375" s="43"/>
    </row>
    <row r="8376" spans="2:27" x14ac:dyDescent="0.25">
      <c r="B8376" s="42"/>
      <c r="AA8376" s="43"/>
    </row>
    <row r="8377" spans="2:27" x14ac:dyDescent="0.25">
      <c r="B8377" s="42"/>
      <c r="AA8377" s="43"/>
    </row>
    <row r="8378" spans="2:27" x14ac:dyDescent="0.25">
      <c r="B8378" s="42"/>
      <c r="AA8378" s="43"/>
    </row>
    <row r="8379" spans="2:27" x14ac:dyDescent="0.25">
      <c r="B8379" s="42"/>
      <c r="AA8379" s="43"/>
    </row>
    <row r="8380" spans="2:27" x14ac:dyDescent="0.25">
      <c r="B8380" s="42"/>
      <c r="AA8380" s="43"/>
    </row>
    <row r="8381" spans="2:27" x14ac:dyDescent="0.25">
      <c r="B8381" s="42"/>
      <c r="AA8381" s="43"/>
    </row>
    <row r="8382" spans="2:27" x14ac:dyDescent="0.25">
      <c r="B8382" s="42"/>
      <c r="AA8382" s="43"/>
    </row>
    <row r="8383" spans="2:27" x14ac:dyDescent="0.25">
      <c r="B8383" s="42"/>
      <c r="AA8383" s="43"/>
    </row>
    <row r="8384" spans="2:27" x14ac:dyDescent="0.25">
      <c r="B8384" s="42"/>
      <c r="AA8384" s="43"/>
    </row>
    <row r="8385" spans="2:27" x14ac:dyDescent="0.25">
      <c r="B8385" s="42"/>
      <c r="AA8385" s="43"/>
    </row>
    <row r="8386" spans="2:27" x14ac:dyDescent="0.25">
      <c r="B8386" s="42"/>
      <c r="AA8386" s="43"/>
    </row>
    <row r="8387" spans="2:27" x14ac:dyDescent="0.25">
      <c r="B8387" s="42"/>
      <c r="AA8387" s="43"/>
    </row>
    <row r="8388" spans="2:27" x14ac:dyDescent="0.25">
      <c r="B8388" s="42"/>
      <c r="AA8388" s="43"/>
    </row>
    <row r="8389" spans="2:27" x14ac:dyDescent="0.25">
      <c r="B8389" s="42"/>
      <c r="AA8389" s="43"/>
    </row>
    <row r="8390" spans="2:27" x14ac:dyDescent="0.25">
      <c r="B8390" s="42"/>
      <c r="AA8390" s="43"/>
    </row>
    <row r="8391" spans="2:27" x14ac:dyDescent="0.25">
      <c r="B8391" s="42"/>
      <c r="AA8391" s="43"/>
    </row>
    <row r="8392" spans="2:27" x14ac:dyDescent="0.25">
      <c r="B8392" s="42"/>
      <c r="AA8392" s="43"/>
    </row>
    <row r="8393" spans="2:27" x14ac:dyDescent="0.25">
      <c r="B8393" s="42"/>
      <c r="AA8393" s="43"/>
    </row>
    <row r="8394" spans="2:27" x14ac:dyDescent="0.25">
      <c r="B8394" s="42"/>
      <c r="AA8394" s="43"/>
    </row>
    <row r="8395" spans="2:27" x14ac:dyDescent="0.25">
      <c r="B8395" s="42"/>
      <c r="AA8395" s="43"/>
    </row>
    <row r="8396" spans="2:27" x14ac:dyDescent="0.25">
      <c r="B8396" s="42"/>
      <c r="AA8396" s="43"/>
    </row>
    <row r="8397" spans="2:27" x14ac:dyDescent="0.25">
      <c r="B8397" s="42"/>
      <c r="AA8397" s="43"/>
    </row>
    <row r="8398" spans="2:27" x14ac:dyDescent="0.25">
      <c r="B8398" s="42"/>
      <c r="AA8398" s="43"/>
    </row>
    <row r="8399" spans="2:27" x14ac:dyDescent="0.25">
      <c r="B8399" s="42"/>
      <c r="AA8399" s="43"/>
    </row>
    <row r="8400" spans="2:27" x14ac:dyDescent="0.25">
      <c r="B8400" s="42"/>
      <c r="AA8400" s="43"/>
    </row>
    <row r="8401" spans="2:27" x14ac:dyDescent="0.25">
      <c r="B8401" s="42"/>
      <c r="AA8401" s="43"/>
    </row>
    <row r="8402" spans="2:27" x14ac:dyDescent="0.25">
      <c r="B8402" s="42"/>
      <c r="AA8402" s="43"/>
    </row>
    <row r="8403" spans="2:27" x14ac:dyDescent="0.25">
      <c r="B8403" s="42"/>
      <c r="AA8403" s="43"/>
    </row>
    <row r="8404" spans="2:27" x14ac:dyDescent="0.25">
      <c r="B8404" s="42"/>
      <c r="AA8404" s="43"/>
    </row>
    <row r="8405" spans="2:27" x14ac:dyDescent="0.25">
      <c r="B8405" s="42"/>
      <c r="AA8405" s="43"/>
    </row>
    <row r="8406" spans="2:27" x14ac:dyDescent="0.25">
      <c r="B8406" s="42"/>
      <c r="AA8406" s="43"/>
    </row>
    <row r="8407" spans="2:27" x14ac:dyDescent="0.25">
      <c r="B8407" s="42"/>
      <c r="AA8407" s="43"/>
    </row>
    <row r="8408" spans="2:27" x14ac:dyDescent="0.25">
      <c r="B8408" s="42"/>
      <c r="AA8408" s="43"/>
    </row>
    <row r="8409" spans="2:27" x14ac:dyDescent="0.25">
      <c r="B8409" s="42"/>
      <c r="AA8409" s="43"/>
    </row>
    <row r="8410" spans="2:27" x14ac:dyDescent="0.25">
      <c r="B8410" s="42"/>
      <c r="AA8410" s="43"/>
    </row>
    <row r="8411" spans="2:27" x14ac:dyDescent="0.25">
      <c r="B8411" s="42"/>
      <c r="AA8411" s="43"/>
    </row>
    <row r="8412" spans="2:27" x14ac:dyDescent="0.25">
      <c r="B8412" s="42"/>
      <c r="AA8412" s="43"/>
    </row>
    <row r="8413" spans="2:27" x14ac:dyDescent="0.25">
      <c r="B8413" s="42"/>
      <c r="AA8413" s="43"/>
    </row>
    <row r="8414" spans="2:27" x14ac:dyDescent="0.25">
      <c r="B8414" s="42"/>
      <c r="AA8414" s="43"/>
    </row>
    <row r="8415" spans="2:27" x14ac:dyDescent="0.25">
      <c r="B8415" s="42"/>
      <c r="AA8415" s="43"/>
    </row>
    <row r="8416" spans="2:27" x14ac:dyDescent="0.25">
      <c r="B8416" s="42"/>
      <c r="AA8416" s="43"/>
    </row>
    <row r="8417" spans="2:27" x14ac:dyDescent="0.25">
      <c r="B8417" s="42"/>
      <c r="AA8417" s="43"/>
    </row>
    <row r="8418" spans="2:27" x14ac:dyDescent="0.25">
      <c r="B8418" s="42"/>
      <c r="AA8418" s="43"/>
    </row>
    <row r="8419" spans="2:27" x14ac:dyDescent="0.25">
      <c r="B8419" s="42"/>
      <c r="AA8419" s="43"/>
    </row>
    <row r="8420" spans="2:27" x14ac:dyDescent="0.25">
      <c r="B8420" s="42"/>
      <c r="AA8420" s="43"/>
    </row>
    <row r="8421" spans="2:27" x14ac:dyDescent="0.25">
      <c r="B8421" s="42"/>
      <c r="AA8421" s="43"/>
    </row>
    <row r="8422" spans="2:27" x14ac:dyDescent="0.25">
      <c r="B8422" s="42"/>
      <c r="AA8422" s="43"/>
    </row>
    <row r="8423" spans="2:27" x14ac:dyDescent="0.25">
      <c r="B8423" s="42"/>
      <c r="AA8423" s="43"/>
    </row>
    <row r="8424" spans="2:27" x14ac:dyDescent="0.25">
      <c r="B8424" s="42"/>
      <c r="AA8424" s="43"/>
    </row>
    <row r="8425" spans="2:27" x14ac:dyDescent="0.25">
      <c r="B8425" s="42"/>
      <c r="AA8425" s="43"/>
    </row>
    <row r="8426" spans="2:27" x14ac:dyDescent="0.25">
      <c r="B8426" s="42"/>
      <c r="AA8426" s="43"/>
    </row>
    <row r="8427" spans="2:27" x14ac:dyDescent="0.25">
      <c r="B8427" s="42"/>
      <c r="AA8427" s="43"/>
    </row>
    <row r="8428" spans="2:27" x14ac:dyDescent="0.25">
      <c r="B8428" s="42"/>
      <c r="AA8428" s="43"/>
    </row>
    <row r="8429" spans="2:27" x14ac:dyDescent="0.25">
      <c r="B8429" s="42"/>
      <c r="AA8429" s="43"/>
    </row>
    <row r="8430" spans="2:27" x14ac:dyDescent="0.25">
      <c r="B8430" s="42"/>
      <c r="AA8430" s="43"/>
    </row>
    <row r="8431" spans="2:27" x14ac:dyDescent="0.25">
      <c r="B8431" s="42"/>
      <c r="AA8431" s="43"/>
    </row>
    <row r="8432" spans="2:27" x14ac:dyDescent="0.25">
      <c r="B8432" s="42"/>
      <c r="AA8432" s="43"/>
    </row>
    <row r="8433" spans="2:27" x14ac:dyDescent="0.25">
      <c r="B8433" s="42"/>
      <c r="AA8433" s="43"/>
    </row>
    <row r="8434" spans="2:27" x14ac:dyDescent="0.25">
      <c r="B8434" s="42"/>
      <c r="AA8434" s="43"/>
    </row>
    <row r="8435" spans="2:27" x14ac:dyDescent="0.25">
      <c r="B8435" s="42"/>
      <c r="AA8435" s="43"/>
    </row>
    <row r="8436" spans="2:27" x14ac:dyDescent="0.25">
      <c r="B8436" s="42"/>
      <c r="AA8436" s="43"/>
    </row>
    <row r="8437" spans="2:27" x14ac:dyDescent="0.25">
      <c r="B8437" s="42"/>
      <c r="AA8437" s="43"/>
    </row>
    <row r="8438" spans="2:27" x14ac:dyDescent="0.25">
      <c r="B8438" s="42"/>
      <c r="AA8438" s="43"/>
    </row>
    <row r="8439" spans="2:27" x14ac:dyDescent="0.25">
      <c r="B8439" s="42"/>
      <c r="AA8439" s="43"/>
    </row>
    <row r="8440" spans="2:27" x14ac:dyDescent="0.25">
      <c r="B8440" s="42"/>
      <c r="AA8440" s="43"/>
    </row>
    <row r="8441" spans="2:27" x14ac:dyDescent="0.25">
      <c r="B8441" s="42"/>
      <c r="AA8441" s="43"/>
    </row>
    <row r="8442" spans="2:27" x14ac:dyDescent="0.25">
      <c r="B8442" s="42"/>
      <c r="AA8442" s="43"/>
    </row>
    <row r="8443" spans="2:27" x14ac:dyDescent="0.25">
      <c r="B8443" s="42"/>
      <c r="AA8443" s="43"/>
    </row>
    <row r="8444" spans="2:27" x14ac:dyDescent="0.25">
      <c r="B8444" s="42"/>
      <c r="AA8444" s="43"/>
    </row>
    <row r="8445" spans="2:27" x14ac:dyDescent="0.25">
      <c r="B8445" s="42"/>
      <c r="AA8445" s="43"/>
    </row>
    <row r="8446" spans="2:27" x14ac:dyDescent="0.25">
      <c r="B8446" s="42"/>
      <c r="AA8446" s="43"/>
    </row>
    <row r="8447" spans="2:27" x14ac:dyDescent="0.25">
      <c r="B8447" s="42"/>
      <c r="AA8447" s="43"/>
    </row>
    <row r="8448" spans="2:27" x14ac:dyDescent="0.25">
      <c r="B8448" s="42"/>
      <c r="AA8448" s="43"/>
    </row>
    <row r="8449" spans="2:27" x14ac:dyDescent="0.25">
      <c r="B8449" s="42"/>
      <c r="AA8449" s="43"/>
    </row>
    <row r="8450" spans="2:27" x14ac:dyDescent="0.25">
      <c r="B8450" s="42"/>
      <c r="AA8450" s="43"/>
    </row>
    <row r="8451" spans="2:27" x14ac:dyDescent="0.25">
      <c r="B8451" s="42"/>
      <c r="AA8451" s="43"/>
    </row>
    <row r="8452" spans="2:27" x14ac:dyDescent="0.25">
      <c r="B8452" s="42"/>
      <c r="AA8452" s="43"/>
    </row>
    <row r="8453" spans="2:27" x14ac:dyDescent="0.25">
      <c r="B8453" s="42"/>
      <c r="AA8453" s="43"/>
    </row>
    <row r="8454" spans="2:27" x14ac:dyDescent="0.25">
      <c r="B8454" s="42"/>
      <c r="AA8454" s="43"/>
    </row>
    <row r="8455" spans="2:27" x14ac:dyDescent="0.25">
      <c r="B8455" s="42"/>
      <c r="AA8455" s="43"/>
    </row>
    <row r="8456" spans="2:27" x14ac:dyDescent="0.25">
      <c r="B8456" s="42"/>
      <c r="AA8456" s="43"/>
    </row>
    <row r="8457" spans="2:27" x14ac:dyDescent="0.25">
      <c r="B8457" s="42"/>
      <c r="AA8457" s="43"/>
    </row>
    <row r="8458" spans="2:27" x14ac:dyDescent="0.25">
      <c r="B8458" s="42"/>
      <c r="AA8458" s="43"/>
    </row>
    <row r="8459" spans="2:27" x14ac:dyDescent="0.25">
      <c r="B8459" s="42"/>
      <c r="AA8459" s="43"/>
    </row>
    <row r="8460" spans="2:27" x14ac:dyDescent="0.25">
      <c r="B8460" s="42"/>
      <c r="AA8460" s="43"/>
    </row>
    <row r="8461" spans="2:27" x14ac:dyDescent="0.25">
      <c r="B8461" s="42"/>
      <c r="AA8461" s="43"/>
    </row>
    <row r="8462" spans="2:27" x14ac:dyDescent="0.25">
      <c r="B8462" s="42"/>
      <c r="AA8462" s="43"/>
    </row>
    <row r="8463" spans="2:27" x14ac:dyDescent="0.25">
      <c r="B8463" s="42"/>
      <c r="AA8463" s="43"/>
    </row>
    <row r="8464" spans="2:27" x14ac:dyDescent="0.25">
      <c r="B8464" s="42"/>
      <c r="AA8464" s="43"/>
    </row>
    <row r="8465" spans="2:27" x14ac:dyDescent="0.25">
      <c r="B8465" s="42"/>
      <c r="AA8465" s="43"/>
    </row>
    <row r="8466" spans="2:27" x14ac:dyDescent="0.25">
      <c r="B8466" s="42"/>
      <c r="AA8466" s="43"/>
    </row>
    <row r="8467" spans="2:27" x14ac:dyDescent="0.25">
      <c r="B8467" s="42"/>
      <c r="AA8467" s="43"/>
    </row>
    <row r="8468" spans="2:27" x14ac:dyDescent="0.25">
      <c r="B8468" s="42"/>
      <c r="AA8468" s="43"/>
    </row>
    <row r="8469" spans="2:27" x14ac:dyDescent="0.25">
      <c r="B8469" s="42"/>
      <c r="AA8469" s="43"/>
    </row>
    <row r="8470" spans="2:27" x14ac:dyDescent="0.25">
      <c r="B8470" s="42"/>
      <c r="AA8470" s="43"/>
    </row>
    <row r="8471" spans="2:27" x14ac:dyDescent="0.25">
      <c r="B8471" s="42"/>
      <c r="AA8471" s="43"/>
    </row>
    <row r="8472" spans="2:27" x14ac:dyDescent="0.25">
      <c r="B8472" s="42"/>
      <c r="AA8472" s="43"/>
    </row>
    <row r="8473" spans="2:27" x14ac:dyDescent="0.25">
      <c r="B8473" s="42"/>
      <c r="AA8473" s="43"/>
    </row>
    <row r="8474" spans="2:27" x14ac:dyDescent="0.25">
      <c r="B8474" s="42"/>
      <c r="AA8474" s="43"/>
    </row>
    <row r="8475" spans="2:27" x14ac:dyDescent="0.25">
      <c r="B8475" s="42"/>
      <c r="AA8475" s="43"/>
    </row>
    <row r="8476" spans="2:27" x14ac:dyDescent="0.25">
      <c r="B8476" s="42"/>
      <c r="AA8476" s="43"/>
    </row>
    <row r="8477" spans="2:27" x14ac:dyDescent="0.25">
      <c r="B8477" s="42"/>
      <c r="AA8477" s="43"/>
    </row>
    <row r="8478" spans="2:27" x14ac:dyDescent="0.25">
      <c r="B8478" s="42"/>
      <c r="AA8478" s="43"/>
    </row>
    <row r="8479" spans="2:27" x14ac:dyDescent="0.25">
      <c r="B8479" s="42"/>
      <c r="AA8479" s="43"/>
    </row>
    <row r="8480" spans="2:27" x14ac:dyDescent="0.25">
      <c r="B8480" s="42"/>
      <c r="AA8480" s="43"/>
    </row>
    <row r="8481" spans="2:27" x14ac:dyDescent="0.25">
      <c r="B8481" s="42"/>
      <c r="AA8481" s="43"/>
    </row>
    <row r="8482" spans="2:27" x14ac:dyDescent="0.25">
      <c r="B8482" s="42"/>
      <c r="AA8482" s="43"/>
    </row>
    <row r="8483" spans="2:27" x14ac:dyDescent="0.25">
      <c r="B8483" s="42"/>
      <c r="AA8483" s="43"/>
    </row>
    <row r="8484" spans="2:27" x14ac:dyDescent="0.25">
      <c r="B8484" s="42"/>
      <c r="AA8484" s="43"/>
    </row>
    <row r="8485" spans="2:27" x14ac:dyDescent="0.25">
      <c r="B8485" s="42"/>
      <c r="AA8485" s="43"/>
    </row>
    <row r="8486" spans="2:27" x14ac:dyDescent="0.25">
      <c r="B8486" s="42"/>
      <c r="AA8486" s="43"/>
    </row>
    <row r="8487" spans="2:27" x14ac:dyDescent="0.25">
      <c r="B8487" s="42"/>
      <c r="AA8487" s="43"/>
    </row>
    <row r="8488" spans="2:27" x14ac:dyDescent="0.25">
      <c r="B8488" s="42"/>
      <c r="AA8488" s="43"/>
    </row>
    <row r="8489" spans="2:27" x14ac:dyDescent="0.25">
      <c r="B8489" s="42"/>
      <c r="AA8489" s="43"/>
    </row>
    <row r="8490" spans="2:27" x14ac:dyDescent="0.25">
      <c r="B8490" s="42"/>
      <c r="AA8490" s="43"/>
    </row>
    <row r="8491" spans="2:27" x14ac:dyDescent="0.25">
      <c r="B8491" s="42"/>
      <c r="AA8491" s="43"/>
    </row>
    <row r="8492" spans="2:27" x14ac:dyDescent="0.25">
      <c r="B8492" s="42"/>
      <c r="AA8492" s="43"/>
    </row>
    <row r="8493" spans="2:27" x14ac:dyDescent="0.25">
      <c r="B8493" s="42"/>
      <c r="AA8493" s="43"/>
    </row>
    <row r="8494" spans="2:27" x14ac:dyDescent="0.25">
      <c r="B8494" s="42"/>
      <c r="AA8494" s="43"/>
    </row>
    <row r="8495" spans="2:27" x14ac:dyDescent="0.25">
      <c r="B8495" s="42"/>
      <c r="AA8495" s="43"/>
    </row>
    <row r="8496" spans="2:27" x14ac:dyDescent="0.25">
      <c r="B8496" s="42"/>
      <c r="AA8496" s="43"/>
    </row>
    <row r="8497" spans="2:27" x14ac:dyDescent="0.25">
      <c r="B8497" s="42"/>
      <c r="AA8497" s="43"/>
    </row>
    <row r="8498" spans="2:27" x14ac:dyDescent="0.25">
      <c r="B8498" s="42"/>
      <c r="AA8498" s="43"/>
    </row>
    <row r="8499" spans="2:27" x14ac:dyDescent="0.25">
      <c r="B8499" s="42"/>
      <c r="AA8499" s="43"/>
    </row>
    <row r="8500" spans="2:27" x14ac:dyDescent="0.25">
      <c r="B8500" s="42"/>
      <c r="AA8500" s="43"/>
    </row>
    <row r="8501" spans="2:27" x14ac:dyDescent="0.25">
      <c r="B8501" s="42"/>
      <c r="AA8501" s="43"/>
    </row>
    <row r="8502" spans="2:27" x14ac:dyDescent="0.25">
      <c r="B8502" s="42"/>
      <c r="AA8502" s="43"/>
    </row>
    <row r="8503" spans="2:27" x14ac:dyDescent="0.25">
      <c r="B8503" s="42"/>
      <c r="AA8503" s="43"/>
    </row>
    <row r="8504" spans="2:27" x14ac:dyDescent="0.25">
      <c r="B8504" s="42"/>
      <c r="AA8504" s="43"/>
    </row>
    <row r="8505" spans="2:27" x14ac:dyDescent="0.25">
      <c r="B8505" s="42"/>
      <c r="AA8505" s="43"/>
    </row>
    <row r="8506" spans="2:27" x14ac:dyDescent="0.25">
      <c r="B8506" s="42"/>
      <c r="AA8506" s="43"/>
    </row>
    <row r="8507" spans="2:27" x14ac:dyDescent="0.25">
      <c r="B8507" s="42"/>
      <c r="AA8507" s="43"/>
    </row>
    <row r="8508" spans="2:27" x14ac:dyDescent="0.25">
      <c r="B8508" s="42"/>
      <c r="AA8508" s="43"/>
    </row>
    <row r="8509" spans="2:27" x14ac:dyDescent="0.25">
      <c r="B8509" s="42"/>
      <c r="AA8509" s="43"/>
    </row>
    <row r="8510" spans="2:27" x14ac:dyDescent="0.25">
      <c r="B8510" s="42"/>
      <c r="AA8510" s="43"/>
    </row>
    <row r="8511" spans="2:27" x14ac:dyDescent="0.25">
      <c r="B8511" s="42"/>
      <c r="AA8511" s="43"/>
    </row>
    <row r="8512" spans="2:27" x14ac:dyDescent="0.25">
      <c r="B8512" s="42"/>
      <c r="AA8512" s="43"/>
    </row>
    <row r="8513" spans="2:27" x14ac:dyDescent="0.25">
      <c r="B8513" s="42"/>
      <c r="AA8513" s="43"/>
    </row>
    <row r="8514" spans="2:27" x14ac:dyDescent="0.25">
      <c r="B8514" s="42"/>
      <c r="AA8514" s="43"/>
    </row>
    <row r="8515" spans="2:27" x14ac:dyDescent="0.25">
      <c r="B8515" s="42"/>
      <c r="AA8515" s="43"/>
    </row>
    <row r="8516" spans="2:27" x14ac:dyDescent="0.25">
      <c r="B8516" s="42"/>
      <c r="AA8516" s="43"/>
    </row>
    <row r="8517" spans="2:27" x14ac:dyDescent="0.25">
      <c r="B8517" s="42"/>
      <c r="AA8517" s="43"/>
    </row>
    <row r="8518" spans="2:27" x14ac:dyDescent="0.25">
      <c r="B8518" s="42"/>
      <c r="AA8518" s="43"/>
    </row>
    <row r="8519" spans="2:27" x14ac:dyDescent="0.25">
      <c r="B8519" s="42"/>
      <c r="AA8519" s="43"/>
    </row>
    <row r="8520" spans="2:27" x14ac:dyDescent="0.25">
      <c r="B8520" s="42"/>
      <c r="AA8520" s="43"/>
    </row>
    <row r="8521" spans="2:27" x14ac:dyDescent="0.25">
      <c r="B8521" s="42"/>
      <c r="AA8521" s="43"/>
    </row>
    <row r="8522" spans="2:27" x14ac:dyDescent="0.25">
      <c r="B8522" s="42"/>
      <c r="AA8522" s="43"/>
    </row>
    <row r="8523" spans="2:27" x14ac:dyDescent="0.25">
      <c r="B8523" s="42"/>
      <c r="AA8523" s="43"/>
    </row>
    <row r="8524" spans="2:27" x14ac:dyDescent="0.25">
      <c r="B8524" s="42"/>
      <c r="AA8524" s="43"/>
    </row>
    <row r="8525" spans="2:27" x14ac:dyDescent="0.25">
      <c r="B8525" s="42"/>
      <c r="AA8525" s="43"/>
    </row>
    <row r="8526" spans="2:27" x14ac:dyDescent="0.25">
      <c r="B8526" s="42"/>
      <c r="AA8526" s="43"/>
    </row>
    <row r="8527" spans="2:27" x14ac:dyDescent="0.25">
      <c r="B8527" s="42"/>
      <c r="AA8527" s="43"/>
    </row>
    <row r="8528" spans="2:27" x14ac:dyDescent="0.25">
      <c r="B8528" s="42"/>
      <c r="AA8528" s="43"/>
    </row>
    <row r="8529" spans="2:27" x14ac:dyDescent="0.25">
      <c r="B8529" s="42"/>
      <c r="AA8529" s="43"/>
    </row>
    <row r="8530" spans="2:27" x14ac:dyDescent="0.25">
      <c r="B8530" s="42"/>
      <c r="AA8530" s="43"/>
    </row>
    <row r="8531" spans="2:27" x14ac:dyDescent="0.25">
      <c r="B8531" s="42"/>
      <c r="AA8531" s="43"/>
    </row>
    <row r="8532" spans="2:27" x14ac:dyDescent="0.25">
      <c r="B8532" s="42"/>
      <c r="AA8532" s="43"/>
    </row>
    <row r="8533" spans="2:27" x14ac:dyDescent="0.25">
      <c r="B8533" s="42"/>
      <c r="AA8533" s="43"/>
    </row>
    <row r="8534" spans="2:27" x14ac:dyDescent="0.25">
      <c r="B8534" s="42"/>
      <c r="AA8534" s="43"/>
    </row>
    <row r="8535" spans="2:27" x14ac:dyDescent="0.25">
      <c r="B8535" s="42"/>
      <c r="AA8535" s="43"/>
    </row>
    <row r="8536" spans="2:27" x14ac:dyDescent="0.25">
      <c r="B8536" s="42"/>
      <c r="AA8536" s="43"/>
    </row>
    <row r="8537" spans="2:27" x14ac:dyDescent="0.25">
      <c r="B8537" s="42"/>
      <c r="AA8537" s="43"/>
    </row>
    <row r="8538" spans="2:27" x14ac:dyDescent="0.25">
      <c r="B8538" s="42"/>
      <c r="AA8538" s="43"/>
    </row>
    <row r="8539" spans="2:27" x14ac:dyDescent="0.25">
      <c r="B8539" s="42"/>
      <c r="AA8539" s="43"/>
    </row>
    <row r="8540" spans="2:27" x14ac:dyDescent="0.25">
      <c r="B8540" s="42"/>
      <c r="AA8540" s="43"/>
    </row>
    <row r="8541" spans="2:27" x14ac:dyDescent="0.25">
      <c r="B8541" s="42"/>
      <c r="AA8541" s="43"/>
    </row>
    <row r="8542" spans="2:27" x14ac:dyDescent="0.25">
      <c r="B8542" s="42"/>
      <c r="AA8542" s="43"/>
    </row>
    <row r="8543" spans="2:27" x14ac:dyDescent="0.25">
      <c r="B8543" s="42"/>
      <c r="AA8543" s="43"/>
    </row>
    <row r="8544" spans="2:27" x14ac:dyDescent="0.25">
      <c r="B8544" s="42"/>
      <c r="AA8544" s="43"/>
    </row>
    <row r="8545" spans="2:27" x14ac:dyDescent="0.25">
      <c r="B8545" s="42"/>
      <c r="AA8545" s="43"/>
    </row>
    <row r="8546" spans="2:27" x14ac:dyDescent="0.25">
      <c r="B8546" s="42"/>
      <c r="AA8546" s="43"/>
    </row>
    <row r="8547" spans="2:27" x14ac:dyDescent="0.25">
      <c r="B8547" s="42"/>
      <c r="AA8547" s="43"/>
    </row>
    <row r="8548" spans="2:27" x14ac:dyDescent="0.25">
      <c r="B8548" s="42"/>
      <c r="AA8548" s="43"/>
    </row>
    <row r="8549" spans="2:27" x14ac:dyDescent="0.25">
      <c r="B8549" s="42"/>
      <c r="AA8549" s="43"/>
    </row>
    <row r="8550" spans="2:27" x14ac:dyDescent="0.25">
      <c r="B8550" s="42"/>
      <c r="AA8550" s="43"/>
    </row>
    <row r="8551" spans="2:27" x14ac:dyDescent="0.25">
      <c r="B8551" s="42"/>
      <c r="AA8551" s="43"/>
    </row>
    <row r="8552" spans="2:27" x14ac:dyDescent="0.25">
      <c r="B8552" s="42"/>
      <c r="AA8552" s="43"/>
    </row>
    <row r="8553" spans="2:27" x14ac:dyDescent="0.25">
      <c r="B8553" s="42"/>
      <c r="AA8553" s="43"/>
    </row>
    <row r="8554" spans="2:27" x14ac:dyDescent="0.25">
      <c r="B8554" s="42"/>
      <c r="AA8554" s="43"/>
    </row>
    <row r="8555" spans="2:27" x14ac:dyDescent="0.25">
      <c r="B8555" s="42"/>
      <c r="AA8555" s="43"/>
    </row>
    <row r="8556" spans="2:27" x14ac:dyDescent="0.25">
      <c r="B8556" s="42"/>
      <c r="AA8556" s="43"/>
    </row>
    <row r="8557" spans="2:27" x14ac:dyDescent="0.25">
      <c r="B8557" s="42"/>
      <c r="AA8557" s="43"/>
    </row>
    <row r="8558" spans="2:27" x14ac:dyDescent="0.25">
      <c r="B8558" s="42"/>
      <c r="AA8558" s="43"/>
    </row>
    <row r="8559" spans="2:27" x14ac:dyDescent="0.25">
      <c r="B8559" s="42"/>
      <c r="AA8559" s="43"/>
    </row>
    <row r="8560" spans="2:27" x14ac:dyDescent="0.25">
      <c r="B8560" s="42"/>
      <c r="AA8560" s="43"/>
    </row>
    <row r="8561" spans="2:27" x14ac:dyDescent="0.25">
      <c r="B8561" s="42"/>
      <c r="AA8561" s="43"/>
    </row>
    <row r="8562" spans="2:27" x14ac:dyDescent="0.25">
      <c r="B8562" s="42"/>
      <c r="AA8562" s="43"/>
    </row>
    <row r="8563" spans="2:27" x14ac:dyDescent="0.25">
      <c r="B8563" s="42"/>
      <c r="AA8563" s="43"/>
    </row>
    <row r="8564" spans="2:27" x14ac:dyDescent="0.25">
      <c r="B8564" s="42"/>
      <c r="AA8564" s="43"/>
    </row>
    <row r="8565" spans="2:27" x14ac:dyDescent="0.25">
      <c r="B8565" s="42"/>
      <c r="AA8565" s="43"/>
    </row>
    <row r="8566" spans="2:27" x14ac:dyDescent="0.25">
      <c r="B8566" s="42"/>
      <c r="AA8566" s="43"/>
    </row>
    <row r="8567" spans="2:27" x14ac:dyDescent="0.25">
      <c r="B8567" s="42"/>
      <c r="AA8567" s="43"/>
    </row>
    <row r="8568" spans="2:27" x14ac:dyDescent="0.25">
      <c r="B8568" s="42"/>
      <c r="AA8568" s="43"/>
    </row>
    <row r="8569" spans="2:27" x14ac:dyDescent="0.25">
      <c r="B8569" s="42"/>
      <c r="AA8569" s="43"/>
    </row>
    <row r="8570" spans="2:27" x14ac:dyDescent="0.25">
      <c r="B8570" s="42"/>
      <c r="AA8570" s="43"/>
    </row>
    <row r="8571" spans="2:27" x14ac:dyDescent="0.25">
      <c r="B8571" s="42"/>
      <c r="AA8571" s="43"/>
    </row>
    <row r="8572" spans="2:27" x14ac:dyDescent="0.25">
      <c r="B8572" s="42"/>
      <c r="AA8572" s="43"/>
    </row>
    <row r="8573" spans="2:27" x14ac:dyDescent="0.25">
      <c r="B8573" s="42"/>
      <c r="AA8573" s="43"/>
    </row>
    <row r="8574" spans="2:27" x14ac:dyDescent="0.25">
      <c r="B8574" s="42"/>
      <c r="AA8574" s="43"/>
    </row>
    <row r="8575" spans="2:27" x14ac:dyDescent="0.25">
      <c r="B8575" s="42"/>
      <c r="AA8575" s="43"/>
    </row>
    <row r="8576" spans="2:27" x14ac:dyDescent="0.25">
      <c r="B8576" s="42"/>
      <c r="AA8576" s="43"/>
    </row>
    <row r="8577" spans="2:27" x14ac:dyDescent="0.25">
      <c r="B8577" s="42"/>
      <c r="AA8577" s="43"/>
    </row>
    <row r="8578" spans="2:27" x14ac:dyDescent="0.25">
      <c r="B8578" s="42"/>
      <c r="AA8578" s="43"/>
    </row>
    <row r="8579" spans="2:27" x14ac:dyDescent="0.25">
      <c r="B8579" s="42"/>
      <c r="AA8579" s="43"/>
    </row>
    <row r="8580" spans="2:27" x14ac:dyDescent="0.25">
      <c r="B8580" s="42"/>
      <c r="AA8580" s="43"/>
    </row>
    <row r="8581" spans="2:27" x14ac:dyDescent="0.25">
      <c r="B8581" s="42"/>
      <c r="AA8581" s="43"/>
    </row>
    <row r="8582" spans="2:27" x14ac:dyDescent="0.25">
      <c r="B8582" s="42"/>
      <c r="AA8582" s="43"/>
    </row>
    <row r="8583" spans="2:27" x14ac:dyDescent="0.25">
      <c r="B8583" s="42"/>
      <c r="AA8583" s="43"/>
    </row>
    <row r="8584" spans="2:27" x14ac:dyDescent="0.25">
      <c r="B8584" s="42"/>
      <c r="AA8584" s="43"/>
    </row>
    <row r="8585" spans="2:27" x14ac:dyDescent="0.25">
      <c r="B8585" s="42"/>
      <c r="AA8585" s="43"/>
    </row>
    <row r="8586" spans="2:27" x14ac:dyDescent="0.25">
      <c r="B8586" s="42"/>
      <c r="AA8586" s="43"/>
    </row>
    <row r="8587" spans="2:27" x14ac:dyDescent="0.25">
      <c r="B8587" s="42"/>
      <c r="AA8587" s="43"/>
    </row>
    <row r="8588" spans="2:27" x14ac:dyDescent="0.25">
      <c r="B8588" s="42"/>
      <c r="AA8588" s="43"/>
    </row>
    <row r="8589" spans="2:27" x14ac:dyDescent="0.25">
      <c r="B8589" s="42"/>
      <c r="AA8589" s="43"/>
    </row>
    <row r="8590" spans="2:27" x14ac:dyDescent="0.25">
      <c r="B8590" s="42"/>
      <c r="AA8590" s="43"/>
    </row>
    <row r="8591" spans="2:27" x14ac:dyDescent="0.25">
      <c r="B8591" s="42"/>
      <c r="AA8591" s="43"/>
    </row>
    <row r="8592" spans="2:27" x14ac:dyDescent="0.25">
      <c r="B8592" s="42"/>
      <c r="AA8592" s="43"/>
    </row>
    <row r="8593" spans="2:27" x14ac:dyDescent="0.25">
      <c r="B8593" s="42"/>
      <c r="AA8593" s="43"/>
    </row>
    <row r="8594" spans="2:27" x14ac:dyDescent="0.25">
      <c r="B8594" s="42"/>
      <c r="AA8594" s="43"/>
    </row>
    <row r="8595" spans="2:27" x14ac:dyDescent="0.25">
      <c r="B8595" s="42"/>
      <c r="AA8595" s="43"/>
    </row>
    <row r="8596" spans="2:27" x14ac:dyDescent="0.25">
      <c r="B8596" s="42"/>
      <c r="AA8596" s="43"/>
    </row>
    <row r="8597" spans="2:27" x14ac:dyDescent="0.25">
      <c r="B8597" s="42"/>
      <c r="AA8597" s="43"/>
    </row>
    <row r="8598" spans="2:27" x14ac:dyDescent="0.25">
      <c r="B8598" s="42"/>
      <c r="AA8598" s="43"/>
    </row>
    <row r="8599" spans="2:27" x14ac:dyDescent="0.25">
      <c r="B8599" s="42"/>
      <c r="AA8599" s="43"/>
    </row>
    <row r="8600" spans="2:27" x14ac:dyDescent="0.25">
      <c r="B8600" s="42"/>
      <c r="AA8600" s="43"/>
    </row>
    <row r="8601" spans="2:27" x14ac:dyDescent="0.25">
      <c r="B8601" s="42"/>
      <c r="AA8601" s="43"/>
    </row>
    <row r="8602" spans="2:27" x14ac:dyDescent="0.25">
      <c r="B8602" s="42"/>
      <c r="AA8602" s="43"/>
    </row>
    <row r="8603" spans="2:27" x14ac:dyDescent="0.25">
      <c r="B8603" s="42"/>
      <c r="AA8603" s="43"/>
    </row>
    <row r="8604" spans="2:27" x14ac:dyDescent="0.25">
      <c r="B8604" s="42"/>
      <c r="AA8604" s="43"/>
    </row>
    <row r="8605" spans="2:27" x14ac:dyDescent="0.25">
      <c r="B8605" s="42"/>
      <c r="AA8605" s="43"/>
    </row>
    <row r="8606" spans="2:27" x14ac:dyDescent="0.25">
      <c r="B8606" s="42"/>
      <c r="AA8606" s="43"/>
    </row>
    <row r="8607" spans="2:27" x14ac:dyDescent="0.25">
      <c r="B8607" s="42"/>
      <c r="AA8607" s="43"/>
    </row>
    <row r="8608" spans="2:27" x14ac:dyDescent="0.25">
      <c r="B8608" s="42"/>
      <c r="AA8608" s="43"/>
    </row>
    <row r="8609" spans="2:27" x14ac:dyDescent="0.25">
      <c r="B8609" s="42"/>
      <c r="AA8609" s="43"/>
    </row>
    <row r="8610" spans="2:27" x14ac:dyDescent="0.25">
      <c r="B8610" s="42"/>
      <c r="AA8610" s="43"/>
    </row>
    <row r="8611" spans="2:27" x14ac:dyDescent="0.25">
      <c r="B8611" s="42"/>
      <c r="AA8611" s="43"/>
    </row>
    <row r="8612" spans="2:27" x14ac:dyDescent="0.25">
      <c r="B8612" s="42"/>
      <c r="AA8612" s="43"/>
    </row>
    <row r="8613" spans="2:27" x14ac:dyDescent="0.25">
      <c r="B8613" s="42"/>
      <c r="AA8613" s="43"/>
    </row>
    <row r="8614" spans="2:27" x14ac:dyDescent="0.25">
      <c r="B8614" s="42"/>
      <c r="AA8614" s="43"/>
    </row>
    <row r="8615" spans="2:27" x14ac:dyDescent="0.25">
      <c r="B8615" s="42"/>
      <c r="AA8615" s="43"/>
    </row>
    <row r="8616" spans="2:27" x14ac:dyDescent="0.25">
      <c r="B8616" s="42"/>
      <c r="AA8616" s="43"/>
    </row>
    <row r="8617" spans="2:27" x14ac:dyDescent="0.25">
      <c r="B8617" s="42"/>
      <c r="AA8617" s="43"/>
    </row>
    <row r="8618" spans="2:27" x14ac:dyDescent="0.25">
      <c r="B8618" s="42"/>
      <c r="AA8618" s="43"/>
    </row>
    <row r="8619" spans="2:27" x14ac:dyDescent="0.25">
      <c r="B8619" s="42"/>
      <c r="AA8619" s="43"/>
    </row>
    <row r="8620" spans="2:27" x14ac:dyDescent="0.25">
      <c r="B8620" s="42"/>
      <c r="AA8620" s="43"/>
    </row>
    <row r="8621" spans="2:27" x14ac:dyDescent="0.25">
      <c r="B8621" s="42"/>
      <c r="AA8621" s="43"/>
    </row>
    <row r="8622" spans="2:27" x14ac:dyDescent="0.25">
      <c r="B8622" s="42"/>
      <c r="AA8622" s="43"/>
    </row>
    <row r="8623" spans="2:27" x14ac:dyDescent="0.25">
      <c r="B8623" s="42"/>
      <c r="AA8623" s="43"/>
    </row>
    <row r="8624" spans="2:27" x14ac:dyDescent="0.25">
      <c r="B8624" s="42"/>
      <c r="AA8624" s="43"/>
    </row>
    <row r="8625" spans="2:27" x14ac:dyDescent="0.25">
      <c r="B8625" s="42"/>
      <c r="AA8625" s="43"/>
    </row>
    <row r="8626" spans="2:27" x14ac:dyDescent="0.25">
      <c r="B8626" s="42"/>
      <c r="AA8626" s="43"/>
    </row>
    <row r="8627" spans="2:27" x14ac:dyDescent="0.25">
      <c r="B8627" s="42"/>
      <c r="AA8627" s="43"/>
    </row>
    <row r="8628" spans="2:27" x14ac:dyDescent="0.25">
      <c r="B8628" s="42"/>
      <c r="AA8628" s="43"/>
    </row>
    <row r="8629" spans="2:27" x14ac:dyDescent="0.25">
      <c r="B8629" s="42"/>
      <c r="AA8629" s="43"/>
    </row>
    <row r="8630" spans="2:27" x14ac:dyDescent="0.25">
      <c r="B8630" s="42"/>
      <c r="AA8630" s="43"/>
    </row>
    <row r="8631" spans="2:27" x14ac:dyDescent="0.25">
      <c r="B8631" s="42"/>
      <c r="AA8631" s="43"/>
    </row>
    <row r="8632" spans="2:27" x14ac:dyDescent="0.25">
      <c r="B8632" s="42"/>
      <c r="AA8632" s="43"/>
    </row>
    <row r="8633" spans="2:27" x14ac:dyDescent="0.25">
      <c r="B8633" s="42"/>
      <c r="AA8633" s="43"/>
    </row>
    <row r="8634" spans="2:27" x14ac:dyDescent="0.25">
      <c r="B8634" s="42"/>
      <c r="AA8634" s="43"/>
    </row>
    <row r="8635" spans="2:27" x14ac:dyDescent="0.25">
      <c r="B8635" s="42"/>
      <c r="AA8635" s="43"/>
    </row>
    <row r="8636" spans="2:27" x14ac:dyDescent="0.25">
      <c r="B8636" s="42"/>
      <c r="AA8636" s="43"/>
    </row>
    <row r="8637" spans="2:27" x14ac:dyDescent="0.25">
      <c r="B8637" s="42"/>
      <c r="AA8637" s="43"/>
    </row>
    <row r="8638" spans="2:27" x14ac:dyDescent="0.25">
      <c r="B8638" s="42"/>
      <c r="AA8638" s="43"/>
    </row>
    <row r="8639" spans="2:27" x14ac:dyDescent="0.25">
      <c r="B8639" s="42"/>
      <c r="AA8639" s="43"/>
    </row>
    <row r="8640" spans="2:27" x14ac:dyDescent="0.25">
      <c r="B8640" s="42"/>
      <c r="AA8640" s="43"/>
    </row>
    <row r="8641" spans="2:27" x14ac:dyDescent="0.25">
      <c r="B8641" s="42"/>
      <c r="AA8641" s="43"/>
    </row>
    <row r="8642" spans="2:27" x14ac:dyDescent="0.25">
      <c r="B8642" s="42"/>
      <c r="AA8642" s="43"/>
    </row>
    <row r="8643" spans="2:27" x14ac:dyDescent="0.25">
      <c r="B8643" s="42"/>
      <c r="AA8643" s="43"/>
    </row>
    <row r="8644" spans="2:27" x14ac:dyDescent="0.25">
      <c r="B8644" s="42"/>
      <c r="AA8644" s="43"/>
    </row>
    <row r="8645" spans="2:27" x14ac:dyDescent="0.25">
      <c r="B8645" s="42"/>
      <c r="AA8645" s="43"/>
    </row>
    <row r="8646" spans="2:27" x14ac:dyDescent="0.25">
      <c r="B8646" s="42"/>
      <c r="AA8646" s="43"/>
    </row>
    <row r="8647" spans="2:27" x14ac:dyDescent="0.25">
      <c r="B8647" s="42"/>
      <c r="AA8647" s="43"/>
    </row>
    <row r="8648" spans="2:27" x14ac:dyDescent="0.25">
      <c r="B8648" s="42"/>
      <c r="AA8648" s="43"/>
    </row>
    <row r="8649" spans="2:27" x14ac:dyDescent="0.25">
      <c r="B8649" s="42"/>
      <c r="AA8649" s="43"/>
    </row>
    <row r="8650" spans="2:27" x14ac:dyDescent="0.25">
      <c r="B8650" s="42"/>
      <c r="AA8650" s="43"/>
    </row>
    <row r="8651" spans="2:27" x14ac:dyDescent="0.25">
      <c r="B8651" s="42"/>
      <c r="AA8651" s="43"/>
    </row>
    <row r="8652" spans="2:27" x14ac:dyDescent="0.25">
      <c r="B8652" s="42"/>
      <c r="AA8652" s="43"/>
    </row>
    <row r="8653" spans="2:27" x14ac:dyDescent="0.25">
      <c r="B8653" s="42"/>
      <c r="AA8653" s="43"/>
    </row>
    <row r="8654" spans="2:27" x14ac:dyDescent="0.25">
      <c r="B8654" s="42"/>
      <c r="AA8654" s="43"/>
    </row>
    <row r="8655" spans="2:27" x14ac:dyDescent="0.25">
      <c r="B8655" s="42"/>
      <c r="AA8655" s="43"/>
    </row>
    <row r="8656" spans="2:27" x14ac:dyDescent="0.25">
      <c r="B8656" s="42"/>
      <c r="AA8656" s="43"/>
    </row>
    <row r="8657" spans="2:27" x14ac:dyDescent="0.25">
      <c r="B8657" s="42"/>
      <c r="AA8657" s="43"/>
    </row>
    <row r="8658" spans="2:27" x14ac:dyDescent="0.25">
      <c r="B8658" s="42"/>
      <c r="AA8658" s="43"/>
    </row>
    <row r="8659" spans="2:27" x14ac:dyDescent="0.25">
      <c r="B8659" s="42"/>
      <c r="AA8659" s="43"/>
    </row>
    <row r="8660" spans="2:27" x14ac:dyDescent="0.25">
      <c r="B8660" s="42"/>
      <c r="AA8660" s="43"/>
    </row>
    <row r="8661" spans="2:27" x14ac:dyDescent="0.25">
      <c r="B8661" s="42"/>
      <c r="AA8661" s="43"/>
    </row>
    <row r="8662" spans="2:27" x14ac:dyDescent="0.25">
      <c r="B8662" s="42"/>
      <c r="AA8662" s="43"/>
    </row>
    <row r="8663" spans="2:27" x14ac:dyDescent="0.25">
      <c r="B8663" s="42"/>
      <c r="AA8663" s="43"/>
    </row>
    <row r="8664" spans="2:27" x14ac:dyDescent="0.25">
      <c r="B8664" s="42"/>
      <c r="AA8664" s="43"/>
    </row>
    <row r="8665" spans="2:27" x14ac:dyDescent="0.25">
      <c r="B8665" s="42"/>
      <c r="AA8665" s="43"/>
    </row>
    <row r="8666" spans="2:27" x14ac:dyDescent="0.25">
      <c r="B8666" s="42"/>
      <c r="AA8666" s="43"/>
    </row>
    <row r="8667" spans="2:27" x14ac:dyDescent="0.25">
      <c r="B8667" s="42"/>
      <c r="AA8667" s="43"/>
    </row>
    <row r="8668" spans="2:27" x14ac:dyDescent="0.25">
      <c r="B8668" s="42"/>
      <c r="AA8668" s="43"/>
    </row>
    <row r="8669" spans="2:27" x14ac:dyDescent="0.25">
      <c r="B8669" s="42"/>
      <c r="AA8669" s="43"/>
    </row>
    <row r="8670" spans="2:27" x14ac:dyDescent="0.25">
      <c r="B8670" s="42"/>
      <c r="AA8670" s="43"/>
    </row>
    <row r="8671" spans="2:27" x14ac:dyDescent="0.25">
      <c r="B8671" s="42"/>
      <c r="AA8671" s="43"/>
    </row>
    <row r="8672" spans="2:27" x14ac:dyDescent="0.25">
      <c r="B8672" s="42"/>
      <c r="AA8672" s="43"/>
    </row>
    <row r="8673" spans="2:27" x14ac:dyDescent="0.25">
      <c r="B8673" s="42"/>
      <c r="AA8673" s="43"/>
    </row>
    <row r="8674" spans="2:27" x14ac:dyDescent="0.25">
      <c r="B8674" s="42"/>
      <c r="AA8674" s="43"/>
    </row>
    <row r="8675" spans="2:27" x14ac:dyDescent="0.25">
      <c r="B8675" s="42"/>
      <c r="AA8675" s="43"/>
    </row>
    <row r="8676" spans="2:27" x14ac:dyDescent="0.25">
      <c r="B8676" s="42"/>
      <c r="AA8676" s="43"/>
    </row>
    <row r="8677" spans="2:27" x14ac:dyDescent="0.25">
      <c r="B8677" s="42"/>
      <c r="AA8677" s="43"/>
    </row>
    <row r="8678" spans="2:27" x14ac:dyDescent="0.25">
      <c r="B8678" s="42"/>
      <c r="AA8678" s="43"/>
    </row>
    <row r="8679" spans="2:27" x14ac:dyDescent="0.25">
      <c r="B8679" s="42"/>
      <c r="AA8679" s="43"/>
    </row>
    <row r="8680" spans="2:27" x14ac:dyDescent="0.25">
      <c r="B8680" s="42"/>
      <c r="AA8680" s="43"/>
    </row>
    <row r="8681" spans="2:27" x14ac:dyDescent="0.25">
      <c r="B8681" s="42"/>
      <c r="AA8681" s="43"/>
    </row>
    <row r="8682" spans="2:27" x14ac:dyDescent="0.25">
      <c r="B8682" s="42"/>
      <c r="AA8682" s="43"/>
    </row>
    <row r="8683" spans="2:27" x14ac:dyDescent="0.25">
      <c r="B8683" s="42"/>
      <c r="AA8683" s="43"/>
    </row>
    <row r="8684" spans="2:27" x14ac:dyDescent="0.25">
      <c r="B8684" s="42"/>
      <c r="AA8684" s="43"/>
    </row>
    <row r="8685" spans="2:27" x14ac:dyDescent="0.25">
      <c r="B8685" s="42"/>
      <c r="AA8685" s="43"/>
    </row>
    <row r="8686" spans="2:27" x14ac:dyDescent="0.25">
      <c r="B8686" s="42"/>
      <c r="AA8686" s="43"/>
    </row>
    <row r="8687" spans="2:27" x14ac:dyDescent="0.25">
      <c r="B8687" s="42"/>
      <c r="AA8687" s="43"/>
    </row>
    <row r="8688" spans="2:27" x14ac:dyDescent="0.25">
      <c r="B8688" s="42"/>
      <c r="AA8688" s="43"/>
    </row>
    <row r="8689" spans="2:27" x14ac:dyDescent="0.25">
      <c r="B8689" s="42"/>
      <c r="AA8689" s="43"/>
    </row>
    <row r="8690" spans="2:27" x14ac:dyDescent="0.25">
      <c r="B8690" s="42"/>
      <c r="AA8690" s="43"/>
    </row>
    <row r="8691" spans="2:27" x14ac:dyDescent="0.25">
      <c r="B8691" s="42"/>
      <c r="AA8691" s="43"/>
    </row>
    <row r="8692" spans="2:27" x14ac:dyDescent="0.25">
      <c r="B8692" s="42"/>
      <c r="AA8692" s="43"/>
    </row>
    <row r="8693" spans="2:27" x14ac:dyDescent="0.25">
      <c r="B8693" s="42"/>
      <c r="AA8693" s="43"/>
    </row>
    <row r="8694" spans="2:27" x14ac:dyDescent="0.25">
      <c r="B8694" s="42"/>
      <c r="AA8694" s="43"/>
    </row>
    <row r="8695" spans="2:27" x14ac:dyDescent="0.25">
      <c r="B8695" s="42"/>
      <c r="AA8695" s="43"/>
    </row>
    <row r="8696" spans="2:27" x14ac:dyDescent="0.25">
      <c r="B8696" s="42"/>
      <c r="AA8696" s="43"/>
    </row>
    <row r="8697" spans="2:27" x14ac:dyDescent="0.25">
      <c r="B8697" s="42"/>
      <c r="AA8697" s="43"/>
    </row>
    <row r="8698" spans="2:27" x14ac:dyDescent="0.25">
      <c r="B8698" s="42"/>
      <c r="AA8698" s="43"/>
    </row>
    <row r="8699" spans="2:27" x14ac:dyDescent="0.25">
      <c r="B8699" s="42"/>
      <c r="AA8699" s="43"/>
    </row>
    <row r="8700" spans="2:27" x14ac:dyDescent="0.25">
      <c r="B8700" s="42"/>
      <c r="AA8700" s="43"/>
    </row>
    <row r="8701" spans="2:27" x14ac:dyDescent="0.25">
      <c r="B8701" s="42"/>
      <c r="AA8701" s="43"/>
    </row>
    <row r="8702" spans="2:27" x14ac:dyDescent="0.25">
      <c r="B8702" s="42"/>
      <c r="AA8702" s="43"/>
    </row>
    <row r="8703" spans="2:27" x14ac:dyDescent="0.25">
      <c r="B8703" s="42"/>
      <c r="AA8703" s="43"/>
    </row>
    <row r="8704" spans="2:27" x14ac:dyDescent="0.25">
      <c r="B8704" s="42"/>
      <c r="AA8704" s="43"/>
    </row>
    <row r="8705" spans="2:27" x14ac:dyDescent="0.25">
      <c r="B8705" s="42"/>
      <c r="AA8705" s="43"/>
    </row>
    <row r="8706" spans="2:27" x14ac:dyDescent="0.25">
      <c r="B8706" s="42"/>
      <c r="AA8706" s="43"/>
    </row>
    <row r="8707" spans="2:27" x14ac:dyDescent="0.25">
      <c r="B8707" s="42"/>
      <c r="AA8707" s="43"/>
    </row>
    <row r="8708" spans="2:27" x14ac:dyDescent="0.25">
      <c r="B8708" s="42"/>
      <c r="AA8708" s="43"/>
    </row>
    <row r="8709" spans="2:27" x14ac:dyDescent="0.25">
      <c r="B8709" s="42"/>
      <c r="AA8709" s="43"/>
    </row>
    <row r="8710" spans="2:27" x14ac:dyDescent="0.25">
      <c r="B8710" s="42"/>
      <c r="AA8710" s="43"/>
    </row>
    <row r="8711" spans="2:27" x14ac:dyDescent="0.25">
      <c r="B8711" s="42"/>
      <c r="AA8711" s="43"/>
    </row>
    <row r="8712" spans="2:27" x14ac:dyDescent="0.25">
      <c r="B8712" s="42"/>
      <c r="AA8712" s="43"/>
    </row>
    <row r="8713" spans="2:27" x14ac:dyDescent="0.25">
      <c r="B8713" s="42"/>
      <c r="AA8713" s="43"/>
    </row>
    <row r="8714" spans="2:27" x14ac:dyDescent="0.25">
      <c r="B8714" s="42"/>
      <c r="AA8714" s="43"/>
    </row>
    <row r="8715" spans="2:27" x14ac:dyDescent="0.25">
      <c r="B8715" s="42"/>
      <c r="AA8715" s="43"/>
    </row>
    <row r="8716" spans="2:27" x14ac:dyDescent="0.25">
      <c r="B8716" s="42"/>
      <c r="AA8716" s="43"/>
    </row>
    <row r="8717" spans="2:27" x14ac:dyDescent="0.25">
      <c r="B8717" s="42"/>
      <c r="AA8717" s="43"/>
    </row>
    <row r="8718" spans="2:27" x14ac:dyDescent="0.25">
      <c r="B8718" s="42"/>
      <c r="AA8718" s="43"/>
    </row>
    <row r="8719" spans="2:27" x14ac:dyDescent="0.25">
      <c r="B8719" s="42"/>
      <c r="AA8719" s="43"/>
    </row>
    <row r="8720" spans="2:27" x14ac:dyDescent="0.25">
      <c r="B8720" s="42"/>
      <c r="AA8720" s="43"/>
    </row>
    <row r="8721" spans="2:27" x14ac:dyDescent="0.25">
      <c r="B8721" s="42"/>
      <c r="AA8721" s="43"/>
    </row>
    <row r="8722" spans="2:27" x14ac:dyDescent="0.25">
      <c r="B8722" s="42"/>
      <c r="AA8722" s="43"/>
    </row>
    <row r="8723" spans="2:27" x14ac:dyDescent="0.25">
      <c r="B8723" s="42"/>
      <c r="AA8723" s="43"/>
    </row>
    <row r="8724" spans="2:27" x14ac:dyDescent="0.25">
      <c r="B8724" s="42"/>
      <c r="AA8724" s="43"/>
    </row>
    <row r="8725" spans="2:27" x14ac:dyDescent="0.25">
      <c r="B8725" s="42"/>
      <c r="AA8725" s="43"/>
    </row>
    <row r="8726" spans="2:27" x14ac:dyDescent="0.25">
      <c r="B8726" s="42"/>
      <c r="AA8726" s="43"/>
    </row>
    <row r="8727" spans="2:27" x14ac:dyDescent="0.25">
      <c r="B8727" s="42"/>
      <c r="AA8727" s="43"/>
    </row>
    <row r="8728" spans="2:27" x14ac:dyDescent="0.25">
      <c r="B8728" s="42"/>
      <c r="AA8728" s="43"/>
    </row>
    <row r="8729" spans="2:27" x14ac:dyDescent="0.25">
      <c r="B8729" s="42"/>
      <c r="AA8729" s="43"/>
    </row>
    <row r="8730" spans="2:27" x14ac:dyDescent="0.25">
      <c r="B8730" s="42"/>
      <c r="AA8730" s="43"/>
    </row>
    <row r="8731" spans="2:27" x14ac:dyDescent="0.25">
      <c r="B8731" s="42"/>
      <c r="AA8731" s="43"/>
    </row>
    <row r="8732" spans="2:27" x14ac:dyDescent="0.25">
      <c r="B8732" s="42"/>
      <c r="AA8732" s="43"/>
    </row>
    <row r="8733" spans="2:27" x14ac:dyDescent="0.25">
      <c r="B8733" s="42"/>
      <c r="AA8733" s="43"/>
    </row>
    <row r="8734" spans="2:27" x14ac:dyDescent="0.25">
      <c r="B8734" s="42"/>
      <c r="AA8734" s="43"/>
    </row>
    <row r="8735" spans="2:27" x14ac:dyDescent="0.25">
      <c r="B8735" s="42"/>
      <c r="AA8735" s="43"/>
    </row>
    <row r="8736" spans="2:27" x14ac:dyDescent="0.25">
      <c r="B8736" s="42"/>
      <c r="AA8736" s="43"/>
    </row>
    <row r="8737" spans="2:27" x14ac:dyDescent="0.25">
      <c r="B8737" s="42"/>
      <c r="AA8737" s="43"/>
    </row>
    <row r="8738" spans="2:27" x14ac:dyDescent="0.25">
      <c r="B8738" s="42"/>
      <c r="AA8738" s="43"/>
    </row>
    <row r="8739" spans="2:27" x14ac:dyDescent="0.25">
      <c r="B8739" s="42"/>
      <c r="AA8739" s="43"/>
    </row>
    <row r="8740" spans="2:27" x14ac:dyDescent="0.25">
      <c r="B8740" s="42"/>
      <c r="AA8740" s="43"/>
    </row>
    <row r="8741" spans="2:27" x14ac:dyDescent="0.25">
      <c r="B8741" s="42"/>
      <c r="AA8741" s="43"/>
    </row>
    <row r="8742" spans="2:27" x14ac:dyDescent="0.25">
      <c r="B8742" s="42"/>
      <c r="AA8742" s="43"/>
    </row>
    <row r="8743" spans="2:27" x14ac:dyDescent="0.25">
      <c r="B8743" s="42"/>
      <c r="AA8743" s="43"/>
    </row>
    <row r="8744" spans="2:27" x14ac:dyDescent="0.25">
      <c r="B8744" s="42"/>
      <c r="AA8744" s="43"/>
    </row>
    <row r="8745" spans="2:27" x14ac:dyDescent="0.25">
      <c r="B8745" s="42"/>
      <c r="AA8745" s="43"/>
    </row>
    <row r="8746" spans="2:27" x14ac:dyDescent="0.25">
      <c r="B8746" s="42"/>
      <c r="AA8746" s="43"/>
    </row>
    <row r="8747" spans="2:27" x14ac:dyDescent="0.25">
      <c r="B8747" s="42"/>
      <c r="AA8747" s="43"/>
    </row>
    <row r="8748" spans="2:27" x14ac:dyDescent="0.25">
      <c r="B8748" s="42"/>
      <c r="AA8748" s="43"/>
    </row>
    <row r="8749" spans="2:27" x14ac:dyDescent="0.25">
      <c r="B8749" s="42"/>
      <c r="AA8749" s="43"/>
    </row>
    <row r="8750" spans="2:27" x14ac:dyDescent="0.25">
      <c r="B8750" s="42"/>
      <c r="AA8750" s="43"/>
    </row>
    <row r="8751" spans="2:27" x14ac:dyDescent="0.25">
      <c r="B8751" s="42"/>
      <c r="AA8751" s="43"/>
    </row>
    <row r="8752" spans="2:27" x14ac:dyDescent="0.25">
      <c r="B8752" s="42"/>
      <c r="AA8752" s="43"/>
    </row>
    <row r="8753" spans="2:27" x14ac:dyDescent="0.25">
      <c r="B8753" s="42"/>
      <c r="AA8753" s="43"/>
    </row>
    <row r="8754" spans="2:27" x14ac:dyDescent="0.25">
      <c r="B8754" s="42"/>
      <c r="AA8754" s="43"/>
    </row>
    <row r="8755" spans="2:27" x14ac:dyDescent="0.25">
      <c r="B8755" s="42"/>
      <c r="AA8755" s="43"/>
    </row>
    <row r="8756" spans="2:27" x14ac:dyDescent="0.25">
      <c r="B8756" s="42"/>
      <c r="AA8756" s="43"/>
    </row>
    <row r="8757" spans="2:27" x14ac:dyDescent="0.25">
      <c r="B8757" s="42"/>
      <c r="AA8757" s="43"/>
    </row>
    <row r="8758" spans="2:27" x14ac:dyDescent="0.25">
      <c r="B8758" s="42"/>
      <c r="AA8758" s="43"/>
    </row>
    <row r="8759" spans="2:27" x14ac:dyDescent="0.25">
      <c r="B8759" s="42"/>
      <c r="AA8759" s="43"/>
    </row>
    <row r="8760" spans="2:27" x14ac:dyDescent="0.25">
      <c r="B8760" s="42"/>
      <c r="AA8760" s="43"/>
    </row>
    <row r="8761" spans="2:27" x14ac:dyDescent="0.25">
      <c r="B8761" s="42"/>
      <c r="AA8761" s="43"/>
    </row>
    <row r="8762" spans="2:27" x14ac:dyDescent="0.25">
      <c r="B8762" s="42"/>
      <c r="AA8762" s="43"/>
    </row>
    <row r="8763" spans="2:27" x14ac:dyDescent="0.25">
      <c r="B8763" s="42"/>
      <c r="AA8763" s="43"/>
    </row>
    <row r="8764" spans="2:27" x14ac:dyDescent="0.25">
      <c r="B8764" s="42"/>
      <c r="AA8764" s="43"/>
    </row>
    <row r="8765" spans="2:27" x14ac:dyDescent="0.25">
      <c r="B8765" s="42"/>
      <c r="AA8765" s="43"/>
    </row>
    <row r="8766" spans="2:27" x14ac:dyDescent="0.25">
      <c r="B8766" s="42"/>
      <c r="AA8766" s="43"/>
    </row>
    <row r="8767" spans="2:27" x14ac:dyDescent="0.25">
      <c r="B8767" s="42"/>
      <c r="AA8767" s="43"/>
    </row>
    <row r="8768" spans="2:27" x14ac:dyDescent="0.25">
      <c r="B8768" s="42"/>
      <c r="AA8768" s="43"/>
    </row>
    <row r="8769" spans="2:27" x14ac:dyDescent="0.25">
      <c r="B8769" s="42"/>
      <c r="AA8769" s="43"/>
    </row>
    <row r="8770" spans="2:27" x14ac:dyDescent="0.25">
      <c r="B8770" s="42"/>
      <c r="AA8770" s="43"/>
    </row>
    <row r="8771" spans="2:27" x14ac:dyDescent="0.25">
      <c r="B8771" s="42"/>
      <c r="AA8771" s="43"/>
    </row>
    <row r="8772" spans="2:27" x14ac:dyDescent="0.25">
      <c r="B8772" s="42"/>
      <c r="AA8772" s="43"/>
    </row>
    <row r="8773" spans="2:27" x14ac:dyDescent="0.25">
      <c r="B8773" s="42"/>
      <c r="AA8773" s="43"/>
    </row>
    <row r="8774" spans="2:27" x14ac:dyDescent="0.25">
      <c r="B8774" s="42"/>
      <c r="AA8774" s="43"/>
    </row>
    <row r="8775" spans="2:27" x14ac:dyDescent="0.25">
      <c r="B8775" s="42"/>
      <c r="AA8775" s="43"/>
    </row>
    <row r="8776" spans="2:27" x14ac:dyDescent="0.25">
      <c r="B8776" s="42"/>
      <c r="AA8776" s="43"/>
    </row>
    <row r="8777" spans="2:27" x14ac:dyDescent="0.25">
      <c r="B8777" s="42"/>
      <c r="AA8777" s="43"/>
    </row>
    <row r="8778" spans="2:27" x14ac:dyDescent="0.25">
      <c r="B8778" s="42"/>
      <c r="AA8778" s="43"/>
    </row>
    <row r="8779" spans="2:27" x14ac:dyDescent="0.25">
      <c r="B8779" s="42"/>
      <c r="AA8779" s="43"/>
    </row>
    <row r="8780" spans="2:27" x14ac:dyDescent="0.25">
      <c r="B8780" s="42"/>
      <c r="AA8780" s="43"/>
    </row>
    <row r="8781" spans="2:27" x14ac:dyDescent="0.25">
      <c r="B8781" s="42"/>
      <c r="AA8781" s="43"/>
    </row>
    <row r="8782" spans="2:27" x14ac:dyDescent="0.25">
      <c r="B8782" s="42"/>
      <c r="AA8782" s="43"/>
    </row>
    <row r="8783" spans="2:27" x14ac:dyDescent="0.25">
      <c r="B8783" s="42"/>
      <c r="AA8783" s="43"/>
    </row>
    <row r="8784" spans="2:27" x14ac:dyDescent="0.25">
      <c r="B8784" s="42"/>
      <c r="AA8784" s="43"/>
    </row>
    <row r="8785" spans="2:27" x14ac:dyDescent="0.25">
      <c r="B8785" s="42"/>
      <c r="AA8785" s="43"/>
    </row>
    <row r="8786" spans="2:27" x14ac:dyDescent="0.25">
      <c r="B8786" s="42"/>
      <c r="AA8786" s="43"/>
    </row>
    <row r="8787" spans="2:27" x14ac:dyDescent="0.25">
      <c r="B8787" s="42"/>
      <c r="AA8787" s="43"/>
    </row>
    <row r="8788" spans="2:27" x14ac:dyDescent="0.25">
      <c r="B8788" s="42"/>
      <c r="AA8788" s="43"/>
    </row>
    <row r="8789" spans="2:27" x14ac:dyDescent="0.25">
      <c r="B8789" s="42"/>
      <c r="AA8789" s="43"/>
    </row>
    <row r="8790" spans="2:27" x14ac:dyDescent="0.25">
      <c r="B8790" s="42"/>
      <c r="AA8790" s="43"/>
    </row>
    <row r="8791" spans="2:27" x14ac:dyDescent="0.25">
      <c r="B8791" s="42"/>
      <c r="AA8791" s="43"/>
    </row>
    <row r="8792" spans="2:27" x14ac:dyDescent="0.25">
      <c r="B8792" s="42"/>
      <c r="AA8792" s="43"/>
    </row>
    <row r="8793" spans="2:27" x14ac:dyDescent="0.25">
      <c r="B8793" s="42"/>
      <c r="AA8793" s="43"/>
    </row>
    <row r="8794" spans="2:27" x14ac:dyDescent="0.25">
      <c r="B8794" s="42"/>
      <c r="AA8794" s="43"/>
    </row>
    <row r="8795" spans="2:27" x14ac:dyDescent="0.25">
      <c r="B8795" s="42"/>
      <c r="AA8795" s="43"/>
    </row>
    <row r="8796" spans="2:27" x14ac:dyDescent="0.25">
      <c r="B8796" s="42"/>
      <c r="AA8796" s="43"/>
    </row>
    <row r="8797" spans="2:27" x14ac:dyDescent="0.25">
      <c r="B8797" s="42"/>
      <c r="AA8797" s="43"/>
    </row>
    <row r="8798" spans="2:27" x14ac:dyDescent="0.25">
      <c r="B8798" s="42"/>
      <c r="AA8798" s="43"/>
    </row>
    <row r="8799" spans="2:27" x14ac:dyDescent="0.25">
      <c r="B8799" s="42"/>
      <c r="AA8799" s="43"/>
    </row>
    <row r="8800" spans="2:27" x14ac:dyDescent="0.25">
      <c r="B8800" s="42"/>
      <c r="AA8800" s="43"/>
    </row>
    <row r="8801" spans="2:27" x14ac:dyDescent="0.25">
      <c r="B8801" s="42"/>
      <c r="AA8801" s="43"/>
    </row>
    <row r="8802" spans="2:27" x14ac:dyDescent="0.25">
      <c r="B8802" s="42"/>
      <c r="AA8802" s="43"/>
    </row>
    <row r="8803" spans="2:27" x14ac:dyDescent="0.25">
      <c r="B8803" s="42"/>
      <c r="AA8803" s="43"/>
    </row>
    <row r="8804" spans="2:27" x14ac:dyDescent="0.25">
      <c r="B8804" s="42"/>
      <c r="AA8804" s="43"/>
    </row>
    <row r="8805" spans="2:27" x14ac:dyDescent="0.25">
      <c r="B8805" s="42"/>
      <c r="AA8805" s="43"/>
    </row>
    <row r="8806" spans="2:27" x14ac:dyDescent="0.25">
      <c r="B8806" s="42"/>
      <c r="AA8806" s="43"/>
    </row>
    <row r="8807" spans="2:27" x14ac:dyDescent="0.25">
      <c r="B8807" s="42"/>
      <c r="AA8807" s="43"/>
    </row>
    <row r="8808" spans="2:27" x14ac:dyDescent="0.25">
      <c r="B8808" s="42"/>
      <c r="AA8808" s="43"/>
    </row>
    <row r="8809" spans="2:27" x14ac:dyDescent="0.25">
      <c r="B8809" s="42"/>
      <c r="AA8809" s="43"/>
    </row>
    <row r="8810" spans="2:27" x14ac:dyDescent="0.25">
      <c r="B8810" s="42"/>
      <c r="AA8810" s="43"/>
    </row>
    <row r="8811" spans="2:27" x14ac:dyDescent="0.25">
      <c r="B8811" s="42"/>
      <c r="AA8811" s="43"/>
    </row>
    <row r="8812" spans="2:27" x14ac:dyDescent="0.25">
      <c r="B8812" s="42"/>
      <c r="AA8812" s="43"/>
    </row>
    <row r="8813" spans="2:27" x14ac:dyDescent="0.25">
      <c r="B8813" s="42"/>
      <c r="AA8813" s="43"/>
    </row>
    <row r="8814" spans="2:27" x14ac:dyDescent="0.25">
      <c r="B8814" s="42"/>
      <c r="AA8814" s="43"/>
    </row>
    <row r="8815" spans="2:27" x14ac:dyDescent="0.25">
      <c r="B8815" s="42"/>
      <c r="AA8815" s="43"/>
    </row>
    <row r="8816" spans="2:27" x14ac:dyDescent="0.25">
      <c r="B8816" s="42"/>
      <c r="AA8816" s="43"/>
    </row>
    <row r="8817" spans="2:27" x14ac:dyDescent="0.25">
      <c r="B8817" s="42"/>
      <c r="AA8817" s="43"/>
    </row>
    <row r="8818" spans="2:27" x14ac:dyDescent="0.25">
      <c r="B8818" s="42"/>
      <c r="AA8818" s="43"/>
    </row>
    <row r="8819" spans="2:27" x14ac:dyDescent="0.25">
      <c r="B8819" s="42"/>
      <c r="AA8819" s="43"/>
    </row>
    <row r="8820" spans="2:27" x14ac:dyDescent="0.25">
      <c r="B8820" s="42"/>
      <c r="AA8820" s="43"/>
    </row>
    <row r="8821" spans="2:27" x14ac:dyDescent="0.25">
      <c r="B8821" s="42"/>
      <c r="AA8821" s="43"/>
    </row>
    <row r="8822" spans="2:27" x14ac:dyDescent="0.25">
      <c r="B8822" s="42"/>
      <c r="AA8822" s="43"/>
    </row>
    <row r="8823" spans="2:27" x14ac:dyDescent="0.25">
      <c r="B8823" s="42"/>
      <c r="AA8823" s="43"/>
    </row>
    <row r="8824" spans="2:27" x14ac:dyDescent="0.25">
      <c r="B8824" s="42"/>
      <c r="AA8824" s="43"/>
    </row>
    <row r="8825" spans="2:27" x14ac:dyDescent="0.25">
      <c r="B8825" s="42"/>
      <c r="AA8825" s="43"/>
    </row>
    <row r="8826" spans="2:27" x14ac:dyDescent="0.25">
      <c r="B8826" s="42"/>
      <c r="AA8826" s="43"/>
    </row>
    <row r="8827" spans="2:27" x14ac:dyDescent="0.25">
      <c r="B8827" s="42"/>
      <c r="AA8827" s="43"/>
    </row>
    <row r="8828" spans="2:27" x14ac:dyDescent="0.25">
      <c r="B8828" s="42"/>
      <c r="AA8828" s="43"/>
    </row>
    <row r="8829" spans="2:27" x14ac:dyDescent="0.25">
      <c r="B8829" s="42"/>
      <c r="AA8829" s="43"/>
    </row>
    <row r="8830" spans="2:27" x14ac:dyDescent="0.25">
      <c r="B8830" s="42"/>
      <c r="AA8830" s="43"/>
    </row>
    <row r="8831" spans="2:27" x14ac:dyDescent="0.25">
      <c r="B8831" s="42"/>
      <c r="AA8831" s="43"/>
    </row>
    <row r="8832" spans="2:27" x14ac:dyDescent="0.25">
      <c r="B8832" s="42"/>
      <c r="AA8832" s="43"/>
    </row>
    <row r="8833" spans="2:27" x14ac:dyDescent="0.25">
      <c r="B8833" s="42"/>
      <c r="AA8833" s="43"/>
    </row>
    <row r="8834" spans="2:27" x14ac:dyDescent="0.25">
      <c r="B8834" s="42"/>
      <c r="AA8834" s="43"/>
    </row>
    <row r="8835" spans="2:27" x14ac:dyDescent="0.25">
      <c r="B8835" s="42"/>
      <c r="AA8835" s="43"/>
    </row>
    <row r="8836" spans="2:27" x14ac:dyDescent="0.25">
      <c r="B8836" s="42"/>
      <c r="AA8836" s="43"/>
    </row>
    <row r="8837" spans="2:27" x14ac:dyDescent="0.25">
      <c r="B8837" s="42"/>
      <c r="AA8837" s="43"/>
    </row>
    <row r="8838" spans="2:27" x14ac:dyDescent="0.25">
      <c r="B8838" s="42"/>
      <c r="AA8838" s="43"/>
    </row>
    <row r="8839" spans="2:27" x14ac:dyDescent="0.25">
      <c r="B8839" s="42"/>
      <c r="AA8839" s="43"/>
    </row>
    <row r="8840" spans="2:27" x14ac:dyDescent="0.25">
      <c r="B8840" s="42"/>
      <c r="AA8840" s="43"/>
    </row>
    <row r="8841" spans="2:27" x14ac:dyDescent="0.25">
      <c r="B8841" s="42"/>
      <c r="AA8841" s="43"/>
    </row>
    <row r="8842" spans="2:27" x14ac:dyDescent="0.25">
      <c r="B8842" s="42"/>
      <c r="AA8842" s="43"/>
    </row>
    <row r="8843" spans="2:27" x14ac:dyDescent="0.25">
      <c r="B8843" s="42"/>
      <c r="AA8843" s="43"/>
    </row>
    <row r="8844" spans="2:27" x14ac:dyDescent="0.25">
      <c r="B8844" s="42"/>
      <c r="AA8844" s="43"/>
    </row>
    <row r="8845" spans="2:27" x14ac:dyDescent="0.25">
      <c r="B8845" s="42"/>
      <c r="AA8845" s="43"/>
    </row>
    <row r="8846" spans="2:27" x14ac:dyDescent="0.25">
      <c r="B8846" s="42"/>
      <c r="AA8846" s="43"/>
    </row>
    <row r="8847" spans="2:27" x14ac:dyDescent="0.25">
      <c r="B8847" s="42"/>
      <c r="AA8847" s="43"/>
    </row>
    <row r="8848" spans="2:27" x14ac:dyDescent="0.25">
      <c r="B8848" s="42"/>
      <c r="AA8848" s="43"/>
    </row>
    <row r="8849" spans="2:27" x14ac:dyDescent="0.25">
      <c r="B8849" s="42"/>
      <c r="AA8849" s="43"/>
    </row>
    <row r="8850" spans="2:27" x14ac:dyDescent="0.25">
      <c r="B8850" s="42"/>
      <c r="AA8850" s="43"/>
    </row>
    <row r="8851" spans="2:27" x14ac:dyDescent="0.25">
      <c r="B8851" s="42"/>
      <c r="AA8851" s="43"/>
    </row>
    <row r="8852" spans="2:27" x14ac:dyDescent="0.25">
      <c r="B8852" s="42"/>
      <c r="AA8852" s="43"/>
    </row>
    <row r="8853" spans="2:27" x14ac:dyDescent="0.25">
      <c r="B8853" s="42"/>
      <c r="AA8853" s="43"/>
    </row>
    <row r="8854" spans="2:27" x14ac:dyDescent="0.25">
      <c r="B8854" s="42"/>
      <c r="AA8854" s="43"/>
    </row>
    <row r="8855" spans="2:27" x14ac:dyDescent="0.25">
      <c r="B8855" s="42"/>
      <c r="AA8855" s="43"/>
    </row>
    <row r="8856" spans="2:27" x14ac:dyDescent="0.25">
      <c r="B8856" s="42"/>
      <c r="AA8856" s="43"/>
    </row>
    <row r="8857" spans="2:27" x14ac:dyDescent="0.25">
      <c r="B8857" s="42"/>
      <c r="AA8857" s="43"/>
    </row>
    <row r="8858" spans="2:27" x14ac:dyDescent="0.25">
      <c r="B8858" s="42"/>
      <c r="AA8858" s="43"/>
    </row>
    <row r="8859" spans="2:27" x14ac:dyDescent="0.25">
      <c r="B8859" s="42"/>
      <c r="AA8859" s="43"/>
    </row>
    <row r="8860" spans="2:27" x14ac:dyDescent="0.25">
      <c r="B8860" s="42"/>
      <c r="AA8860" s="43"/>
    </row>
    <row r="8861" spans="2:27" x14ac:dyDescent="0.25">
      <c r="B8861" s="42"/>
      <c r="AA8861" s="43"/>
    </row>
    <row r="8862" spans="2:27" x14ac:dyDescent="0.25">
      <c r="B8862" s="42"/>
      <c r="AA8862" s="43"/>
    </row>
    <row r="8863" spans="2:27" x14ac:dyDescent="0.25">
      <c r="B8863" s="42"/>
      <c r="AA8863" s="43"/>
    </row>
    <row r="8864" spans="2:27" x14ac:dyDescent="0.25">
      <c r="B8864" s="42"/>
      <c r="AA8864" s="43"/>
    </row>
    <row r="8865" spans="2:27" x14ac:dyDescent="0.25">
      <c r="B8865" s="42"/>
      <c r="AA8865" s="43"/>
    </row>
    <row r="8866" spans="2:27" x14ac:dyDescent="0.25">
      <c r="B8866" s="42"/>
      <c r="AA8866" s="43"/>
    </row>
    <row r="8867" spans="2:27" x14ac:dyDescent="0.25">
      <c r="B8867" s="42"/>
      <c r="AA8867" s="43"/>
    </row>
    <row r="8868" spans="2:27" x14ac:dyDescent="0.25">
      <c r="B8868" s="42"/>
      <c r="AA8868" s="43"/>
    </row>
    <row r="8869" spans="2:27" x14ac:dyDescent="0.25">
      <c r="B8869" s="42"/>
      <c r="AA8869" s="43"/>
    </row>
    <row r="8870" spans="2:27" x14ac:dyDescent="0.25">
      <c r="B8870" s="42"/>
      <c r="AA8870" s="43"/>
    </row>
    <row r="8871" spans="2:27" x14ac:dyDescent="0.25">
      <c r="B8871" s="42"/>
      <c r="AA8871" s="43"/>
    </row>
    <row r="8872" spans="2:27" x14ac:dyDescent="0.25">
      <c r="B8872" s="42"/>
      <c r="AA8872" s="43"/>
    </row>
    <row r="8873" spans="2:27" x14ac:dyDescent="0.25">
      <c r="B8873" s="42"/>
      <c r="AA8873" s="43"/>
    </row>
    <row r="8874" spans="2:27" x14ac:dyDescent="0.25">
      <c r="B8874" s="42"/>
      <c r="AA8874" s="43"/>
    </row>
    <row r="8875" spans="2:27" x14ac:dyDescent="0.25">
      <c r="B8875" s="42"/>
      <c r="AA8875" s="43"/>
    </row>
    <row r="8876" spans="2:27" x14ac:dyDescent="0.25">
      <c r="B8876" s="42"/>
      <c r="AA8876" s="43"/>
    </row>
    <row r="8877" spans="2:27" x14ac:dyDescent="0.25">
      <c r="B8877" s="42"/>
      <c r="AA8877" s="43"/>
    </row>
    <row r="8878" spans="2:27" x14ac:dyDescent="0.25">
      <c r="B8878" s="42"/>
      <c r="AA8878" s="43"/>
    </row>
    <row r="8879" spans="2:27" x14ac:dyDescent="0.25">
      <c r="B8879" s="42"/>
      <c r="AA8879" s="43"/>
    </row>
    <row r="8880" spans="2:27" x14ac:dyDescent="0.25">
      <c r="B8880" s="42"/>
      <c r="AA8880" s="43"/>
    </row>
    <row r="8881" spans="2:27" x14ac:dyDescent="0.25">
      <c r="B8881" s="42"/>
      <c r="AA8881" s="43"/>
    </row>
    <row r="8882" spans="2:27" x14ac:dyDescent="0.25">
      <c r="B8882" s="42"/>
      <c r="AA8882" s="43"/>
    </row>
    <row r="8883" spans="2:27" x14ac:dyDescent="0.25">
      <c r="B8883" s="42"/>
      <c r="AA8883" s="43"/>
    </row>
    <row r="8884" spans="2:27" x14ac:dyDescent="0.25">
      <c r="B8884" s="42"/>
      <c r="AA8884" s="43"/>
    </row>
    <row r="8885" spans="2:27" x14ac:dyDescent="0.25">
      <c r="B8885" s="42"/>
      <c r="AA8885" s="43"/>
    </row>
    <row r="8886" spans="2:27" x14ac:dyDescent="0.25">
      <c r="B8886" s="42"/>
      <c r="AA8886" s="43"/>
    </row>
    <row r="8887" spans="2:27" x14ac:dyDescent="0.25">
      <c r="B8887" s="42"/>
      <c r="AA8887" s="43"/>
    </row>
    <row r="8888" spans="2:27" x14ac:dyDescent="0.25">
      <c r="B8888" s="42"/>
      <c r="AA8888" s="43"/>
    </row>
    <row r="8889" spans="2:27" x14ac:dyDescent="0.25">
      <c r="B8889" s="42"/>
      <c r="AA8889" s="43"/>
    </row>
    <row r="8890" spans="2:27" x14ac:dyDescent="0.25">
      <c r="B8890" s="42"/>
      <c r="AA8890" s="43"/>
    </row>
    <row r="8891" spans="2:27" x14ac:dyDescent="0.25">
      <c r="B8891" s="42"/>
      <c r="AA8891" s="43"/>
    </row>
    <row r="8892" spans="2:27" x14ac:dyDescent="0.25">
      <c r="B8892" s="42"/>
      <c r="AA8892" s="43"/>
    </row>
    <row r="8893" spans="2:27" x14ac:dyDescent="0.25">
      <c r="B8893" s="42"/>
      <c r="AA8893" s="43"/>
    </row>
    <row r="8894" spans="2:27" x14ac:dyDescent="0.25">
      <c r="B8894" s="42"/>
      <c r="AA8894" s="43"/>
    </row>
    <row r="8895" spans="2:27" x14ac:dyDescent="0.25">
      <c r="B8895" s="42"/>
      <c r="AA8895" s="43"/>
    </row>
    <row r="8896" spans="2:27" x14ac:dyDescent="0.25">
      <c r="B8896" s="42"/>
      <c r="AA8896" s="43"/>
    </row>
    <row r="8897" spans="2:27" x14ac:dyDescent="0.25">
      <c r="B8897" s="42"/>
      <c r="AA8897" s="43"/>
    </row>
    <row r="8898" spans="2:27" x14ac:dyDescent="0.25">
      <c r="B8898" s="42"/>
      <c r="AA8898" s="43"/>
    </row>
    <row r="8899" spans="2:27" x14ac:dyDescent="0.25">
      <c r="B8899" s="42"/>
      <c r="AA8899" s="43"/>
    </row>
    <row r="8900" spans="2:27" x14ac:dyDescent="0.25">
      <c r="B8900" s="42"/>
      <c r="AA8900" s="43"/>
    </row>
    <row r="8901" spans="2:27" x14ac:dyDescent="0.25">
      <c r="B8901" s="42"/>
      <c r="AA8901" s="43"/>
    </row>
    <row r="8902" spans="2:27" x14ac:dyDescent="0.25">
      <c r="B8902" s="42"/>
      <c r="AA8902" s="43"/>
    </row>
    <row r="8903" spans="2:27" x14ac:dyDescent="0.25">
      <c r="B8903" s="42"/>
      <c r="AA8903" s="43"/>
    </row>
    <row r="8904" spans="2:27" x14ac:dyDescent="0.25">
      <c r="B8904" s="42"/>
      <c r="AA8904" s="43"/>
    </row>
    <row r="8905" spans="2:27" x14ac:dyDescent="0.25">
      <c r="B8905" s="42"/>
      <c r="AA8905" s="43"/>
    </row>
    <row r="8906" spans="2:27" x14ac:dyDescent="0.25">
      <c r="B8906" s="42"/>
      <c r="AA8906" s="43"/>
    </row>
    <row r="8907" spans="2:27" x14ac:dyDescent="0.25">
      <c r="B8907" s="42"/>
      <c r="AA8907" s="43"/>
    </row>
    <row r="8908" spans="2:27" x14ac:dyDescent="0.25">
      <c r="B8908" s="42"/>
      <c r="AA8908" s="43"/>
    </row>
    <row r="8909" spans="2:27" x14ac:dyDescent="0.25">
      <c r="B8909" s="42"/>
      <c r="AA8909" s="43"/>
    </row>
    <row r="8910" spans="2:27" x14ac:dyDescent="0.25">
      <c r="B8910" s="42"/>
      <c r="AA8910" s="43"/>
    </row>
    <row r="8911" spans="2:27" x14ac:dyDescent="0.25">
      <c r="B8911" s="42"/>
      <c r="AA8911" s="43"/>
    </row>
    <row r="8912" spans="2:27" x14ac:dyDescent="0.25">
      <c r="B8912" s="42"/>
      <c r="AA8912" s="43"/>
    </row>
    <row r="8913" spans="2:27" x14ac:dyDescent="0.25">
      <c r="B8913" s="42"/>
      <c r="AA8913" s="43"/>
    </row>
    <row r="8914" spans="2:27" x14ac:dyDescent="0.25">
      <c r="B8914" s="42"/>
      <c r="AA8914" s="43"/>
    </row>
    <row r="8915" spans="2:27" x14ac:dyDescent="0.25">
      <c r="B8915" s="42"/>
      <c r="AA8915" s="43"/>
    </row>
    <row r="8916" spans="2:27" x14ac:dyDescent="0.25">
      <c r="B8916" s="42"/>
      <c r="AA8916" s="43"/>
    </row>
    <row r="8917" spans="2:27" x14ac:dyDescent="0.25">
      <c r="B8917" s="42"/>
      <c r="AA8917" s="43"/>
    </row>
    <row r="8918" spans="2:27" x14ac:dyDescent="0.25">
      <c r="B8918" s="42"/>
      <c r="AA8918" s="43"/>
    </row>
    <row r="8919" spans="2:27" x14ac:dyDescent="0.25">
      <c r="B8919" s="42"/>
      <c r="AA8919" s="43"/>
    </row>
    <row r="8920" spans="2:27" x14ac:dyDescent="0.25">
      <c r="B8920" s="42"/>
      <c r="AA8920" s="43"/>
    </row>
    <row r="8921" spans="2:27" x14ac:dyDescent="0.25">
      <c r="B8921" s="42"/>
      <c r="AA8921" s="43"/>
    </row>
    <row r="8922" spans="2:27" x14ac:dyDescent="0.25">
      <c r="B8922" s="42"/>
      <c r="AA8922" s="43"/>
    </row>
    <row r="8923" spans="2:27" x14ac:dyDescent="0.25">
      <c r="B8923" s="42"/>
      <c r="AA8923" s="43"/>
    </row>
    <row r="8924" spans="2:27" x14ac:dyDescent="0.25">
      <c r="B8924" s="42"/>
      <c r="AA8924" s="43"/>
    </row>
    <row r="8925" spans="2:27" x14ac:dyDescent="0.25">
      <c r="B8925" s="42"/>
      <c r="AA8925" s="43"/>
    </row>
    <row r="8926" spans="2:27" x14ac:dyDescent="0.25">
      <c r="B8926" s="42"/>
      <c r="AA8926" s="43"/>
    </row>
    <row r="8927" spans="2:27" x14ac:dyDescent="0.25">
      <c r="B8927" s="42"/>
      <c r="AA8927" s="43"/>
    </row>
    <row r="8928" spans="2:27" x14ac:dyDescent="0.25">
      <c r="B8928" s="42"/>
      <c r="AA8928" s="43"/>
    </row>
    <row r="8929" spans="2:27" x14ac:dyDescent="0.25">
      <c r="B8929" s="42"/>
      <c r="AA8929" s="43"/>
    </row>
    <row r="8930" spans="2:27" x14ac:dyDescent="0.25">
      <c r="B8930" s="42"/>
      <c r="AA8930" s="43"/>
    </row>
    <row r="8931" spans="2:27" x14ac:dyDescent="0.25">
      <c r="B8931" s="42"/>
      <c r="AA8931" s="43"/>
    </row>
    <row r="8932" spans="2:27" x14ac:dyDescent="0.25">
      <c r="B8932" s="42"/>
      <c r="AA8932" s="43"/>
    </row>
    <row r="8933" spans="2:27" x14ac:dyDescent="0.25">
      <c r="B8933" s="42"/>
      <c r="AA8933" s="43"/>
    </row>
    <row r="8934" spans="2:27" x14ac:dyDescent="0.25">
      <c r="B8934" s="42"/>
      <c r="AA8934" s="43"/>
    </row>
    <row r="8935" spans="2:27" x14ac:dyDescent="0.25">
      <c r="B8935" s="42"/>
      <c r="AA8935" s="43"/>
    </row>
    <row r="8936" spans="2:27" x14ac:dyDescent="0.25">
      <c r="B8936" s="42"/>
      <c r="AA8936" s="43"/>
    </row>
    <row r="8937" spans="2:27" x14ac:dyDescent="0.25">
      <c r="B8937" s="42"/>
      <c r="AA8937" s="43"/>
    </row>
    <row r="8938" spans="2:27" x14ac:dyDescent="0.25">
      <c r="B8938" s="42"/>
      <c r="AA8938" s="43"/>
    </row>
    <row r="8939" spans="2:27" x14ac:dyDescent="0.25">
      <c r="B8939" s="42"/>
      <c r="AA8939" s="43"/>
    </row>
    <row r="8940" spans="2:27" x14ac:dyDescent="0.25">
      <c r="B8940" s="42"/>
      <c r="AA8940" s="43"/>
    </row>
    <row r="8941" spans="2:27" x14ac:dyDescent="0.25">
      <c r="B8941" s="42"/>
      <c r="AA8941" s="43"/>
    </row>
    <row r="8942" spans="2:27" x14ac:dyDescent="0.25">
      <c r="B8942" s="42"/>
      <c r="AA8942" s="43"/>
    </row>
    <row r="8943" spans="2:27" x14ac:dyDescent="0.25">
      <c r="B8943" s="42"/>
      <c r="AA8943" s="43"/>
    </row>
    <row r="8944" spans="2:27" x14ac:dyDescent="0.25">
      <c r="B8944" s="42"/>
      <c r="AA8944" s="43"/>
    </row>
    <row r="8945" spans="2:27" x14ac:dyDescent="0.25">
      <c r="B8945" s="42"/>
      <c r="AA8945" s="43"/>
    </row>
    <row r="8946" spans="2:27" x14ac:dyDescent="0.25">
      <c r="B8946" s="42"/>
      <c r="AA8946" s="43"/>
    </row>
    <row r="8947" spans="2:27" x14ac:dyDescent="0.25">
      <c r="B8947" s="42"/>
      <c r="AA8947" s="43"/>
    </row>
    <row r="8948" spans="2:27" x14ac:dyDescent="0.25">
      <c r="B8948" s="42"/>
      <c r="AA8948" s="43"/>
    </row>
    <row r="8949" spans="2:27" x14ac:dyDescent="0.25">
      <c r="B8949" s="42"/>
      <c r="AA8949" s="43"/>
    </row>
    <row r="8950" spans="2:27" x14ac:dyDescent="0.25">
      <c r="B8950" s="42"/>
      <c r="AA8950" s="43"/>
    </row>
    <row r="8951" spans="2:27" x14ac:dyDescent="0.25">
      <c r="B8951" s="42"/>
      <c r="AA8951" s="43"/>
    </row>
    <row r="8952" spans="2:27" x14ac:dyDescent="0.25">
      <c r="B8952" s="42"/>
      <c r="AA8952" s="43"/>
    </row>
    <row r="8953" spans="2:27" x14ac:dyDescent="0.25">
      <c r="B8953" s="42"/>
      <c r="AA8953" s="43"/>
    </row>
    <row r="8954" spans="2:27" x14ac:dyDescent="0.25">
      <c r="B8954" s="42"/>
      <c r="AA8954" s="43"/>
    </row>
    <row r="8955" spans="2:27" x14ac:dyDescent="0.25">
      <c r="B8955" s="42"/>
      <c r="AA8955" s="43"/>
    </row>
    <row r="8956" spans="2:27" x14ac:dyDescent="0.25">
      <c r="B8956" s="42"/>
      <c r="AA8956" s="43"/>
    </row>
    <row r="8957" spans="2:27" x14ac:dyDescent="0.25">
      <c r="B8957" s="42"/>
      <c r="AA8957" s="43"/>
    </row>
    <row r="8958" spans="2:27" x14ac:dyDescent="0.25">
      <c r="B8958" s="42"/>
      <c r="AA8958" s="43"/>
    </row>
    <row r="8959" spans="2:27" x14ac:dyDescent="0.25">
      <c r="B8959" s="42"/>
      <c r="AA8959" s="43"/>
    </row>
    <row r="8960" spans="2:27" x14ac:dyDescent="0.25">
      <c r="B8960" s="42"/>
      <c r="AA8960" s="43"/>
    </row>
    <row r="8961" spans="2:27" x14ac:dyDescent="0.25">
      <c r="B8961" s="42"/>
      <c r="AA8961" s="43"/>
    </row>
    <row r="8962" spans="2:27" x14ac:dyDescent="0.25">
      <c r="B8962" s="42"/>
      <c r="AA8962" s="43"/>
    </row>
    <row r="8963" spans="2:27" x14ac:dyDescent="0.25">
      <c r="B8963" s="42"/>
      <c r="AA8963" s="43"/>
    </row>
    <row r="8964" spans="2:27" x14ac:dyDescent="0.25">
      <c r="B8964" s="42"/>
      <c r="AA8964" s="43"/>
    </row>
    <row r="8965" spans="2:27" x14ac:dyDescent="0.25">
      <c r="B8965" s="42"/>
      <c r="AA8965" s="43"/>
    </row>
    <row r="8966" spans="2:27" x14ac:dyDescent="0.25">
      <c r="B8966" s="42"/>
      <c r="AA8966" s="43"/>
    </row>
    <row r="8967" spans="2:27" x14ac:dyDescent="0.25">
      <c r="B8967" s="42"/>
      <c r="AA8967" s="43"/>
    </row>
    <row r="8968" spans="2:27" x14ac:dyDescent="0.25">
      <c r="B8968" s="42"/>
      <c r="AA8968" s="43"/>
    </row>
    <row r="8969" spans="2:27" x14ac:dyDescent="0.25">
      <c r="B8969" s="42"/>
      <c r="AA8969" s="43"/>
    </row>
    <row r="8970" spans="2:27" x14ac:dyDescent="0.25">
      <c r="B8970" s="42"/>
      <c r="AA8970" s="43"/>
    </row>
    <row r="8971" spans="2:27" x14ac:dyDescent="0.25">
      <c r="B8971" s="42"/>
      <c r="AA8971" s="43"/>
    </row>
    <row r="8972" spans="2:27" x14ac:dyDescent="0.25">
      <c r="B8972" s="42"/>
      <c r="AA8972" s="43"/>
    </row>
    <row r="8973" spans="2:27" x14ac:dyDescent="0.25">
      <c r="B8973" s="42"/>
      <c r="AA8973" s="43"/>
    </row>
    <row r="8974" spans="2:27" x14ac:dyDescent="0.25">
      <c r="B8974" s="42"/>
      <c r="AA8974" s="43"/>
    </row>
    <row r="8975" spans="2:27" x14ac:dyDescent="0.25">
      <c r="B8975" s="42"/>
      <c r="AA8975" s="43"/>
    </row>
    <row r="8976" spans="2:27" x14ac:dyDescent="0.25">
      <c r="B8976" s="42"/>
      <c r="AA8976" s="43"/>
    </row>
    <row r="8977" spans="2:27" x14ac:dyDescent="0.25">
      <c r="B8977" s="42"/>
      <c r="AA8977" s="43"/>
    </row>
    <row r="8978" spans="2:27" x14ac:dyDescent="0.25">
      <c r="B8978" s="42"/>
      <c r="AA8978" s="43"/>
    </row>
    <row r="8979" spans="2:27" x14ac:dyDescent="0.25">
      <c r="B8979" s="42"/>
      <c r="AA8979" s="43"/>
    </row>
    <row r="8980" spans="2:27" x14ac:dyDescent="0.25">
      <c r="B8980" s="42"/>
      <c r="AA8980" s="43"/>
    </row>
    <row r="8981" spans="2:27" x14ac:dyDescent="0.25">
      <c r="B8981" s="42"/>
      <c r="AA8981" s="43"/>
    </row>
    <row r="8982" spans="2:27" x14ac:dyDescent="0.25">
      <c r="B8982" s="42"/>
      <c r="AA8982" s="43"/>
    </row>
    <row r="8983" spans="2:27" x14ac:dyDescent="0.25">
      <c r="B8983" s="42"/>
      <c r="AA8983" s="43"/>
    </row>
    <row r="8984" spans="2:27" x14ac:dyDescent="0.25">
      <c r="B8984" s="42"/>
      <c r="AA8984" s="43"/>
    </row>
    <row r="8985" spans="2:27" x14ac:dyDescent="0.25">
      <c r="B8985" s="42"/>
      <c r="AA8985" s="43"/>
    </row>
    <row r="8986" spans="2:27" x14ac:dyDescent="0.25">
      <c r="B8986" s="42"/>
      <c r="AA8986" s="43"/>
    </row>
    <row r="8987" spans="2:27" x14ac:dyDescent="0.25">
      <c r="B8987" s="42"/>
      <c r="AA8987" s="43"/>
    </row>
    <row r="8988" spans="2:27" x14ac:dyDescent="0.25">
      <c r="B8988" s="42"/>
      <c r="AA8988" s="43"/>
    </row>
    <row r="8989" spans="2:27" x14ac:dyDescent="0.25">
      <c r="B8989" s="42"/>
      <c r="AA8989" s="43"/>
    </row>
    <row r="8990" spans="2:27" x14ac:dyDescent="0.25">
      <c r="B8990" s="42"/>
      <c r="AA8990" s="43"/>
    </row>
    <row r="8991" spans="2:27" x14ac:dyDescent="0.25">
      <c r="B8991" s="42"/>
      <c r="AA8991" s="43"/>
    </row>
    <row r="8992" spans="2:27" x14ac:dyDescent="0.25">
      <c r="B8992" s="42"/>
      <c r="AA8992" s="43"/>
    </row>
    <row r="8993" spans="2:27" x14ac:dyDescent="0.25">
      <c r="B8993" s="42"/>
      <c r="AA8993" s="43"/>
    </row>
    <row r="8994" spans="2:27" x14ac:dyDescent="0.25">
      <c r="B8994" s="42"/>
      <c r="AA8994" s="43"/>
    </row>
    <row r="8995" spans="2:27" x14ac:dyDescent="0.25">
      <c r="B8995" s="42"/>
      <c r="AA8995" s="43"/>
    </row>
    <row r="8996" spans="2:27" x14ac:dyDescent="0.25">
      <c r="B8996" s="42"/>
      <c r="AA8996" s="43"/>
    </row>
    <row r="8997" spans="2:27" x14ac:dyDescent="0.25">
      <c r="B8997" s="42"/>
      <c r="AA8997" s="43"/>
    </row>
    <row r="8998" spans="2:27" x14ac:dyDescent="0.25">
      <c r="B8998" s="42"/>
      <c r="AA8998" s="43"/>
    </row>
    <row r="8999" spans="2:27" x14ac:dyDescent="0.25">
      <c r="B8999" s="42"/>
      <c r="AA8999" s="43"/>
    </row>
    <row r="9000" spans="2:27" x14ac:dyDescent="0.25">
      <c r="B9000" s="42"/>
      <c r="AA9000" s="43"/>
    </row>
    <row r="9001" spans="2:27" x14ac:dyDescent="0.25">
      <c r="B9001" s="42"/>
      <c r="AA9001" s="43"/>
    </row>
    <row r="9002" spans="2:27" x14ac:dyDescent="0.25">
      <c r="B9002" s="42"/>
      <c r="AA9002" s="43"/>
    </row>
    <row r="9003" spans="2:27" x14ac:dyDescent="0.25">
      <c r="B9003" s="42"/>
      <c r="AA9003" s="43"/>
    </row>
    <row r="9004" spans="2:27" x14ac:dyDescent="0.25">
      <c r="B9004" s="42"/>
      <c r="AA9004" s="43"/>
    </row>
    <row r="9005" spans="2:27" x14ac:dyDescent="0.25">
      <c r="B9005" s="42"/>
      <c r="AA9005" s="43"/>
    </row>
    <row r="9006" spans="2:27" x14ac:dyDescent="0.25">
      <c r="B9006" s="42"/>
      <c r="AA9006" s="43"/>
    </row>
    <row r="9007" spans="2:27" x14ac:dyDescent="0.25">
      <c r="B9007" s="42"/>
      <c r="AA9007" s="43"/>
    </row>
    <row r="9008" spans="2:27" x14ac:dyDescent="0.25">
      <c r="B9008" s="42"/>
      <c r="AA9008" s="43"/>
    </row>
    <row r="9009" spans="2:27" x14ac:dyDescent="0.25">
      <c r="B9009" s="42"/>
      <c r="AA9009" s="43"/>
    </row>
    <row r="9010" spans="2:27" x14ac:dyDescent="0.25">
      <c r="B9010" s="42"/>
      <c r="AA9010" s="43"/>
    </row>
    <row r="9011" spans="2:27" x14ac:dyDescent="0.25">
      <c r="B9011" s="42"/>
      <c r="AA9011" s="43"/>
    </row>
    <row r="9012" spans="2:27" x14ac:dyDescent="0.25">
      <c r="B9012" s="42"/>
      <c r="AA9012" s="43"/>
    </row>
    <row r="9013" spans="2:27" x14ac:dyDescent="0.25">
      <c r="B9013" s="42"/>
      <c r="AA9013" s="43"/>
    </row>
    <row r="9014" spans="2:27" x14ac:dyDescent="0.25">
      <c r="B9014" s="42"/>
      <c r="AA9014" s="43"/>
    </row>
    <row r="9015" spans="2:27" x14ac:dyDescent="0.25">
      <c r="B9015" s="42"/>
      <c r="AA9015" s="43"/>
    </row>
    <row r="9016" spans="2:27" x14ac:dyDescent="0.25">
      <c r="B9016" s="42"/>
      <c r="AA9016" s="43"/>
    </row>
    <row r="9017" spans="2:27" x14ac:dyDescent="0.25">
      <c r="B9017" s="42"/>
      <c r="AA9017" s="43"/>
    </row>
    <row r="9018" spans="2:27" x14ac:dyDescent="0.25">
      <c r="B9018" s="42"/>
      <c r="AA9018" s="43"/>
    </row>
    <row r="9019" spans="2:27" x14ac:dyDescent="0.25">
      <c r="B9019" s="42"/>
      <c r="AA9019" s="43"/>
    </row>
    <row r="9020" spans="2:27" x14ac:dyDescent="0.25">
      <c r="B9020" s="42"/>
      <c r="AA9020" s="43"/>
    </row>
    <row r="9021" spans="2:27" x14ac:dyDescent="0.25">
      <c r="B9021" s="42"/>
      <c r="AA9021" s="43"/>
    </row>
    <row r="9022" spans="2:27" x14ac:dyDescent="0.25">
      <c r="B9022" s="42"/>
      <c r="AA9022" s="43"/>
    </row>
    <row r="9023" spans="2:27" x14ac:dyDescent="0.25">
      <c r="B9023" s="42"/>
      <c r="AA9023" s="43"/>
    </row>
    <row r="9024" spans="2:27" x14ac:dyDescent="0.25">
      <c r="B9024" s="42"/>
      <c r="AA9024" s="43"/>
    </row>
    <row r="9025" spans="2:27" x14ac:dyDescent="0.25">
      <c r="B9025" s="42"/>
      <c r="AA9025" s="43"/>
    </row>
    <row r="9026" spans="2:27" x14ac:dyDescent="0.25">
      <c r="B9026" s="42"/>
      <c r="AA9026" s="43"/>
    </row>
    <row r="9027" spans="2:27" x14ac:dyDescent="0.25">
      <c r="B9027" s="42"/>
      <c r="AA9027" s="43"/>
    </row>
    <row r="9028" spans="2:27" x14ac:dyDescent="0.25">
      <c r="B9028" s="42"/>
      <c r="AA9028" s="43"/>
    </row>
    <row r="9029" spans="2:27" x14ac:dyDescent="0.25">
      <c r="B9029" s="42"/>
      <c r="AA9029" s="43"/>
    </row>
    <row r="9030" spans="2:27" x14ac:dyDescent="0.25">
      <c r="B9030" s="42"/>
      <c r="AA9030" s="43"/>
    </row>
    <row r="9031" spans="2:27" x14ac:dyDescent="0.25">
      <c r="B9031" s="42"/>
      <c r="AA9031" s="43"/>
    </row>
    <row r="9032" spans="2:27" x14ac:dyDescent="0.25">
      <c r="B9032" s="42"/>
      <c r="AA9032" s="43"/>
    </row>
    <row r="9033" spans="2:27" x14ac:dyDescent="0.25">
      <c r="B9033" s="42"/>
      <c r="AA9033" s="43"/>
    </row>
    <row r="9034" spans="2:27" x14ac:dyDescent="0.25">
      <c r="B9034" s="42"/>
      <c r="AA9034" s="43"/>
    </row>
    <row r="9035" spans="2:27" x14ac:dyDescent="0.25">
      <c r="B9035" s="42"/>
      <c r="AA9035" s="43"/>
    </row>
    <row r="9036" spans="2:27" x14ac:dyDescent="0.25">
      <c r="B9036" s="42"/>
      <c r="AA9036" s="43"/>
    </row>
    <row r="9037" spans="2:27" x14ac:dyDescent="0.25">
      <c r="B9037" s="42"/>
      <c r="AA9037" s="43"/>
    </row>
    <row r="9038" spans="2:27" x14ac:dyDescent="0.25">
      <c r="B9038" s="42"/>
      <c r="AA9038" s="43"/>
    </row>
    <row r="9039" spans="2:27" x14ac:dyDescent="0.25">
      <c r="B9039" s="42"/>
      <c r="AA9039" s="43"/>
    </row>
    <row r="9040" spans="2:27" x14ac:dyDescent="0.25">
      <c r="B9040" s="42"/>
      <c r="AA9040" s="43"/>
    </row>
    <row r="9041" spans="2:27" x14ac:dyDescent="0.25">
      <c r="B9041" s="42"/>
      <c r="AA9041" s="43"/>
    </row>
    <row r="9042" spans="2:27" x14ac:dyDescent="0.25">
      <c r="B9042" s="42"/>
      <c r="AA9042" s="43"/>
    </row>
    <row r="9043" spans="2:27" x14ac:dyDescent="0.25">
      <c r="B9043" s="42"/>
      <c r="AA9043" s="43"/>
    </row>
    <row r="9044" spans="2:27" x14ac:dyDescent="0.25">
      <c r="B9044" s="42"/>
      <c r="AA9044" s="43"/>
    </row>
    <row r="9045" spans="2:27" x14ac:dyDescent="0.25">
      <c r="B9045" s="42"/>
      <c r="AA9045" s="43"/>
    </row>
    <row r="9046" spans="2:27" x14ac:dyDescent="0.25">
      <c r="B9046" s="42"/>
      <c r="AA9046" s="43"/>
    </row>
    <row r="9047" spans="2:27" x14ac:dyDescent="0.25">
      <c r="B9047" s="42"/>
      <c r="AA9047" s="43"/>
    </row>
    <row r="9048" spans="2:27" x14ac:dyDescent="0.25">
      <c r="B9048" s="42"/>
      <c r="AA9048" s="43"/>
    </row>
    <row r="9049" spans="2:27" x14ac:dyDescent="0.25">
      <c r="B9049" s="42"/>
      <c r="AA9049" s="43"/>
    </row>
    <row r="9050" spans="2:27" x14ac:dyDescent="0.25">
      <c r="B9050" s="42"/>
      <c r="AA9050" s="43"/>
    </row>
    <row r="9051" spans="2:27" x14ac:dyDescent="0.25">
      <c r="B9051" s="42"/>
      <c r="AA9051" s="43"/>
    </row>
    <row r="9052" spans="2:27" x14ac:dyDescent="0.25">
      <c r="B9052" s="42"/>
      <c r="AA9052" s="43"/>
    </row>
    <row r="9053" spans="2:27" x14ac:dyDescent="0.25">
      <c r="B9053" s="42"/>
      <c r="AA9053" s="43"/>
    </row>
    <row r="9054" spans="2:27" x14ac:dyDescent="0.25">
      <c r="B9054" s="42"/>
      <c r="AA9054" s="43"/>
    </row>
    <row r="9055" spans="2:27" x14ac:dyDescent="0.25">
      <c r="B9055" s="42"/>
      <c r="AA9055" s="43"/>
    </row>
    <row r="9056" spans="2:27" x14ac:dyDescent="0.25">
      <c r="B9056" s="42"/>
      <c r="AA9056" s="43"/>
    </row>
    <row r="9057" spans="2:27" x14ac:dyDescent="0.25">
      <c r="B9057" s="42"/>
      <c r="AA9057" s="43"/>
    </row>
    <row r="9058" spans="2:27" x14ac:dyDescent="0.25">
      <c r="B9058" s="42"/>
      <c r="AA9058" s="43"/>
    </row>
    <row r="9059" spans="2:27" x14ac:dyDescent="0.25">
      <c r="B9059" s="42"/>
      <c r="AA9059" s="43"/>
    </row>
    <row r="9060" spans="2:27" x14ac:dyDescent="0.25">
      <c r="B9060" s="42"/>
      <c r="AA9060" s="43"/>
    </row>
    <row r="9061" spans="2:27" x14ac:dyDescent="0.25">
      <c r="B9061" s="42"/>
      <c r="AA9061" s="43"/>
    </row>
    <row r="9062" spans="2:27" x14ac:dyDescent="0.25">
      <c r="B9062" s="42"/>
      <c r="AA9062" s="43"/>
    </row>
    <row r="9063" spans="2:27" x14ac:dyDescent="0.25">
      <c r="B9063" s="42"/>
      <c r="AA9063" s="43"/>
    </row>
    <row r="9064" spans="2:27" x14ac:dyDescent="0.25">
      <c r="B9064" s="42"/>
      <c r="AA9064" s="43"/>
    </row>
    <row r="9065" spans="2:27" x14ac:dyDescent="0.25">
      <c r="B9065" s="42"/>
      <c r="AA9065" s="43"/>
    </row>
    <row r="9066" spans="2:27" x14ac:dyDescent="0.25">
      <c r="B9066" s="42"/>
      <c r="AA9066" s="43"/>
    </row>
    <row r="9067" spans="2:27" x14ac:dyDescent="0.25">
      <c r="B9067" s="42"/>
      <c r="AA9067" s="43"/>
    </row>
    <row r="9068" spans="2:27" x14ac:dyDescent="0.25">
      <c r="B9068" s="42"/>
      <c r="AA9068" s="43"/>
    </row>
    <row r="9069" spans="2:27" x14ac:dyDescent="0.25">
      <c r="B9069" s="42"/>
      <c r="AA9069" s="43"/>
    </row>
    <row r="9070" spans="2:27" x14ac:dyDescent="0.25">
      <c r="B9070" s="42"/>
      <c r="AA9070" s="43"/>
    </row>
    <row r="9071" spans="2:27" x14ac:dyDescent="0.25">
      <c r="B9071" s="42"/>
      <c r="AA9071" s="43"/>
    </row>
    <row r="9072" spans="2:27" x14ac:dyDescent="0.25">
      <c r="B9072" s="42"/>
      <c r="AA9072" s="43"/>
    </row>
    <row r="9073" spans="2:27" x14ac:dyDescent="0.25">
      <c r="B9073" s="42"/>
      <c r="AA9073" s="43"/>
    </row>
    <row r="9074" spans="2:27" x14ac:dyDescent="0.25">
      <c r="B9074" s="42"/>
      <c r="AA9074" s="43"/>
    </row>
    <row r="9075" spans="2:27" x14ac:dyDescent="0.25">
      <c r="B9075" s="42"/>
      <c r="AA9075" s="43"/>
    </row>
    <row r="9076" spans="2:27" x14ac:dyDescent="0.25">
      <c r="B9076" s="42"/>
      <c r="AA9076" s="43"/>
    </row>
    <row r="9077" spans="2:27" x14ac:dyDescent="0.25">
      <c r="B9077" s="42"/>
      <c r="AA9077" s="43"/>
    </row>
    <row r="9078" spans="2:27" x14ac:dyDescent="0.25">
      <c r="B9078" s="42"/>
      <c r="AA9078" s="43"/>
    </row>
    <row r="9079" spans="2:27" x14ac:dyDescent="0.25">
      <c r="B9079" s="42"/>
      <c r="AA9079" s="43"/>
    </row>
    <row r="9080" spans="2:27" x14ac:dyDescent="0.25">
      <c r="B9080" s="42"/>
      <c r="AA9080" s="43"/>
    </row>
    <row r="9081" spans="2:27" x14ac:dyDescent="0.25">
      <c r="B9081" s="42"/>
      <c r="AA9081" s="43"/>
    </row>
    <row r="9082" spans="2:27" x14ac:dyDescent="0.25">
      <c r="B9082" s="42"/>
      <c r="AA9082" s="43"/>
    </row>
    <row r="9083" spans="2:27" x14ac:dyDescent="0.25">
      <c r="B9083" s="42"/>
      <c r="AA9083" s="43"/>
    </row>
    <row r="9084" spans="2:27" x14ac:dyDescent="0.25">
      <c r="B9084" s="42"/>
      <c r="AA9084" s="43"/>
    </row>
    <row r="9085" spans="2:27" x14ac:dyDescent="0.25">
      <c r="B9085" s="42"/>
      <c r="AA9085" s="43"/>
    </row>
    <row r="9086" spans="2:27" x14ac:dyDescent="0.25">
      <c r="B9086" s="42"/>
      <c r="AA9086" s="43"/>
    </row>
    <row r="9087" spans="2:27" x14ac:dyDescent="0.25">
      <c r="B9087" s="42"/>
      <c r="AA9087" s="43"/>
    </row>
    <row r="9088" spans="2:27" x14ac:dyDescent="0.25">
      <c r="B9088" s="42"/>
      <c r="AA9088" s="43"/>
    </row>
    <row r="9089" spans="2:27" x14ac:dyDescent="0.25">
      <c r="B9089" s="42"/>
      <c r="AA9089" s="43"/>
    </row>
    <row r="9090" spans="2:27" x14ac:dyDescent="0.25">
      <c r="B9090" s="42"/>
      <c r="AA9090" s="43"/>
    </row>
    <row r="9091" spans="2:27" x14ac:dyDescent="0.25">
      <c r="B9091" s="42"/>
      <c r="AA9091" s="43"/>
    </row>
    <row r="9092" spans="2:27" x14ac:dyDescent="0.25">
      <c r="B9092" s="42"/>
      <c r="AA9092" s="43"/>
    </row>
    <row r="9093" spans="2:27" x14ac:dyDescent="0.25">
      <c r="B9093" s="42"/>
      <c r="AA9093" s="43"/>
    </row>
    <row r="9094" spans="2:27" x14ac:dyDescent="0.25">
      <c r="B9094" s="42"/>
      <c r="AA9094" s="43"/>
    </row>
    <row r="9095" spans="2:27" x14ac:dyDescent="0.25">
      <c r="B9095" s="42"/>
      <c r="AA9095" s="43"/>
    </row>
    <row r="9096" spans="2:27" x14ac:dyDescent="0.25">
      <c r="B9096" s="42"/>
      <c r="AA9096" s="43"/>
    </row>
    <row r="9097" spans="2:27" x14ac:dyDescent="0.25">
      <c r="B9097" s="42"/>
      <c r="AA9097" s="43"/>
    </row>
    <row r="9098" spans="2:27" x14ac:dyDescent="0.25">
      <c r="B9098" s="42"/>
      <c r="AA9098" s="43"/>
    </row>
    <row r="9099" spans="2:27" x14ac:dyDescent="0.25">
      <c r="B9099" s="42"/>
      <c r="AA9099" s="43"/>
    </row>
    <row r="9100" spans="2:27" x14ac:dyDescent="0.25">
      <c r="B9100" s="42"/>
      <c r="AA9100" s="43"/>
    </row>
    <row r="9101" spans="2:27" x14ac:dyDescent="0.25">
      <c r="B9101" s="42"/>
      <c r="AA9101" s="43"/>
    </row>
    <row r="9102" spans="2:27" x14ac:dyDescent="0.25">
      <c r="B9102" s="42"/>
      <c r="AA9102" s="43"/>
    </row>
    <row r="9103" spans="2:27" x14ac:dyDescent="0.25">
      <c r="B9103" s="42"/>
      <c r="AA9103" s="43"/>
    </row>
    <row r="9104" spans="2:27" x14ac:dyDescent="0.25">
      <c r="B9104" s="42"/>
      <c r="AA9104" s="43"/>
    </row>
    <row r="9105" spans="2:27" x14ac:dyDescent="0.25">
      <c r="B9105" s="42"/>
      <c r="AA9105" s="43"/>
    </row>
    <row r="9106" spans="2:27" x14ac:dyDescent="0.25">
      <c r="B9106" s="42"/>
      <c r="AA9106" s="43"/>
    </row>
    <row r="9107" spans="2:27" x14ac:dyDescent="0.25">
      <c r="B9107" s="42"/>
      <c r="AA9107" s="43"/>
    </row>
    <row r="9108" spans="2:27" x14ac:dyDescent="0.25">
      <c r="B9108" s="42"/>
      <c r="AA9108" s="43"/>
    </row>
    <row r="9109" spans="2:27" x14ac:dyDescent="0.25">
      <c r="B9109" s="42"/>
      <c r="AA9109" s="43"/>
    </row>
    <row r="9110" spans="2:27" x14ac:dyDescent="0.25">
      <c r="B9110" s="42"/>
      <c r="AA9110" s="43"/>
    </row>
    <row r="9111" spans="2:27" x14ac:dyDescent="0.25">
      <c r="B9111" s="42"/>
      <c r="AA9111" s="43"/>
    </row>
    <row r="9112" spans="2:27" x14ac:dyDescent="0.25">
      <c r="B9112" s="42"/>
      <c r="AA9112" s="43"/>
    </row>
    <row r="9113" spans="2:27" x14ac:dyDescent="0.25">
      <c r="B9113" s="42"/>
      <c r="AA9113" s="43"/>
    </row>
    <row r="9114" spans="2:27" x14ac:dyDescent="0.25">
      <c r="B9114" s="42"/>
      <c r="AA9114" s="43"/>
    </row>
    <row r="9115" spans="2:27" x14ac:dyDescent="0.25">
      <c r="B9115" s="42"/>
      <c r="AA9115" s="43"/>
    </row>
    <row r="9116" spans="2:27" x14ac:dyDescent="0.25">
      <c r="B9116" s="42"/>
      <c r="AA9116" s="43"/>
    </row>
    <row r="9117" spans="2:27" x14ac:dyDescent="0.25">
      <c r="B9117" s="42"/>
      <c r="AA9117" s="43"/>
    </row>
    <row r="9118" spans="2:27" x14ac:dyDescent="0.25">
      <c r="B9118" s="42"/>
      <c r="AA9118" s="43"/>
    </row>
    <row r="9119" spans="2:27" x14ac:dyDescent="0.25">
      <c r="B9119" s="42"/>
      <c r="AA9119" s="43"/>
    </row>
    <row r="9120" spans="2:27" x14ac:dyDescent="0.25">
      <c r="B9120" s="42"/>
      <c r="AA9120" s="43"/>
    </row>
    <row r="9121" spans="2:27" x14ac:dyDescent="0.25">
      <c r="B9121" s="42"/>
      <c r="AA9121" s="43"/>
    </row>
    <row r="9122" spans="2:27" x14ac:dyDescent="0.25">
      <c r="B9122" s="42"/>
      <c r="AA9122" s="43"/>
    </row>
    <row r="9123" spans="2:27" x14ac:dyDescent="0.25">
      <c r="B9123" s="42"/>
      <c r="AA9123" s="43"/>
    </row>
    <row r="9124" spans="2:27" x14ac:dyDescent="0.25">
      <c r="B9124" s="42"/>
      <c r="AA9124" s="43"/>
    </row>
    <row r="9125" spans="2:27" x14ac:dyDescent="0.25">
      <c r="B9125" s="42"/>
      <c r="AA9125" s="43"/>
    </row>
    <row r="9126" spans="2:27" x14ac:dyDescent="0.25">
      <c r="B9126" s="42"/>
      <c r="AA9126" s="43"/>
    </row>
    <row r="9127" spans="2:27" x14ac:dyDescent="0.25">
      <c r="B9127" s="42"/>
      <c r="AA9127" s="43"/>
    </row>
    <row r="9128" spans="2:27" x14ac:dyDescent="0.25">
      <c r="B9128" s="42"/>
      <c r="AA9128" s="43"/>
    </row>
    <row r="9129" spans="2:27" x14ac:dyDescent="0.25">
      <c r="B9129" s="42"/>
      <c r="AA9129" s="43"/>
    </row>
    <row r="9130" spans="2:27" x14ac:dyDescent="0.25">
      <c r="B9130" s="42"/>
      <c r="AA9130" s="43"/>
    </row>
    <row r="9131" spans="2:27" x14ac:dyDescent="0.25">
      <c r="B9131" s="42"/>
      <c r="AA9131" s="43"/>
    </row>
    <row r="9132" spans="2:27" x14ac:dyDescent="0.25">
      <c r="B9132" s="42"/>
      <c r="AA9132" s="43"/>
    </row>
    <row r="9133" spans="2:27" x14ac:dyDescent="0.25">
      <c r="B9133" s="42"/>
      <c r="AA9133" s="43"/>
    </row>
    <row r="9134" spans="2:27" x14ac:dyDescent="0.25">
      <c r="B9134" s="42"/>
      <c r="AA9134" s="43"/>
    </row>
    <row r="9135" spans="2:27" x14ac:dyDescent="0.25">
      <c r="B9135" s="42"/>
      <c r="AA9135" s="43"/>
    </row>
    <row r="9136" spans="2:27" x14ac:dyDescent="0.25">
      <c r="B9136" s="42"/>
      <c r="AA9136" s="43"/>
    </row>
    <row r="9137" spans="2:27" x14ac:dyDescent="0.25">
      <c r="B9137" s="42"/>
      <c r="AA9137" s="43"/>
    </row>
    <row r="9138" spans="2:27" x14ac:dyDescent="0.25">
      <c r="B9138" s="42"/>
      <c r="AA9138" s="43"/>
    </row>
    <row r="9139" spans="2:27" x14ac:dyDescent="0.25">
      <c r="B9139" s="42"/>
      <c r="AA9139" s="43"/>
    </row>
    <row r="9140" spans="2:27" x14ac:dyDescent="0.25">
      <c r="B9140" s="42"/>
      <c r="AA9140" s="43"/>
    </row>
    <row r="9141" spans="2:27" x14ac:dyDescent="0.25">
      <c r="B9141" s="42"/>
      <c r="AA9141" s="43"/>
    </row>
    <row r="9142" spans="2:27" x14ac:dyDescent="0.25">
      <c r="B9142" s="42"/>
      <c r="AA9142" s="43"/>
    </row>
    <row r="9143" spans="2:27" x14ac:dyDescent="0.25">
      <c r="B9143" s="42"/>
      <c r="AA9143" s="43"/>
    </row>
    <row r="9144" spans="2:27" x14ac:dyDescent="0.25">
      <c r="B9144" s="42"/>
      <c r="AA9144" s="43"/>
    </row>
    <row r="9145" spans="2:27" x14ac:dyDescent="0.25">
      <c r="B9145" s="42"/>
      <c r="AA9145" s="43"/>
    </row>
    <row r="9146" spans="2:27" x14ac:dyDescent="0.25">
      <c r="B9146" s="42"/>
      <c r="AA9146" s="43"/>
    </row>
    <row r="9147" spans="2:27" x14ac:dyDescent="0.25">
      <c r="B9147" s="42"/>
      <c r="AA9147" s="43"/>
    </row>
    <row r="9148" spans="2:27" x14ac:dyDescent="0.25">
      <c r="B9148" s="42"/>
      <c r="AA9148" s="43"/>
    </row>
    <row r="9149" spans="2:27" x14ac:dyDescent="0.25">
      <c r="B9149" s="42"/>
      <c r="AA9149" s="43"/>
    </row>
    <row r="9150" spans="2:27" x14ac:dyDescent="0.25">
      <c r="B9150" s="42"/>
      <c r="AA9150" s="43"/>
    </row>
    <row r="9151" spans="2:27" x14ac:dyDescent="0.25">
      <c r="B9151" s="42"/>
      <c r="AA9151" s="43"/>
    </row>
    <row r="9152" spans="2:27" x14ac:dyDescent="0.25">
      <c r="B9152" s="42"/>
      <c r="AA9152" s="43"/>
    </row>
    <row r="9153" spans="2:27" x14ac:dyDescent="0.25">
      <c r="B9153" s="42"/>
      <c r="AA9153" s="43"/>
    </row>
    <row r="9154" spans="2:27" x14ac:dyDescent="0.25">
      <c r="B9154" s="42"/>
      <c r="AA9154" s="43"/>
    </row>
    <row r="9155" spans="2:27" x14ac:dyDescent="0.25">
      <c r="B9155" s="42"/>
      <c r="AA9155" s="43"/>
    </row>
    <row r="9156" spans="2:27" x14ac:dyDescent="0.25">
      <c r="B9156" s="42"/>
      <c r="AA9156" s="43"/>
    </row>
    <row r="9157" spans="2:27" x14ac:dyDescent="0.25">
      <c r="B9157" s="42"/>
      <c r="AA9157" s="43"/>
    </row>
    <row r="9158" spans="2:27" x14ac:dyDescent="0.25">
      <c r="B9158" s="42"/>
      <c r="AA9158" s="43"/>
    </row>
    <row r="9159" spans="2:27" x14ac:dyDescent="0.25">
      <c r="B9159" s="42"/>
      <c r="AA9159" s="43"/>
    </row>
    <row r="9160" spans="2:27" x14ac:dyDescent="0.25">
      <c r="B9160" s="42"/>
      <c r="AA9160" s="43"/>
    </row>
    <row r="9161" spans="2:27" x14ac:dyDescent="0.25">
      <c r="B9161" s="42"/>
      <c r="AA9161" s="43"/>
    </row>
    <row r="9162" spans="2:27" x14ac:dyDescent="0.25">
      <c r="B9162" s="42"/>
      <c r="AA9162" s="43"/>
    </row>
    <row r="9163" spans="2:27" x14ac:dyDescent="0.25">
      <c r="B9163" s="42"/>
      <c r="AA9163" s="43"/>
    </row>
    <row r="9164" spans="2:27" x14ac:dyDescent="0.25">
      <c r="B9164" s="42"/>
      <c r="AA9164" s="43"/>
    </row>
    <row r="9165" spans="2:27" x14ac:dyDescent="0.25">
      <c r="B9165" s="42"/>
      <c r="AA9165" s="43"/>
    </row>
    <row r="9166" spans="2:27" x14ac:dyDescent="0.25">
      <c r="B9166" s="42"/>
      <c r="AA9166" s="43"/>
    </row>
    <row r="9167" spans="2:27" x14ac:dyDescent="0.25">
      <c r="B9167" s="42"/>
      <c r="AA9167" s="43"/>
    </row>
    <row r="9168" spans="2:27" x14ac:dyDescent="0.25">
      <c r="B9168" s="42"/>
      <c r="AA9168" s="43"/>
    </row>
    <row r="9169" spans="2:27" x14ac:dyDescent="0.25">
      <c r="B9169" s="42"/>
      <c r="AA9169" s="43"/>
    </row>
    <row r="9170" spans="2:27" x14ac:dyDescent="0.25">
      <c r="B9170" s="42"/>
      <c r="AA9170" s="43"/>
    </row>
    <row r="9171" spans="2:27" x14ac:dyDescent="0.25">
      <c r="B9171" s="42"/>
      <c r="AA9171" s="43"/>
    </row>
    <row r="9172" spans="2:27" x14ac:dyDescent="0.25">
      <c r="B9172" s="42"/>
      <c r="AA9172" s="43"/>
    </row>
    <row r="9173" spans="2:27" x14ac:dyDescent="0.25">
      <c r="B9173" s="42"/>
      <c r="AA9173" s="43"/>
    </row>
    <row r="9174" spans="2:27" x14ac:dyDescent="0.25">
      <c r="B9174" s="42"/>
      <c r="AA9174" s="43"/>
    </row>
    <row r="9175" spans="2:27" x14ac:dyDescent="0.25">
      <c r="B9175" s="42"/>
      <c r="AA9175" s="43"/>
    </row>
    <row r="9176" spans="2:27" x14ac:dyDescent="0.25">
      <c r="B9176" s="42"/>
      <c r="AA9176" s="43"/>
    </row>
    <row r="9177" spans="2:27" x14ac:dyDescent="0.25">
      <c r="B9177" s="42"/>
      <c r="AA9177" s="43"/>
    </row>
    <row r="9178" spans="2:27" x14ac:dyDescent="0.25">
      <c r="B9178" s="42"/>
      <c r="AA9178" s="43"/>
    </row>
    <row r="9179" spans="2:27" x14ac:dyDescent="0.25">
      <c r="B9179" s="42"/>
      <c r="AA9179" s="43"/>
    </row>
    <row r="9180" spans="2:27" x14ac:dyDescent="0.25">
      <c r="B9180" s="42"/>
      <c r="AA9180" s="43"/>
    </row>
    <row r="9181" spans="2:27" x14ac:dyDescent="0.25">
      <c r="B9181" s="42"/>
      <c r="AA9181" s="43"/>
    </row>
    <row r="9182" spans="2:27" x14ac:dyDescent="0.25">
      <c r="B9182" s="42"/>
      <c r="AA9182" s="43"/>
    </row>
    <row r="9183" spans="2:27" x14ac:dyDescent="0.25">
      <c r="B9183" s="42"/>
      <c r="AA9183" s="43"/>
    </row>
    <row r="9184" spans="2:27" x14ac:dyDescent="0.25">
      <c r="B9184" s="42"/>
      <c r="AA9184" s="43"/>
    </row>
    <row r="9185" spans="2:27" x14ac:dyDescent="0.25">
      <c r="B9185" s="42"/>
      <c r="AA9185" s="43"/>
    </row>
    <row r="9186" spans="2:27" x14ac:dyDescent="0.25">
      <c r="B9186" s="42"/>
      <c r="AA9186" s="43"/>
    </row>
    <row r="9187" spans="2:27" x14ac:dyDescent="0.25">
      <c r="B9187" s="42"/>
      <c r="AA9187" s="43"/>
    </row>
    <row r="9188" spans="2:27" x14ac:dyDescent="0.25">
      <c r="B9188" s="42"/>
      <c r="AA9188" s="43"/>
    </row>
    <row r="9189" spans="2:27" x14ac:dyDescent="0.25">
      <c r="B9189" s="42"/>
      <c r="AA9189" s="43"/>
    </row>
    <row r="9190" spans="2:27" x14ac:dyDescent="0.25">
      <c r="B9190" s="42"/>
      <c r="AA9190" s="43"/>
    </row>
    <row r="9191" spans="2:27" x14ac:dyDescent="0.25">
      <c r="B9191" s="42"/>
      <c r="AA9191" s="43"/>
    </row>
    <row r="9192" spans="2:27" x14ac:dyDescent="0.25">
      <c r="B9192" s="42"/>
      <c r="AA9192" s="43"/>
    </row>
    <row r="9193" spans="2:27" x14ac:dyDescent="0.25">
      <c r="B9193" s="42"/>
      <c r="AA9193" s="43"/>
    </row>
    <row r="9194" spans="2:27" x14ac:dyDescent="0.25">
      <c r="B9194" s="42"/>
      <c r="AA9194" s="43"/>
    </row>
    <row r="9195" spans="2:27" x14ac:dyDescent="0.25">
      <c r="B9195" s="42"/>
      <c r="AA9195" s="43"/>
    </row>
    <row r="9196" spans="2:27" x14ac:dyDescent="0.25">
      <c r="B9196" s="42"/>
      <c r="AA9196" s="43"/>
    </row>
    <row r="9197" spans="2:27" x14ac:dyDescent="0.25">
      <c r="B9197" s="42"/>
      <c r="AA9197" s="43"/>
    </row>
    <row r="9198" spans="2:27" x14ac:dyDescent="0.25">
      <c r="B9198" s="42"/>
      <c r="AA9198" s="43"/>
    </row>
    <row r="9199" spans="2:27" x14ac:dyDescent="0.25">
      <c r="B9199" s="42"/>
      <c r="AA9199" s="43"/>
    </row>
    <row r="9200" spans="2:27" x14ac:dyDescent="0.25">
      <c r="B9200" s="42"/>
      <c r="AA9200" s="43"/>
    </row>
    <row r="9201" spans="2:27" x14ac:dyDescent="0.25">
      <c r="B9201" s="42"/>
      <c r="AA9201" s="43"/>
    </row>
    <row r="9202" spans="2:27" x14ac:dyDescent="0.25">
      <c r="B9202" s="42"/>
      <c r="AA9202" s="43"/>
    </row>
    <row r="9203" spans="2:27" x14ac:dyDescent="0.25">
      <c r="B9203" s="42"/>
      <c r="AA9203" s="43"/>
    </row>
    <row r="9204" spans="2:27" x14ac:dyDescent="0.25">
      <c r="B9204" s="42"/>
      <c r="AA9204" s="43"/>
    </row>
    <row r="9205" spans="2:27" x14ac:dyDescent="0.25">
      <c r="B9205" s="42"/>
      <c r="AA9205" s="43"/>
    </row>
    <row r="9206" spans="2:27" x14ac:dyDescent="0.25">
      <c r="B9206" s="42"/>
      <c r="AA9206" s="43"/>
    </row>
    <row r="9207" spans="2:27" x14ac:dyDescent="0.25">
      <c r="B9207" s="42"/>
      <c r="AA9207" s="43"/>
    </row>
    <row r="9208" spans="2:27" x14ac:dyDescent="0.25">
      <c r="B9208" s="42"/>
      <c r="AA9208" s="43"/>
    </row>
    <row r="9209" spans="2:27" x14ac:dyDescent="0.25">
      <c r="B9209" s="42"/>
      <c r="AA9209" s="43"/>
    </row>
    <row r="9210" spans="2:27" x14ac:dyDescent="0.25">
      <c r="B9210" s="42"/>
      <c r="AA9210" s="43"/>
    </row>
    <row r="9211" spans="2:27" x14ac:dyDescent="0.25">
      <c r="B9211" s="42"/>
      <c r="AA9211" s="43"/>
    </row>
    <row r="9212" spans="2:27" x14ac:dyDescent="0.25">
      <c r="B9212" s="42"/>
      <c r="AA9212" s="43"/>
    </row>
    <row r="9213" spans="2:27" x14ac:dyDescent="0.25">
      <c r="B9213" s="42"/>
      <c r="AA9213" s="43"/>
    </row>
    <row r="9214" spans="2:27" x14ac:dyDescent="0.25">
      <c r="B9214" s="42"/>
      <c r="AA9214" s="43"/>
    </row>
    <row r="9215" spans="2:27" x14ac:dyDescent="0.25">
      <c r="B9215" s="42"/>
      <c r="AA9215" s="43"/>
    </row>
    <row r="9216" spans="2:27" x14ac:dyDescent="0.25">
      <c r="B9216" s="42"/>
      <c r="AA9216" s="43"/>
    </row>
    <row r="9217" spans="2:27" x14ac:dyDescent="0.25">
      <c r="B9217" s="42"/>
      <c r="AA9217" s="43"/>
    </row>
    <row r="9218" spans="2:27" x14ac:dyDescent="0.25">
      <c r="B9218" s="42"/>
      <c r="AA9218" s="43"/>
    </row>
    <row r="9219" spans="2:27" x14ac:dyDescent="0.25">
      <c r="B9219" s="42"/>
      <c r="AA9219" s="43"/>
    </row>
    <row r="9220" spans="2:27" x14ac:dyDescent="0.25">
      <c r="B9220" s="42"/>
      <c r="AA9220" s="43"/>
    </row>
    <row r="9221" spans="2:27" x14ac:dyDescent="0.25">
      <c r="B9221" s="42"/>
      <c r="AA9221" s="43"/>
    </row>
    <row r="9222" spans="2:27" x14ac:dyDescent="0.25">
      <c r="B9222" s="42"/>
      <c r="AA9222" s="43"/>
    </row>
    <row r="9223" spans="2:27" x14ac:dyDescent="0.25">
      <c r="B9223" s="42"/>
      <c r="AA9223" s="43"/>
    </row>
    <row r="9224" spans="2:27" x14ac:dyDescent="0.25">
      <c r="B9224" s="42"/>
      <c r="AA9224" s="43"/>
    </row>
    <row r="9225" spans="2:27" x14ac:dyDescent="0.25">
      <c r="B9225" s="42"/>
      <c r="AA9225" s="43"/>
    </row>
    <row r="9226" spans="2:27" x14ac:dyDescent="0.25">
      <c r="B9226" s="42"/>
      <c r="AA9226" s="43"/>
    </row>
    <row r="9227" spans="2:27" x14ac:dyDescent="0.25">
      <c r="B9227" s="42"/>
      <c r="AA9227" s="43"/>
    </row>
    <row r="9228" spans="2:27" x14ac:dyDescent="0.25">
      <c r="B9228" s="42"/>
      <c r="AA9228" s="43"/>
    </row>
    <row r="9229" spans="2:27" x14ac:dyDescent="0.25">
      <c r="B9229" s="42"/>
      <c r="AA9229" s="43"/>
    </row>
    <row r="9230" spans="2:27" x14ac:dyDescent="0.25">
      <c r="B9230" s="42"/>
      <c r="AA9230" s="43"/>
    </row>
    <row r="9231" spans="2:27" x14ac:dyDescent="0.25">
      <c r="B9231" s="42"/>
      <c r="AA9231" s="43"/>
    </row>
    <row r="9232" spans="2:27" x14ac:dyDescent="0.25">
      <c r="B9232" s="42"/>
      <c r="AA9232" s="43"/>
    </row>
    <row r="9233" spans="2:27" x14ac:dyDescent="0.25">
      <c r="B9233" s="42"/>
      <c r="AA9233" s="43"/>
    </row>
    <row r="9234" spans="2:27" x14ac:dyDescent="0.25">
      <c r="B9234" s="42"/>
      <c r="AA9234" s="43"/>
    </row>
    <row r="9235" spans="2:27" x14ac:dyDescent="0.25">
      <c r="B9235" s="42"/>
      <c r="AA9235" s="43"/>
    </row>
    <row r="9236" spans="2:27" x14ac:dyDescent="0.25">
      <c r="B9236" s="42"/>
      <c r="AA9236" s="43"/>
    </row>
    <row r="9237" spans="2:27" x14ac:dyDescent="0.25">
      <c r="B9237" s="42"/>
      <c r="AA9237" s="43"/>
    </row>
    <row r="9238" spans="2:27" x14ac:dyDescent="0.25">
      <c r="B9238" s="42"/>
      <c r="AA9238" s="43"/>
    </row>
    <row r="9239" spans="2:27" x14ac:dyDescent="0.25">
      <c r="B9239" s="42"/>
      <c r="AA9239" s="43"/>
    </row>
    <row r="9240" spans="2:27" x14ac:dyDescent="0.25">
      <c r="B9240" s="42"/>
      <c r="AA9240" s="43"/>
    </row>
    <row r="9241" spans="2:27" x14ac:dyDescent="0.25">
      <c r="B9241" s="42"/>
      <c r="AA9241" s="43"/>
    </row>
    <row r="9242" spans="2:27" x14ac:dyDescent="0.25">
      <c r="B9242" s="42"/>
      <c r="AA9242" s="43"/>
    </row>
    <row r="9243" spans="2:27" x14ac:dyDescent="0.25">
      <c r="B9243" s="42"/>
      <c r="AA9243" s="43"/>
    </row>
    <row r="9244" spans="2:27" x14ac:dyDescent="0.25">
      <c r="B9244" s="42"/>
      <c r="AA9244" s="43"/>
    </row>
    <row r="9245" spans="2:27" x14ac:dyDescent="0.25">
      <c r="B9245" s="42"/>
      <c r="AA9245" s="43"/>
    </row>
    <row r="9246" spans="2:27" x14ac:dyDescent="0.25">
      <c r="B9246" s="42"/>
      <c r="AA9246" s="43"/>
    </row>
    <row r="9247" spans="2:27" x14ac:dyDescent="0.25">
      <c r="B9247" s="42"/>
      <c r="AA9247" s="43"/>
    </row>
    <row r="9248" spans="2:27" x14ac:dyDescent="0.25">
      <c r="B9248" s="42"/>
      <c r="AA9248" s="43"/>
    </row>
    <row r="9249" spans="2:27" x14ac:dyDescent="0.25">
      <c r="B9249" s="42"/>
      <c r="AA9249" s="43"/>
    </row>
    <row r="9250" spans="2:27" x14ac:dyDescent="0.25">
      <c r="B9250" s="42"/>
      <c r="AA9250" s="43"/>
    </row>
    <row r="9251" spans="2:27" x14ac:dyDescent="0.25">
      <c r="B9251" s="42"/>
      <c r="AA9251" s="43"/>
    </row>
    <row r="9252" spans="2:27" x14ac:dyDescent="0.25">
      <c r="B9252" s="42"/>
      <c r="AA9252" s="43"/>
    </row>
    <row r="9253" spans="2:27" x14ac:dyDescent="0.25">
      <c r="B9253" s="42"/>
      <c r="AA9253" s="43"/>
    </row>
    <row r="9254" spans="2:27" x14ac:dyDescent="0.25">
      <c r="B9254" s="42"/>
      <c r="AA9254" s="43"/>
    </row>
    <row r="9255" spans="2:27" x14ac:dyDescent="0.25">
      <c r="B9255" s="42"/>
      <c r="AA9255" s="43"/>
    </row>
    <row r="9256" spans="2:27" x14ac:dyDescent="0.25">
      <c r="B9256" s="42"/>
      <c r="AA9256" s="43"/>
    </row>
    <row r="9257" spans="2:27" x14ac:dyDescent="0.25">
      <c r="B9257" s="42"/>
      <c r="AA9257" s="43"/>
    </row>
    <row r="9258" spans="2:27" x14ac:dyDescent="0.25">
      <c r="B9258" s="42"/>
      <c r="AA9258" s="43"/>
    </row>
    <row r="9259" spans="2:27" x14ac:dyDescent="0.25">
      <c r="B9259" s="42"/>
      <c r="AA9259" s="43"/>
    </row>
    <row r="9260" spans="2:27" x14ac:dyDescent="0.25">
      <c r="B9260" s="42"/>
      <c r="AA9260" s="43"/>
    </row>
    <row r="9261" spans="2:27" x14ac:dyDescent="0.25">
      <c r="B9261" s="42"/>
      <c r="AA9261" s="43"/>
    </row>
    <row r="9262" spans="2:27" x14ac:dyDescent="0.25">
      <c r="B9262" s="42"/>
      <c r="AA9262" s="43"/>
    </row>
    <row r="9263" spans="2:27" x14ac:dyDescent="0.25">
      <c r="B9263" s="42"/>
      <c r="AA9263" s="43"/>
    </row>
    <row r="9264" spans="2:27" x14ac:dyDescent="0.25">
      <c r="B9264" s="42"/>
      <c r="AA9264" s="43"/>
    </row>
    <row r="9265" spans="2:27" x14ac:dyDescent="0.25">
      <c r="B9265" s="42"/>
      <c r="AA9265" s="43"/>
    </row>
    <row r="9266" spans="2:27" x14ac:dyDescent="0.25">
      <c r="B9266" s="42"/>
      <c r="AA9266" s="43"/>
    </row>
    <row r="9267" spans="2:27" x14ac:dyDescent="0.25">
      <c r="B9267" s="42"/>
      <c r="AA9267" s="43"/>
    </row>
    <row r="9268" spans="2:27" x14ac:dyDescent="0.25">
      <c r="B9268" s="42"/>
      <c r="AA9268" s="43"/>
    </row>
    <row r="9269" spans="2:27" x14ac:dyDescent="0.25">
      <c r="B9269" s="42"/>
      <c r="AA9269" s="43"/>
    </row>
    <row r="9270" spans="2:27" x14ac:dyDescent="0.25">
      <c r="B9270" s="42"/>
      <c r="AA9270" s="43"/>
    </row>
    <row r="9271" spans="2:27" x14ac:dyDescent="0.25">
      <c r="B9271" s="42"/>
      <c r="AA9271" s="43"/>
    </row>
    <row r="9272" spans="2:27" x14ac:dyDescent="0.25">
      <c r="B9272" s="42"/>
      <c r="AA9272" s="43"/>
    </row>
    <row r="9273" spans="2:27" x14ac:dyDescent="0.25">
      <c r="B9273" s="42"/>
      <c r="AA9273" s="43"/>
    </row>
    <row r="9274" spans="2:27" x14ac:dyDescent="0.25">
      <c r="B9274" s="42"/>
      <c r="AA9274" s="43"/>
    </row>
    <row r="9275" spans="2:27" x14ac:dyDescent="0.25">
      <c r="B9275" s="42"/>
      <c r="AA9275" s="43"/>
    </row>
    <row r="9276" spans="2:27" x14ac:dyDescent="0.25">
      <c r="B9276" s="42"/>
      <c r="AA9276" s="43"/>
    </row>
    <row r="9277" spans="2:27" x14ac:dyDescent="0.25">
      <c r="B9277" s="42"/>
      <c r="AA9277" s="43"/>
    </row>
    <row r="9278" spans="2:27" x14ac:dyDescent="0.25">
      <c r="B9278" s="42"/>
      <c r="AA9278" s="43"/>
    </row>
    <row r="9279" spans="2:27" x14ac:dyDescent="0.25">
      <c r="B9279" s="42"/>
      <c r="AA9279" s="43"/>
    </row>
    <row r="9280" spans="2:27" x14ac:dyDescent="0.25">
      <c r="B9280" s="42"/>
      <c r="AA9280" s="43"/>
    </row>
    <row r="9281" spans="2:27" x14ac:dyDescent="0.25">
      <c r="B9281" s="42"/>
      <c r="AA9281" s="43"/>
    </row>
    <row r="9282" spans="2:27" x14ac:dyDescent="0.25">
      <c r="B9282" s="42"/>
      <c r="AA9282" s="43"/>
    </row>
    <row r="9283" spans="2:27" x14ac:dyDescent="0.25">
      <c r="B9283" s="42"/>
      <c r="AA9283" s="43"/>
    </row>
    <row r="9284" spans="2:27" x14ac:dyDescent="0.25">
      <c r="B9284" s="42"/>
      <c r="AA9284" s="43"/>
    </row>
    <row r="9285" spans="2:27" x14ac:dyDescent="0.25">
      <c r="B9285" s="42"/>
      <c r="AA9285" s="43"/>
    </row>
    <row r="9286" spans="2:27" x14ac:dyDescent="0.25">
      <c r="B9286" s="42"/>
      <c r="AA9286" s="43"/>
    </row>
    <row r="9287" spans="2:27" x14ac:dyDescent="0.25">
      <c r="B9287" s="42"/>
      <c r="AA9287" s="43"/>
    </row>
    <row r="9288" spans="2:27" x14ac:dyDescent="0.25">
      <c r="B9288" s="42"/>
      <c r="AA9288" s="43"/>
    </row>
    <row r="9289" spans="2:27" x14ac:dyDescent="0.25">
      <c r="B9289" s="42"/>
      <c r="AA9289" s="43"/>
    </row>
    <row r="9290" spans="2:27" x14ac:dyDescent="0.25">
      <c r="B9290" s="42"/>
      <c r="AA9290" s="43"/>
    </row>
    <row r="9291" spans="2:27" x14ac:dyDescent="0.25">
      <c r="B9291" s="42"/>
      <c r="AA9291" s="43"/>
    </row>
    <row r="9292" spans="2:27" x14ac:dyDescent="0.25">
      <c r="B9292" s="42"/>
      <c r="AA9292" s="43"/>
    </row>
    <row r="9293" spans="2:27" x14ac:dyDescent="0.25">
      <c r="B9293" s="42"/>
      <c r="AA9293" s="43"/>
    </row>
    <row r="9294" spans="2:27" x14ac:dyDescent="0.25">
      <c r="B9294" s="42"/>
      <c r="AA9294" s="43"/>
    </row>
    <row r="9295" spans="2:27" x14ac:dyDescent="0.25">
      <c r="B9295" s="42"/>
      <c r="AA9295" s="43"/>
    </row>
    <row r="9296" spans="2:27" x14ac:dyDescent="0.25">
      <c r="B9296" s="42"/>
      <c r="AA9296" s="43"/>
    </row>
    <row r="9297" spans="2:27" x14ac:dyDescent="0.25">
      <c r="B9297" s="42"/>
      <c r="AA9297" s="43"/>
    </row>
    <row r="9298" spans="2:27" x14ac:dyDescent="0.25">
      <c r="B9298" s="42"/>
      <c r="AA9298" s="43"/>
    </row>
    <row r="9299" spans="2:27" x14ac:dyDescent="0.25">
      <c r="B9299" s="42"/>
      <c r="AA9299" s="43"/>
    </row>
    <row r="9300" spans="2:27" x14ac:dyDescent="0.25">
      <c r="B9300" s="42"/>
      <c r="AA9300" s="43"/>
    </row>
    <row r="9301" spans="2:27" x14ac:dyDescent="0.25">
      <c r="B9301" s="42"/>
      <c r="AA9301" s="43"/>
    </row>
    <row r="9302" spans="2:27" x14ac:dyDescent="0.25">
      <c r="B9302" s="42"/>
      <c r="AA9302" s="43"/>
    </row>
    <row r="9303" spans="2:27" x14ac:dyDescent="0.25">
      <c r="B9303" s="42"/>
      <c r="AA9303" s="43"/>
    </row>
    <row r="9304" spans="2:27" x14ac:dyDescent="0.25">
      <c r="B9304" s="42"/>
      <c r="AA9304" s="43"/>
    </row>
    <row r="9305" spans="2:27" x14ac:dyDescent="0.25">
      <c r="B9305" s="42"/>
      <c r="AA9305" s="43"/>
    </row>
    <row r="9306" spans="2:27" x14ac:dyDescent="0.25">
      <c r="B9306" s="42"/>
      <c r="AA9306" s="43"/>
    </row>
    <row r="9307" spans="2:27" x14ac:dyDescent="0.25">
      <c r="B9307" s="42"/>
      <c r="AA9307" s="43"/>
    </row>
    <row r="9308" spans="2:27" x14ac:dyDescent="0.25">
      <c r="B9308" s="42"/>
      <c r="AA9308" s="43"/>
    </row>
    <row r="9309" spans="2:27" x14ac:dyDescent="0.25">
      <c r="B9309" s="42"/>
      <c r="AA9309" s="43"/>
    </row>
    <row r="9310" spans="2:27" x14ac:dyDescent="0.25">
      <c r="B9310" s="42"/>
      <c r="AA9310" s="43"/>
    </row>
    <row r="9311" spans="2:27" x14ac:dyDescent="0.25">
      <c r="B9311" s="42"/>
      <c r="AA9311" s="43"/>
    </row>
    <row r="9312" spans="2:27" x14ac:dyDescent="0.25">
      <c r="B9312" s="42"/>
      <c r="AA9312" s="43"/>
    </row>
    <row r="9313" spans="2:27" x14ac:dyDescent="0.25">
      <c r="B9313" s="42"/>
      <c r="AA9313" s="43"/>
    </row>
    <row r="9314" spans="2:27" x14ac:dyDescent="0.25">
      <c r="B9314" s="42"/>
      <c r="AA9314" s="43"/>
    </row>
    <row r="9315" spans="2:27" x14ac:dyDescent="0.25">
      <c r="B9315" s="42"/>
      <c r="AA9315" s="43"/>
    </row>
    <row r="9316" spans="2:27" x14ac:dyDescent="0.25">
      <c r="B9316" s="42"/>
      <c r="AA9316" s="43"/>
    </row>
    <row r="9317" spans="2:27" x14ac:dyDescent="0.25">
      <c r="B9317" s="42"/>
      <c r="AA9317" s="43"/>
    </row>
    <row r="9318" spans="2:27" x14ac:dyDescent="0.25">
      <c r="B9318" s="42"/>
      <c r="AA9318" s="43"/>
    </row>
    <row r="9319" spans="2:27" x14ac:dyDescent="0.25">
      <c r="B9319" s="42"/>
      <c r="AA9319" s="43"/>
    </row>
    <row r="9320" spans="2:27" x14ac:dyDescent="0.25">
      <c r="B9320" s="42"/>
      <c r="AA9320" s="43"/>
    </row>
    <row r="9321" spans="2:27" x14ac:dyDescent="0.25">
      <c r="B9321" s="42"/>
      <c r="AA9321" s="43"/>
    </row>
    <row r="9322" spans="2:27" x14ac:dyDescent="0.25">
      <c r="B9322" s="42"/>
      <c r="AA9322" s="43"/>
    </row>
    <row r="9323" spans="2:27" x14ac:dyDescent="0.25">
      <c r="B9323" s="42"/>
      <c r="AA9323" s="43"/>
    </row>
    <row r="9324" spans="2:27" x14ac:dyDescent="0.25">
      <c r="B9324" s="42"/>
      <c r="AA9324" s="43"/>
    </row>
    <row r="9325" spans="2:27" x14ac:dyDescent="0.25">
      <c r="B9325" s="42"/>
      <c r="AA9325" s="43"/>
    </row>
    <row r="9326" spans="2:27" x14ac:dyDescent="0.25">
      <c r="B9326" s="42"/>
      <c r="AA9326" s="43"/>
    </row>
    <row r="9327" spans="2:27" x14ac:dyDescent="0.25">
      <c r="B9327" s="42"/>
      <c r="AA9327" s="43"/>
    </row>
    <row r="9328" spans="2:27" x14ac:dyDescent="0.25">
      <c r="B9328" s="42"/>
      <c r="AA9328" s="43"/>
    </row>
    <row r="9329" spans="2:27" x14ac:dyDescent="0.25">
      <c r="B9329" s="42"/>
      <c r="AA9329" s="43"/>
    </row>
    <row r="9330" spans="2:27" x14ac:dyDescent="0.25">
      <c r="B9330" s="42"/>
      <c r="AA9330" s="43"/>
    </row>
    <row r="9331" spans="2:27" x14ac:dyDescent="0.25">
      <c r="B9331" s="42"/>
      <c r="AA9331" s="43"/>
    </row>
    <row r="9332" spans="2:27" x14ac:dyDescent="0.25">
      <c r="B9332" s="42"/>
      <c r="AA9332" s="43"/>
    </row>
    <row r="9333" spans="2:27" x14ac:dyDescent="0.25">
      <c r="B9333" s="42"/>
      <c r="AA9333" s="43"/>
    </row>
    <row r="9334" spans="2:27" x14ac:dyDescent="0.25">
      <c r="B9334" s="42"/>
      <c r="AA9334" s="43"/>
    </row>
    <row r="9335" spans="2:27" x14ac:dyDescent="0.25">
      <c r="B9335" s="42"/>
      <c r="AA9335" s="43"/>
    </row>
    <row r="9336" spans="2:27" x14ac:dyDescent="0.25">
      <c r="B9336" s="42"/>
      <c r="AA9336" s="43"/>
    </row>
    <row r="9337" spans="2:27" x14ac:dyDescent="0.25">
      <c r="B9337" s="42"/>
      <c r="AA9337" s="43"/>
    </row>
    <row r="9338" spans="2:27" x14ac:dyDescent="0.25">
      <c r="B9338" s="42"/>
      <c r="AA9338" s="43"/>
    </row>
    <row r="9339" spans="2:27" x14ac:dyDescent="0.25">
      <c r="B9339" s="42"/>
      <c r="AA9339" s="43"/>
    </row>
    <row r="9340" spans="2:27" x14ac:dyDescent="0.25">
      <c r="B9340" s="42"/>
      <c r="AA9340" s="43"/>
    </row>
    <row r="9341" spans="2:27" x14ac:dyDescent="0.25">
      <c r="B9341" s="42"/>
      <c r="AA9341" s="43"/>
    </row>
    <row r="9342" spans="2:27" x14ac:dyDescent="0.25">
      <c r="B9342" s="42"/>
      <c r="AA9342" s="43"/>
    </row>
    <row r="9343" spans="2:27" x14ac:dyDescent="0.25">
      <c r="B9343" s="42"/>
      <c r="AA9343" s="43"/>
    </row>
    <row r="9344" spans="2:27" x14ac:dyDescent="0.25">
      <c r="B9344" s="42"/>
      <c r="AA9344" s="43"/>
    </row>
    <row r="9345" spans="2:27" x14ac:dyDescent="0.25">
      <c r="B9345" s="42"/>
      <c r="AA9345" s="43"/>
    </row>
    <row r="9346" spans="2:27" x14ac:dyDescent="0.25">
      <c r="B9346" s="42"/>
      <c r="AA9346" s="43"/>
    </row>
    <row r="9347" spans="2:27" x14ac:dyDescent="0.25">
      <c r="B9347" s="42"/>
      <c r="AA9347" s="43"/>
    </row>
    <row r="9348" spans="2:27" x14ac:dyDescent="0.25">
      <c r="B9348" s="42"/>
      <c r="AA9348" s="43"/>
    </row>
    <row r="9349" spans="2:27" x14ac:dyDescent="0.25">
      <c r="B9349" s="42"/>
      <c r="AA9349" s="43"/>
    </row>
    <row r="9350" spans="2:27" x14ac:dyDescent="0.25">
      <c r="B9350" s="42"/>
      <c r="AA9350" s="43"/>
    </row>
    <row r="9351" spans="2:27" x14ac:dyDescent="0.25">
      <c r="B9351" s="42"/>
      <c r="AA9351" s="43"/>
    </row>
    <row r="9352" spans="2:27" x14ac:dyDescent="0.25">
      <c r="B9352" s="42"/>
      <c r="AA9352" s="43"/>
    </row>
    <row r="9353" spans="2:27" x14ac:dyDescent="0.25">
      <c r="B9353" s="42"/>
      <c r="AA9353" s="43"/>
    </row>
    <row r="9354" spans="2:27" x14ac:dyDescent="0.25">
      <c r="B9354" s="42"/>
      <c r="AA9354" s="43"/>
    </row>
    <row r="9355" spans="2:27" x14ac:dyDescent="0.25">
      <c r="B9355" s="42"/>
      <c r="AA9355" s="43"/>
    </row>
    <row r="9356" spans="2:27" x14ac:dyDescent="0.25">
      <c r="B9356" s="42"/>
      <c r="AA9356" s="43"/>
    </row>
    <row r="9357" spans="2:27" x14ac:dyDescent="0.25">
      <c r="B9357" s="42"/>
      <c r="AA9357" s="43"/>
    </row>
    <row r="9358" spans="2:27" x14ac:dyDescent="0.25">
      <c r="B9358" s="42"/>
      <c r="AA9358" s="43"/>
    </row>
    <row r="9359" spans="2:27" x14ac:dyDescent="0.25">
      <c r="B9359" s="42"/>
      <c r="AA9359" s="43"/>
    </row>
    <row r="9360" spans="2:27" x14ac:dyDescent="0.25">
      <c r="B9360" s="42"/>
      <c r="AA9360" s="43"/>
    </row>
    <row r="9361" spans="2:27" x14ac:dyDescent="0.25">
      <c r="B9361" s="42"/>
      <c r="AA9361" s="43"/>
    </row>
    <row r="9362" spans="2:27" x14ac:dyDescent="0.25">
      <c r="B9362" s="42"/>
      <c r="AA9362" s="43"/>
    </row>
    <row r="9363" spans="2:27" x14ac:dyDescent="0.25">
      <c r="B9363" s="42"/>
      <c r="AA9363" s="43"/>
    </row>
    <row r="9364" spans="2:27" x14ac:dyDescent="0.25">
      <c r="B9364" s="42"/>
      <c r="AA9364" s="43"/>
    </row>
    <row r="9365" spans="2:27" x14ac:dyDescent="0.25">
      <c r="B9365" s="42"/>
      <c r="AA9365" s="43"/>
    </row>
    <row r="9366" spans="2:27" x14ac:dyDescent="0.25">
      <c r="B9366" s="42"/>
      <c r="AA9366" s="43"/>
    </row>
    <row r="9367" spans="2:27" x14ac:dyDescent="0.25">
      <c r="B9367" s="42"/>
      <c r="AA9367" s="43"/>
    </row>
    <row r="9368" spans="2:27" x14ac:dyDescent="0.25">
      <c r="B9368" s="42"/>
      <c r="AA9368" s="43"/>
    </row>
    <row r="9369" spans="2:27" x14ac:dyDescent="0.25">
      <c r="B9369" s="42"/>
      <c r="AA9369" s="43"/>
    </row>
    <row r="9370" spans="2:27" x14ac:dyDescent="0.25">
      <c r="B9370" s="42"/>
      <c r="AA9370" s="43"/>
    </row>
    <row r="9371" spans="2:27" x14ac:dyDescent="0.25">
      <c r="B9371" s="42"/>
      <c r="AA9371" s="43"/>
    </row>
    <row r="9372" spans="2:27" x14ac:dyDescent="0.25">
      <c r="B9372" s="42"/>
      <c r="AA9372" s="43"/>
    </row>
    <row r="9373" spans="2:27" x14ac:dyDescent="0.25">
      <c r="B9373" s="42"/>
      <c r="AA9373" s="43"/>
    </row>
    <row r="9374" spans="2:27" x14ac:dyDescent="0.25">
      <c r="B9374" s="42"/>
      <c r="AA9374" s="43"/>
    </row>
    <row r="9375" spans="2:27" x14ac:dyDescent="0.25">
      <c r="B9375" s="42"/>
      <c r="AA9375" s="43"/>
    </row>
    <row r="9376" spans="2:27" x14ac:dyDescent="0.25">
      <c r="B9376" s="42"/>
      <c r="AA9376" s="43"/>
    </row>
    <row r="9377" spans="2:27" x14ac:dyDescent="0.25">
      <c r="B9377" s="42"/>
      <c r="AA9377" s="43"/>
    </row>
    <row r="9378" spans="2:27" x14ac:dyDescent="0.25">
      <c r="B9378" s="42"/>
      <c r="AA9378" s="43"/>
    </row>
    <row r="9379" spans="2:27" x14ac:dyDescent="0.25">
      <c r="B9379" s="42"/>
      <c r="AA9379" s="43"/>
    </row>
    <row r="9380" spans="2:27" x14ac:dyDescent="0.25">
      <c r="B9380" s="42"/>
      <c r="AA9380" s="43"/>
    </row>
    <row r="9381" spans="2:27" x14ac:dyDescent="0.25">
      <c r="B9381" s="42"/>
      <c r="AA9381" s="43"/>
    </row>
    <row r="9382" spans="2:27" x14ac:dyDescent="0.25">
      <c r="B9382" s="42"/>
      <c r="AA9382" s="43"/>
    </row>
    <row r="9383" spans="2:27" x14ac:dyDescent="0.25">
      <c r="B9383" s="42"/>
      <c r="AA9383" s="43"/>
    </row>
    <row r="9384" spans="2:27" x14ac:dyDescent="0.25">
      <c r="B9384" s="42"/>
      <c r="AA9384" s="43"/>
    </row>
    <row r="9385" spans="2:27" x14ac:dyDescent="0.25">
      <c r="B9385" s="42"/>
      <c r="AA9385" s="43"/>
    </row>
    <row r="9386" spans="2:27" x14ac:dyDescent="0.25">
      <c r="B9386" s="42"/>
      <c r="AA9386" s="43"/>
    </row>
    <row r="9387" spans="2:27" x14ac:dyDescent="0.25">
      <c r="B9387" s="42"/>
      <c r="AA9387" s="43"/>
    </row>
    <row r="9388" spans="2:27" x14ac:dyDescent="0.25">
      <c r="B9388" s="42"/>
      <c r="AA9388" s="43"/>
    </row>
    <row r="9389" spans="2:27" x14ac:dyDescent="0.25">
      <c r="B9389" s="42"/>
      <c r="AA9389" s="43"/>
    </row>
    <row r="9390" spans="2:27" x14ac:dyDescent="0.25">
      <c r="B9390" s="42"/>
      <c r="AA9390" s="43"/>
    </row>
    <row r="9391" spans="2:27" x14ac:dyDescent="0.25">
      <c r="B9391" s="42"/>
      <c r="AA9391" s="43"/>
    </row>
    <row r="9392" spans="2:27" x14ac:dyDescent="0.25">
      <c r="B9392" s="42"/>
      <c r="AA9392" s="43"/>
    </row>
    <row r="9393" spans="2:27" x14ac:dyDescent="0.25">
      <c r="B9393" s="42"/>
      <c r="AA9393" s="43"/>
    </row>
    <row r="9394" spans="2:27" x14ac:dyDescent="0.25">
      <c r="B9394" s="42"/>
      <c r="AA9394" s="43"/>
    </row>
    <row r="9395" spans="2:27" x14ac:dyDescent="0.25">
      <c r="B9395" s="42"/>
      <c r="AA9395" s="43"/>
    </row>
    <row r="9396" spans="2:27" x14ac:dyDescent="0.25">
      <c r="B9396" s="42"/>
      <c r="AA9396" s="43"/>
    </row>
    <row r="9397" spans="2:27" x14ac:dyDescent="0.25">
      <c r="B9397" s="42"/>
      <c r="AA9397" s="43"/>
    </row>
    <row r="9398" spans="2:27" x14ac:dyDescent="0.25">
      <c r="B9398" s="42"/>
      <c r="AA9398" s="43"/>
    </row>
    <row r="9399" spans="2:27" x14ac:dyDescent="0.25">
      <c r="B9399" s="42"/>
      <c r="AA9399" s="43"/>
    </row>
    <row r="9400" spans="2:27" x14ac:dyDescent="0.25">
      <c r="B9400" s="42"/>
      <c r="AA9400" s="43"/>
    </row>
    <row r="9401" spans="2:27" x14ac:dyDescent="0.25">
      <c r="B9401" s="42"/>
      <c r="AA9401" s="43"/>
    </row>
    <row r="9402" spans="2:27" x14ac:dyDescent="0.25">
      <c r="B9402" s="42"/>
      <c r="AA9402" s="43"/>
    </row>
    <row r="9403" spans="2:27" x14ac:dyDescent="0.25">
      <c r="B9403" s="42"/>
      <c r="AA9403" s="43"/>
    </row>
    <row r="9404" spans="2:27" x14ac:dyDescent="0.25">
      <c r="B9404" s="42"/>
      <c r="AA9404" s="43"/>
    </row>
    <row r="9405" spans="2:27" x14ac:dyDescent="0.25">
      <c r="B9405" s="42"/>
      <c r="AA9405" s="43"/>
    </row>
    <row r="9406" spans="2:27" x14ac:dyDescent="0.25">
      <c r="B9406" s="42"/>
      <c r="AA9406" s="43"/>
    </row>
    <row r="9407" spans="2:27" x14ac:dyDescent="0.25">
      <c r="B9407" s="42"/>
      <c r="AA9407" s="43"/>
    </row>
    <row r="9408" spans="2:27" x14ac:dyDescent="0.25">
      <c r="B9408" s="42"/>
      <c r="AA9408" s="43"/>
    </row>
    <row r="9409" spans="2:27" x14ac:dyDescent="0.25">
      <c r="B9409" s="42"/>
      <c r="AA9409" s="43"/>
    </row>
    <row r="9410" spans="2:27" x14ac:dyDescent="0.25">
      <c r="B9410" s="42"/>
      <c r="AA9410" s="43"/>
    </row>
    <row r="9411" spans="2:27" x14ac:dyDescent="0.25">
      <c r="B9411" s="42"/>
      <c r="AA9411" s="43"/>
    </row>
    <row r="9412" spans="2:27" x14ac:dyDescent="0.25">
      <c r="B9412" s="42"/>
      <c r="AA9412" s="43"/>
    </row>
    <row r="9413" spans="2:27" x14ac:dyDescent="0.25">
      <c r="B9413" s="42"/>
      <c r="AA9413" s="43"/>
    </row>
    <row r="9414" spans="2:27" x14ac:dyDescent="0.25">
      <c r="B9414" s="42"/>
      <c r="AA9414" s="43"/>
    </row>
    <row r="9415" spans="2:27" x14ac:dyDescent="0.25">
      <c r="B9415" s="42"/>
      <c r="AA9415" s="43"/>
    </row>
    <row r="9416" spans="2:27" x14ac:dyDescent="0.25">
      <c r="B9416" s="42"/>
      <c r="AA9416" s="43"/>
    </row>
    <row r="9417" spans="2:27" x14ac:dyDescent="0.25">
      <c r="B9417" s="42"/>
      <c r="AA9417" s="43"/>
    </row>
    <row r="9418" spans="2:27" x14ac:dyDescent="0.25">
      <c r="B9418" s="42"/>
      <c r="AA9418" s="43"/>
    </row>
    <row r="9419" spans="2:27" x14ac:dyDescent="0.25">
      <c r="B9419" s="42"/>
      <c r="AA9419" s="43"/>
    </row>
    <row r="9420" spans="2:27" x14ac:dyDescent="0.25">
      <c r="B9420" s="42"/>
      <c r="AA9420" s="43"/>
    </row>
    <row r="9421" spans="2:27" x14ac:dyDescent="0.25">
      <c r="B9421" s="42"/>
      <c r="AA9421" s="43"/>
    </row>
    <row r="9422" spans="2:27" x14ac:dyDescent="0.25">
      <c r="B9422" s="42"/>
      <c r="AA9422" s="43"/>
    </row>
    <row r="9423" spans="2:27" x14ac:dyDescent="0.25">
      <c r="B9423" s="42"/>
      <c r="AA9423" s="43"/>
    </row>
    <row r="9424" spans="2:27" x14ac:dyDescent="0.25">
      <c r="B9424" s="42"/>
      <c r="AA9424" s="43"/>
    </row>
    <row r="9425" spans="2:27" x14ac:dyDescent="0.25">
      <c r="B9425" s="42"/>
      <c r="AA9425" s="43"/>
    </row>
    <row r="9426" spans="2:27" x14ac:dyDescent="0.25">
      <c r="B9426" s="42"/>
      <c r="AA9426" s="43"/>
    </row>
    <row r="9427" spans="2:27" x14ac:dyDescent="0.25">
      <c r="B9427" s="42"/>
      <c r="AA9427" s="43"/>
    </row>
    <row r="9428" spans="2:27" x14ac:dyDescent="0.25">
      <c r="B9428" s="42"/>
      <c r="AA9428" s="43"/>
    </row>
    <row r="9429" spans="2:27" x14ac:dyDescent="0.25">
      <c r="B9429" s="42"/>
      <c r="AA9429" s="43"/>
    </row>
    <row r="9430" spans="2:27" x14ac:dyDescent="0.25">
      <c r="B9430" s="42"/>
      <c r="AA9430" s="43"/>
    </row>
    <row r="9431" spans="2:27" x14ac:dyDescent="0.25">
      <c r="B9431" s="42"/>
      <c r="AA9431" s="43"/>
    </row>
    <row r="9432" spans="2:27" x14ac:dyDescent="0.25">
      <c r="B9432" s="42"/>
      <c r="AA9432" s="43"/>
    </row>
    <row r="9433" spans="2:27" x14ac:dyDescent="0.25">
      <c r="B9433" s="42"/>
      <c r="AA9433" s="43"/>
    </row>
    <row r="9434" spans="2:27" x14ac:dyDescent="0.25">
      <c r="B9434" s="42"/>
      <c r="AA9434" s="43"/>
    </row>
    <row r="9435" spans="2:27" x14ac:dyDescent="0.25">
      <c r="B9435" s="42"/>
      <c r="AA9435" s="43"/>
    </row>
    <row r="9436" spans="2:27" x14ac:dyDescent="0.25">
      <c r="B9436" s="42"/>
      <c r="AA9436" s="43"/>
    </row>
    <row r="9437" spans="2:27" x14ac:dyDescent="0.25">
      <c r="B9437" s="42"/>
      <c r="AA9437" s="43"/>
    </row>
    <row r="9438" spans="2:27" x14ac:dyDescent="0.25">
      <c r="B9438" s="42"/>
      <c r="AA9438" s="43"/>
    </row>
    <row r="9439" spans="2:27" x14ac:dyDescent="0.25">
      <c r="B9439" s="42"/>
      <c r="AA9439" s="43"/>
    </row>
    <row r="9440" spans="2:27" x14ac:dyDescent="0.25">
      <c r="B9440" s="42"/>
      <c r="AA9440" s="43"/>
    </row>
    <row r="9441" spans="2:27" x14ac:dyDescent="0.25">
      <c r="B9441" s="42"/>
      <c r="AA9441" s="43"/>
    </row>
    <row r="9442" spans="2:27" x14ac:dyDescent="0.25">
      <c r="B9442" s="42"/>
      <c r="AA9442" s="43"/>
    </row>
    <row r="9443" spans="2:27" x14ac:dyDescent="0.25">
      <c r="B9443" s="42"/>
      <c r="AA9443" s="43"/>
    </row>
    <row r="9444" spans="2:27" x14ac:dyDescent="0.25">
      <c r="B9444" s="42"/>
      <c r="AA9444" s="43"/>
    </row>
    <row r="9445" spans="2:27" x14ac:dyDescent="0.25">
      <c r="B9445" s="42"/>
      <c r="AA9445" s="43"/>
    </row>
    <row r="9446" spans="2:27" x14ac:dyDescent="0.25">
      <c r="B9446" s="42"/>
      <c r="AA9446" s="43"/>
    </row>
    <row r="9447" spans="2:27" x14ac:dyDescent="0.25">
      <c r="B9447" s="42"/>
      <c r="AA9447" s="43"/>
    </row>
    <row r="9448" spans="2:27" x14ac:dyDescent="0.25">
      <c r="B9448" s="42"/>
      <c r="AA9448" s="43"/>
    </row>
    <row r="9449" spans="2:27" x14ac:dyDescent="0.25">
      <c r="B9449" s="42"/>
      <c r="AA9449" s="43"/>
    </row>
    <row r="9450" spans="2:27" x14ac:dyDescent="0.25">
      <c r="B9450" s="42"/>
      <c r="AA9450" s="43"/>
    </row>
    <row r="9451" spans="2:27" x14ac:dyDescent="0.25">
      <c r="B9451" s="42"/>
      <c r="AA9451" s="43"/>
    </row>
    <row r="9452" spans="2:27" x14ac:dyDescent="0.25">
      <c r="B9452" s="42"/>
      <c r="AA9452" s="43"/>
    </row>
    <row r="9453" spans="2:27" x14ac:dyDescent="0.25">
      <c r="B9453" s="42"/>
      <c r="AA9453" s="43"/>
    </row>
    <row r="9454" spans="2:27" x14ac:dyDescent="0.25">
      <c r="B9454" s="42"/>
      <c r="AA9454" s="43"/>
    </row>
    <row r="9455" spans="2:27" x14ac:dyDescent="0.25">
      <c r="B9455" s="42"/>
      <c r="AA9455" s="43"/>
    </row>
    <row r="9456" spans="2:27" x14ac:dyDescent="0.25">
      <c r="B9456" s="42"/>
      <c r="AA9456" s="43"/>
    </row>
    <row r="9457" spans="2:27" x14ac:dyDescent="0.25">
      <c r="B9457" s="42"/>
      <c r="AA9457" s="43"/>
    </row>
    <row r="9458" spans="2:27" x14ac:dyDescent="0.25">
      <c r="B9458" s="42"/>
      <c r="AA9458" s="43"/>
    </row>
    <row r="9459" spans="2:27" x14ac:dyDescent="0.25">
      <c r="B9459" s="42"/>
      <c r="AA9459" s="43"/>
    </row>
    <row r="9460" spans="2:27" x14ac:dyDescent="0.25">
      <c r="B9460" s="42"/>
      <c r="AA9460" s="43"/>
    </row>
    <row r="9461" spans="2:27" x14ac:dyDescent="0.25">
      <c r="B9461" s="42"/>
      <c r="AA9461" s="43"/>
    </row>
    <row r="9462" spans="2:27" x14ac:dyDescent="0.25">
      <c r="B9462" s="42"/>
      <c r="AA9462" s="43"/>
    </row>
    <row r="9463" spans="2:27" x14ac:dyDescent="0.25">
      <c r="B9463" s="42"/>
      <c r="AA9463" s="43"/>
    </row>
    <row r="9464" spans="2:27" x14ac:dyDescent="0.25">
      <c r="B9464" s="42"/>
      <c r="AA9464" s="43"/>
    </row>
    <row r="9465" spans="2:27" x14ac:dyDescent="0.25">
      <c r="B9465" s="42"/>
      <c r="AA9465" s="43"/>
    </row>
    <row r="9466" spans="2:27" x14ac:dyDescent="0.25">
      <c r="B9466" s="42"/>
      <c r="AA9466" s="43"/>
    </row>
    <row r="9467" spans="2:27" x14ac:dyDescent="0.25">
      <c r="B9467" s="42"/>
      <c r="AA9467" s="43"/>
    </row>
    <row r="9468" spans="2:27" x14ac:dyDescent="0.25">
      <c r="B9468" s="42"/>
      <c r="AA9468" s="43"/>
    </row>
    <row r="9469" spans="2:27" x14ac:dyDescent="0.25">
      <c r="B9469" s="42"/>
      <c r="AA9469" s="43"/>
    </row>
    <row r="9470" spans="2:27" x14ac:dyDescent="0.25">
      <c r="B9470" s="42"/>
      <c r="AA9470" s="43"/>
    </row>
    <row r="9471" spans="2:27" x14ac:dyDescent="0.25">
      <c r="B9471" s="42"/>
      <c r="AA9471" s="43"/>
    </row>
    <row r="9472" spans="2:27" x14ac:dyDescent="0.25">
      <c r="B9472" s="42"/>
      <c r="AA9472" s="43"/>
    </row>
    <row r="9473" spans="2:27" x14ac:dyDescent="0.25">
      <c r="B9473" s="42"/>
      <c r="AA9473" s="43"/>
    </row>
    <row r="9474" spans="2:27" x14ac:dyDescent="0.25">
      <c r="B9474" s="42"/>
      <c r="AA9474" s="43"/>
    </row>
    <row r="9475" spans="2:27" x14ac:dyDescent="0.25">
      <c r="B9475" s="42"/>
      <c r="AA9475" s="43"/>
    </row>
    <row r="9476" spans="2:27" x14ac:dyDescent="0.25">
      <c r="B9476" s="42"/>
      <c r="AA9476" s="43"/>
    </row>
    <row r="9477" spans="2:27" x14ac:dyDescent="0.25">
      <c r="B9477" s="42"/>
      <c r="AA9477" s="43"/>
    </row>
    <row r="9478" spans="2:27" x14ac:dyDescent="0.25">
      <c r="B9478" s="42"/>
      <c r="AA9478" s="43"/>
    </row>
    <row r="9479" spans="2:27" x14ac:dyDescent="0.25">
      <c r="B9479" s="42"/>
      <c r="AA9479" s="43"/>
    </row>
    <row r="9480" spans="2:27" x14ac:dyDescent="0.25">
      <c r="B9480" s="42"/>
      <c r="AA9480" s="43"/>
    </row>
    <row r="9481" spans="2:27" x14ac:dyDescent="0.25">
      <c r="B9481" s="42"/>
      <c r="AA9481" s="43"/>
    </row>
    <row r="9482" spans="2:27" x14ac:dyDescent="0.25">
      <c r="B9482" s="42"/>
      <c r="AA9482" s="43"/>
    </row>
    <row r="9483" spans="2:27" x14ac:dyDescent="0.25">
      <c r="B9483" s="42"/>
      <c r="AA9483" s="43"/>
    </row>
    <row r="9484" spans="2:27" x14ac:dyDescent="0.25">
      <c r="B9484" s="42"/>
      <c r="AA9484" s="43"/>
    </row>
    <row r="9485" spans="2:27" x14ac:dyDescent="0.25">
      <c r="B9485" s="42"/>
      <c r="AA9485" s="43"/>
    </row>
    <row r="9486" spans="2:27" x14ac:dyDescent="0.25">
      <c r="B9486" s="42"/>
      <c r="AA9486" s="43"/>
    </row>
    <row r="9487" spans="2:27" x14ac:dyDescent="0.25">
      <c r="B9487" s="42"/>
      <c r="AA9487" s="43"/>
    </row>
    <row r="9488" spans="2:27" x14ac:dyDescent="0.25">
      <c r="B9488" s="42"/>
      <c r="AA9488" s="43"/>
    </row>
    <row r="9489" spans="2:27" x14ac:dyDescent="0.25">
      <c r="B9489" s="42"/>
      <c r="AA9489" s="43"/>
    </row>
    <row r="9490" spans="2:27" x14ac:dyDescent="0.25">
      <c r="B9490" s="42"/>
      <c r="AA9490" s="43"/>
    </row>
    <row r="9491" spans="2:27" x14ac:dyDescent="0.25">
      <c r="B9491" s="42"/>
      <c r="AA9491" s="43"/>
    </row>
    <row r="9492" spans="2:27" x14ac:dyDescent="0.25">
      <c r="B9492" s="42"/>
      <c r="AA9492" s="43"/>
    </row>
    <row r="9493" spans="2:27" x14ac:dyDescent="0.25">
      <c r="B9493" s="42"/>
      <c r="AA9493" s="43"/>
    </row>
    <row r="9494" spans="2:27" x14ac:dyDescent="0.25">
      <c r="B9494" s="42"/>
      <c r="AA9494" s="43"/>
    </row>
    <row r="9495" spans="2:27" x14ac:dyDescent="0.25">
      <c r="B9495" s="42"/>
      <c r="AA9495" s="43"/>
    </row>
    <row r="9496" spans="2:27" x14ac:dyDescent="0.25">
      <c r="B9496" s="42"/>
      <c r="AA9496" s="43"/>
    </row>
    <row r="9497" spans="2:27" x14ac:dyDescent="0.25">
      <c r="B9497" s="42"/>
      <c r="AA9497" s="43"/>
    </row>
    <row r="9498" spans="2:27" x14ac:dyDescent="0.25">
      <c r="B9498" s="42"/>
      <c r="AA9498" s="43"/>
    </row>
    <row r="9499" spans="2:27" x14ac:dyDescent="0.25">
      <c r="B9499" s="42"/>
      <c r="AA9499" s="43"/>
    </row>
    <row r="9500" spans="2:27" x14ac:dyDescent="0.25">
      <c r="B9500" s="42"/>
      <c r="AA9500" s="43"/>
    </row>
    <row r="9501" spans="2:27" x14ac:dyDescent="0.25">
      <c r="B9501" s="42"/>
      <c r="AA9501" s="43"/>
    </row>
    <row r="9502" spans="2:27" x14ac:dyDescent="0.25">
      <c r="B9502" s="42"/>
      <c r="AA9502" s="43"/>
    </row>
    <row r="9503" spans="2:27" x14ac:dyDescent="0.25">
      <c r="B9503" s="42"/>
      <c r="AA9503" s="43"/>
    </row>
    <row r="9504" spans="2:27" x14ac:dyDescent="0.25">
      <c r="B9504" s="42"/>
      <c r="AA9504" s="43"/>
    </row>
    <row r="9505" spans="2:27" x14ac:dyDescent="0.25">
      <c r="B9505" s="42"/>
      <c r="AA9505" s="43"/>
    </row>
    <row r="9506" spans="2:27" x14ac:dyDescent="0.25">
      <c r="B9506" s="42"/>
      <c r="AA9506" s="43"/>
    </row>
    <row r="9507" spans="2:27" x14ac:dyDescent="0.25">
      <c r="B9507" s="42"/>
      <c r="AA9507" s="43"/>
    </row>
    <row r="9508" spans="2:27" x14ac:dyDescent="0.25">
      <c r="B9508" s="42"/>
      <c r="AA9508" s="43"/>
    </row>
    <row r="9509" spans="2:27" x14ac:dyDescent="0.25">
      <c r="B9509" s="42"/>
      <c r="AA9509" s="43"/>
    </row>
    <row r="9510" spans="2:27" x14ac:dyDescent="0.25">
      <c r="B9510" s="42"/>
      <c r="AA9510" s="43"/>
    </row>
    <row r="9511" spans="2:27" x14ac:dyDescent="0.25">
      <c r="B9511" s="42"/>
      <c r="AA9511" s="43"/>
    </row>
    <row r="9512" spans="2:27" x14ac:dyDescent="0.25">
      <c r="B9512" s="42"/>
      <c r="AA9512" s="43"/>
    </row>
    <row r="9513" spans="2:27" x14ac:dyDescent="0.25">
      <c r="B9513" s="42"/>
      <c r="AA9513" s="43"/>
    </row>
    <row r="9514" spans="2:27" x14ac:dyDescent="0.25">
      <c r="B9514" s="42"/>
      <c r="AA9514" s="43"/>
    </row>
    <row r="9515" spans="2:27" x14ac:dyDescent="0.25">
      <c r="B9515" s="42"/>
      <c r="AA9515" s="43"/>
    </row>
    <row r="9516" spans="2:27" x14ac:dyDescent="0.25">
      <c r="B9516" s="42"/>
      <c r="AA9516" s="43"/>
    </row>
    <row r="9517" spans="2:27" x14ac:dyDescent="0.25">
      <c r="B9517" s="42"/>
      <c r="AA9517" s="43"/>
    </row>
    <row r="9518" spans="2:27" x14ac:dyDescent="0.25">
      <c r="B9518" s="42"/>
      <c r="AA9518" s="43"/>
    </row>
    <row r="9519" spans="2:27" x14ac:dyDescent="0.25">
      <c r="B9519" s="42"/>
      <c r="AA9519" s="43"/>
    </row>
    <row r="9520" spans="2:27" x14ac:dyDescent="0.25">
      <c r="B9520" s="42"/>
      <c r="AA9520" s="43"/>
    </row>
    <row r="9521" spans="2:27" x14ac:dyDescent="0.25">
      <c r="B9521" s="42"/>
      <c r="AA9521" s="43"/>
    </row>
    <row r="9522" spans="2:27" x14ac:dyDescent="0.25">
      <c r="B9522" s="42"/>
      <c r="AA9522" s="43"/>
    </row>
    <row r="9523" spans="2:27" x14ac:dyDescent="0.25">
      <c r="B9523" s="42"/>
      <c r="AA9523" s="43"/>
    </row>
    <row r="9524" spans="2:27" x14ac:dyDescent="0.25">
      <c r="B9524" s="42"/>
      <c r="AA9524" s="43"/>
    </row>
    <row r="9525" spans="2:27" x14ac:dyDescent="0.25">
      <c r="B9525" s="42"/>
      <c r="AA9525" s="43"/>
    </row>
    <row r="9526" spans="2:27" x14ac:dyDescent="0.25">
      <c r="B9526" s="42"/>
      <c r="AA9526" s="43"/>
    </row>
    <row r="9527" spans="2:27" x14ac:dyDescent="0.25">
      <c r="B9527" s="42"/>
      <c r="AA9527" s="43"/>
    </row>
    <row r="9528" spans="2:27" x14ac:dyDescent="0.25">
      <c r="B9528" s="42"/>
      <c r="AA9528" s="43"/>
    </row>
    <row r="9529" spans="2:27" x14ac:dyDescent="0.25">
      <c r="B9529" s="42"/>
      <c r="AA9529" s="43"/>
    </row>
    <row r="9530" spans="2:27" x14ac:dyDescent="0.25">
      <c r="B9530" s="42"/>
      <c r="AA9530" s="43"/>
    </row>
    <row r="9531" spans="2:27" x14ac:dyDescent="0.25">
      <c r="B9531" s="42"/>
      <c r="AA9531" s="43"/>
    </row>
    <row r="9532" spans="2:27" x14ac:dyDescent="0.25">
      <c r="B9532" s="42"/>
      <c r="AA9532" s="43"/>
    </row>
    <row r="9533" spans="2:27" x14ac:dyDescent="0.25">
      <c r="B9533" s="42"/>
      <c r="AA9533" s="43"/>
    </row>
    <row r="9534" spans="2:27" x14ac:dyDescent="0.25">
      <c r="B9534" s="42"/>
      <c r="AA9534" s="43"/>
    </row>
    <row r="9535" spans="2:27" x14ac:dyDescent="0.25">
      <c r="B9535" s="42"/>
      <c r="AA9535" s="43"/>
    </row>
    <row r="9536" spans="2:27" x14ac:dyDescent="0.25">
      <c r="B9536" s="42"/>
      <c r="AA9536" s="43"/>
    </row>
    <row r="9537" spans="2:27" x14ac:dyDescent="0.25">
      <c r="B9537" s="42"/>
      <c r="AA9537" s="43"/>
    </row>
    <row r="9538" spans="2:27" x14ac:dyDescent="0.25">
      <c r="B9538" s="42"/>
      <c r="AA9538" s="43"/>
    </row>
    <row r="9539" spans="2:27" x14ac:dyDescent="0.25">
      <c r="B9539" s="42"/>
      <c r="AA9539" s="43"/>
    </row>
    <row r="9540" spans="2:27" x14ac:dyDescent="0.25">
      <c r="B9540" s="42"/>
      <c r="AA9540" s="43"/>
    </row>
    <row r="9541" spans="2:27" x14ac:dyDescent="0.25">
      <c r="B9541" s="42"/>
      <c r="AA9541" s="43"/>
    </row>
    <row r="9542" spans="2:27" x14ac:dyDescent="0.25">
      <c r="B9542" s="42"/>
      <c r="AA9542" s="43"/>
    </row>
    <row r="9543" spans="2:27" x14ac:dyDescent="0.25">
      <c r="B9543" s="42"/>
      <c r="AA9543" s="43"/>
    </row>
    <row r="9544" spans="2:27" x14ac:dyDescent="0.25">
      <c r="B9544" s="42"/>
      <c r="AA9544" s="43"/>
    </row>
    <row r="9545" spans="2:27" x14ac:dyDescent="0.25">
      <c r="B9545" s="42"/>
      <c r="AA9545" s="43"/>
    </row>
    <row r="9546" spans="2:27" x14ac:dyDescent="0.25">
      <c r="B9546" s="42"/>
      <c r="AA9546" s="43"/>
    </row>
    <row r="9547" spans="2:27" x14ac:dyDescent="0.25">
      <c r="B9547" s="42"/>
      <c r="AA9547" s="43"/>
    </row>
    <row r="9548" spans="2:27" x14ac:dyDescent="0.25">
      <c r="B9548" s="42"/>
      <c r="AA9548" s="43"/>
    </row>
    <row r="9549" spans="2:27" x14ac:dyDescent="0.25">
      <c r="B9549" s="42"/>
      <c r="AA9549" s="43"/>
    </row>
    <row r="9550" spans="2:27" x14ac:dyDescent="0.25">
      <c r="B9550" s="42"/>
      <c r="AA9550" s="43"/>
    </row>
    <row r="9551" spans="2:27" x14ac:dyDescent="0.25">
      <c r="B9551" s="42"/>
      <c r="AA9551" s="43"/>
    </row>
    <row r="9552" spans="2:27" x14ac:dyDescent="0.25">
      <c r="B9552" s="42"/>
      <c r="AA9552" s="43"/>
    </row>
    <row r="9553" spans="2:27" x14ac:dyDescent="0.25">
      <c r="B9553" s="42"/>
      <c r="AA9553" s="43"/>
    </row>
    <row r="9554" spans="2:27" x14ac:dyDescent="0.25">
      <c r="B9554" s="42"/>
      <c r="AA9554" s="43"/>
    </row>
    <row r="9555" spans="2:27" x14ac:dyDescent="0.25">
      <c r="B9555" s="42"/>
      <c r="AA9555" s="43"/>
    </row>
    <row r="9556" spans="2:27" x14ac:dyDescent="0.25">
      <c r="B9556" s="42"/>
      <c r="AA9556" s="43"/>
    </row>
    <row r="9557" spans="2:27" x14ac:dyDescent="0.25">
      <c r="B9557" s="42"/>
      <c r="AA9557" s="43"/>
    </row>
    <row r="9558" spans="2:27" x14ac:dyDescent="0.25">
      <c r="B9558" s="42"/>
      <c r="AA9558" s="43"/>
    </row>
    <row r="9559" spans="2:27" x14ac:dyDescent="0.25">
      <c r="B9559" s="42"/>
      <c r="AA9559" s="43"/>
    </row>
    <row r="9560" spans="2:27" x14ac:dyDescent="0.25">
      <c r="B9560" s="42"/>
      <c r="AA9560" s="43"/>
    </row>
    <row r="9561" spans="2:27" x14ac:dyDescent="0.25">
      <c r="B9561" s="42"/>
      <c r="AA9561" s="43"/>
    </row>
    <row r="9562" spans="2:27" x14ac:dyDescent="0.25">
      <c r="B9562" s="42"/>
      <c r="AA9562" s="43"/>
    </row>
    <row r="9563" spans="2:27" x14ac:dyDescent="0.25">
      <c r="B9563" s="42"/>
      <c r="AA9563" s="43"/>
    </row>
    <row r="9564" spans="2:27" x14ac:dyDescent="0.25">
      <c r="B9564" s="42"/>
      <c r="AA9564" s="43"/>
    </row>
    <row r="9565" spans="2:27" x14ac:dyDescent="0.25">
      <c r="B9565" s="42"/>
      <c r="AA9565" s="43"/>
    </row>
    <row r="9566" spans="2:27" x14ac:dyDescent="0.25">
      <c r="B9566" s="42"/>
      <c r="AA9566" s="43"/>
    </row>
    <row r="9567" spans="2:27" x14ac:dyDescent="0.25">
      <c r="B9567" s="42"/>
      <c r="AA9567" s="43"/>
    </row>
    <row r="9568" spans="2:27" x14ac:dyDescent="0.25">
      <c r="B9568" s="42"/>
      <c r="AA9568" s="43"/>
    </row>
    <row r="9569" spans="2:27" x14ac:dyDescent="0.25">
      <c r="B9569" s="42"/>
      <c r="AA9569" s="43"/>
    </row>
    <row r="9570" spans="2:27" x14ac:dyDescent="0.25">
      <c r="B9570" s="42"/>
      <c r="AA9570" s="43"/>
    </row>
    <row r="9571" spans="2:27" x14ac:dyDescent="0.25">
      <c r="B9571" s="42"/>
      <c r="AA9571" s="43"/>
    </row>
    <row r="9572" spans="2:27" x14ac:dyDescent="0.25">
      <c r="B9572" s="42"/>
      <c r="AA9572" s="43"/>
    </row>
    <row r="9573" spans="2:27" x14ac:dyDescent="0.25">
      <c r="B9573" s="42"/>
      <c r="AA9573" s="43"/>
    </row>
    <row r="9574" spans="2:27" x14ac:dyDescent="0.25">
      <c r="B9574" s="42"/>
      <c r="AA9574" s="43"/>
    </row>
    <row r="9575" spans="2:27" x14ac:dyDescent="0.25">
      <c r="B9575" s="42"/>
      <c r="AA9575" s="43"/>
    </row>
    <row r="9576" spans="2:27" x14ac:dyDescent="0.25">
      <c r="B9576" s="42"/>
      <c r="AA9576" s="43"/>
    </row>
    <row r="9577" spans="2:27" x14ac:dyDescent="0.25">
      <c r="B9577" s="42"/>
      <c r="AA9577" s="43"/>
    </row>
    <row r="9578" spans="2:27" x14ac:dyDescent="0.25">
      <c r="B9578" s="42"/>
      <c r="AA9578" s="43"/>
    </row>
    <row r="9579" spans="2:27" x14ac:dyDescent="0.25">
      <c r="B9579" s="42"/>
      <c r="AA9579" s="43"/>
    </row>
    <row r="9580" spans="2:27" x14ac:dyDescent="0.25">
      <c r="B9580" s="42"/>
      <c r="AA9580" s="43"/>
    </row>
    <row r="9581" spans="2:27" x14ac:dyDescent="0.25">
      <c r="B9581" s="42"/>
      <c r="AA9581" s="43"/>
    </row>
    <row r="9582" spans="2:27" x14ac:dyDescent="0.25">
      <c r="B9582" s="42"/>
      <c r="AA9582" s="43"/>
    </row>
    <row r="9583" spans="2:27" x14ac:dyDescent="0.25">
      <c r="B9583" s="42"/>
      <c r="AA9583" s="43"/>
    </row>
    <row r="9584" spans="2:27" x14ac:dyDescent="0.25">
      <c r="B9584" s="42"/>
      <c r="AA9584" s="43"/>
    </row>
    <row r="9585" spans="2:27" x14ac:dyDescent="0.25">
      <c r="B9585" s="42"/>
      <c r="AA9585" s="43"/>
    </row>
    <row r="9586" spans="2:27" x14ac:dyDescent="0.25">
      <c r="B9586" s="42"/>
      <c r="AA9586" s="43"/>
    </row>
    <row r="9587" spans="2:27" x14ac:dyDescent="0.25">
      <c r="B9587" s="42"/>
      <c r="AA9587" s="43"/>
    </row>
    <row r="9588" spans="2:27" x14ac:dyDescent="0.25">
      <c r="B9588" s="42"/>
      <c r="AA9588" s="43"/>
    </row>
    <row r="9589" spans="2:27" x14ac:dyDescent="0.25">
      <c r="B9589" s="42"/>
      <c r="AA9589" s="43"/>
    </row>
    <row r="9590" spans="2:27" x14ac:dyDescent="0.25">
      <c r="B9590" s="42"/>
      <c r="AA9590" s="43"/>
    </row>
    <row r="9591" spans="2:27" x14ac:dyDescent="0.25">
      <c r="B9591" s="42"/>
      <c r="AA9591" s="43"/>
    </row>
    <row r="9592" spans="2:27" x14ac:dyDescent="0.25">
      <c r="B9592" s="42"/>
      <c r="AA9592" s="43"/>
    </row>
    <row r="9593" spans="2:27" x14ac:dyDescent="0.25">
      <c r="B9593" s="42"/>
      <c r="AA9593" s="43"/>
    </row>
    <row r="9594" spans="2:27" x14ac:dyDescent="0.25">
      <c r="B9594" s="42"/>
      <c r="AA9594" s="43"/>
    </row>
    <row r="9595" spans="2:27" x14ac:dyDescent="0.25">
      <c r="B9595" s="42"/>
      <c r="AA9595" s="43"/>
    </row>
    <row r="9596" spans="2:27" x14ac:dyDescent="0.25">
      <c r="B9596" s="42"/>
      <c r="AA9596" s="43"/>
    </row>
    <row r="9597" spans="2:27" x14ac:dyDescent="0.25">
      <c r="B9597" s="42"/>
      <c r="AA9597" s="43"/>
    </row>
    <row r="9598" spans="2:27" x14ac:dyDescent="0.25">
      <c r="B9598" s="42"/>
      <c r="AA9598" s="43"/>
    </row>
    <row r="9599" spans="2:27" x14ac:dyDescent="0.25">
      <c r="B9599" s="42"/>
      <c r="AA9599" s="43"/>
    </row>
    <row r="9600" spans="2:27" x14ac:dyDescent="0.25">
      <c r="B9600" s="42"/>
      <c r="AA9600" s="43"/>
    </row>
    <row r="9601" spans="2:27" x14ac:dyDescent="0.25">
      <c r="B9601" s="42"/>
      <c r="AA9601" s="43"/>
    </row>
    <row r="9602" spans="2:27" x14ac:dyDescent="0.25">
      <c r="B9602" s="42"/>
      <c r="AA9602" s="43"/>
    </row>
    <row r="9603" spans="2:27" x14ac:dyDescent="0.25">
      <c r="B9603" s="42"/>
      <c r="AA9603" s="43"/>
    </row>
    <row r="9604" spans="2:27" x14ac:dyDescent="0.25">
      <c r="B9604" s="42"/>
      <c r="AA9604" s="43"/>
    </row>
    <row r="9605" spans="2:27" x14ac:dyDescent="0.25">
      <c r="B9605" s="42"/>
      <c r="AA9605" s="43"/>
    </row>
    <row r="9606" spans="2:27" x14ac:dyDescent="0.25">
      <c r="B9606" s="42"/>
      <c r="AA9606" s="43"/>
    </row>
    <row r="9607" spans="2:27" x14ac:dyDescent="0.25">
      <c r="B9607" s="42"/>
      <c r="AA9607" s="43"/>
    </row>
    <row r="9608" spans="2:27" x14ac:dyDescent="0.25">
      <c r="B9608" s="42"/>
      <c r="AA9608" s="43"/>
    </row>
    <row r="9609" spans="2:27" x14ac:dyDescent="0.25">
      <c r="B9609" s="42"/>
      <c r="AA9609" s="43"/>
    </row>
    <row r="9610" spans="2:27" x14ac:dyDescent="0.25">
      <c r="B9610" s="42"/>
      <c r="AA9610" s="43"/>
    </row>
    <row r="9611" spans="2:27" x14ac:dyDescent="0.25">
      <c r="B9611" s="42"/>
      <c r="AA9611" s="43"/>
    </row>
    <row r="9612" spans="2:27" x14ac:dyDescent="0.25">
      <c r="B9612" s="42"/>
      <c r="AA9612" s="43"/>
    </row>
    <row r="9613" spans="2:27" x14ac:dyDescent="0.25">
      <c r="B9613" s="42"/>
      <c r="AA9613" s="43"/>
    </row>
    <row r="9614" spans="2:27" x14ac:dyDescent="0.25">
      <c r="B9614" s="42"/>
      <c r="AA9614" s="43"/>
    </row>
    <row r="9615" spans="2:27" x14ac:dyDescent="0.25">
      <c r="B9615" s="42"/>
      <c r="AA9615" s="43"/>
    </row>
    <row r="9616" spans="2:27" x14ac:dyDescent="0.25">
      <c r="B9616" s="42"/>
      <c r="AA9616" s="43"/>
    </row>
    <row r="9617" spans="2:27" x14ac:dyDescent="0.25">
      <c r="B9617" s="42"/>
      <c r="AA9617" s="43"/>
    </row>
    <row r="9618" spans="2:27" x14ac:dyDescent="0.25">
      <c r="B9618" s="42"/>
      <c r="AA9618" s="43"/>
    </row>
    <row r="9619" spans="2:27" x14ac:dyDescent="0.25">
      <c r="B9619" s="42"/>
      <c r="AA9619" s="43"/>
    </row>
    <row r="9620" spans="2:27" x14ac:dyDescent="0.25">
      <c r="B9620" s="42"/>
      <c r="AA9620" s="43"/>
    </row>
    <row r="9621" spans="2:27" x14ac:dyDescent="0.25">
      <c r="B9621" s="42"/>
      <c r="AA9621" s="43"/>
    </row>
    <row r="9622" spans="2:27" x14ac:dyDescent="0.25">
      <c r="B9622" s="42"/>
      <c r="AA9622" s="43"/>
    </row>
    <row r="9623" spans="2:27" x14ac:dyDescent="0.25">
      <c r="B9623" s="42"/>
      <c r="AA9623" s="43"/>
    </row>
    <row r="9624" spans="2:27" x14ac:dyDescent="0.25">
      <c r="B9624" s="42"/>
      <c r="AA9624" s="43"/>
    </row>
    <row r="9625" spans="2:27" x14ac:dyDescent="0.25">
      <c r="B9625" s="42"/>
      <c r="AA9625" s="43"/>
    </row>
    <row r="9626" spans="2:27" x14ac:dyDescent="0.25">
      <c r="B9626" s="42"/>
      <c r="AA9626" s="43"/>
    </row>
    <row r="9627" spans="2:27" x14ac:dyDescent="0.25">
      <c r="B9627" s="42"/>
      <c r="AA9627" s="43"/>
    </row>
    <row r="9628" spans="2:27" x14ac:dyDescent="0.25">
      <c r="B9628" s="42"/>
      <c r="AA9628" s="43"/>
    </row>
    <row r="9629" spans="2:27" x14ac:dyDescent="0.25">
      <c r="B9629" s="42"/>
      <c r="AA9629" s="43"/>
    </row>
    <row r="9630" spans="2:27" x14ac:dyDescent="0.25">
      <c r="B9630" s="42"/>
      <c r="AA9630" s="43"/>
    </row>
    <row r="9631" spans="2:27" x14ac:dyDescent="0.25">
      <c r="B9631" s="42"/>
      <c r="AA9631" s="43"/>
    </row>
    <row r="9632" spans="2:27" x14ac:dyDescent="0.25">
      <c r="B9632" s="42"/>
      <c r="AA9632" s="43"/>
    </row>
    <row r="9633" spans="2:27" x14ac:dyDescent="0.25">
      <c r="B9633" s="42"/>
      <c r="AA9633" s="43"/>
    </row>
    <row r="9634" spans="2:27" x14ac:dyDescent="0.25">
      <c r="B9634" s="42"/>
      <c r="AA9634" s="43"/>
    </row>
    <row r="9635" spans="2:27" x14ac:dyDescent="0.25">
      <c r="B9635" s="42"/>
      <c r="AA9635" s="43"/>
    </row>
    <row r="9636" spans="2:27" x14ac:dyDescent="0.25">
      <c r="B9636" s="42"/>
      <c r="AA9636" s="43"/>
    </row>
    <row r="9637" spans="2:27" x14ac:dyDescent="0.25">
      <c r="B9637" s="42"/>
      <c r="AA9637" s="43"/>
    </row>
    <row r="9638" spans="2:27" x14ac:dyDescent="0.25">
      <c r="B9638" s="42"/>
      <c r="AA9638" s="43"/>
    </row>
    <row r="9639" spans="2:27" x14ac:dyDescent="0.25">
      <c r="B9639" s="42"/>
      <c r="AA9639" s="43"/>
    </row>
    <row r="9640" spans="2:27" x14ac:dyDescent="0.25">
      <c r="B9640" s="42"/>
      <c r="AA9640" s="43"/>
    </row>
    <row r="9641" spans="2:27" x14ac:dyDescent="0.25">
      <c r="B9641" s="42"/>
      <c r="AA9641" s="43"/>
    </row>
    <row r="9642" spans="2:27" x14ac:dyDescent="0.25">
      <c r="B9642" s="42"/>
      <c r="AA9642" s="43"/>
    </row>
    <row r="9643" spans="2:27" x14ac:dyDescent="0.25">
      <c r="B9643" s="42"/>
      <c r="AA9643" s="43"/>
    </row>
    <row r="9644" spans="2:27" x14ac:dyDescent="0.25">
      <c r="B9644" s="42"/>
      <c r="AA9644" s="43"/>
    </row>
    <row r="9645" spans="2:27" x14ac:dyDescent="0.25">
      <c r="B9645" s="42"/>
      <c r="AA9645" s="43"/>
    </row>
    <row r="9646" spans="2:27" x14ac:dyDescent="0.25">
      <c r="B9646" s="42"/>
      <c r="AA9646" s="43"/>
    </row>
    <row r="9647" spans="2:27" x14ac:dyDescent="0.25">
      <c r="B9647" s="42"/>
      <c r="AA9647" s="43"/>
    </row>
    <row r="9648" spans="2:27" x14ac:dyDescent="0.25">
      <c r="B9648" s="42"/>
      <c r="AA9648" s="43"/>
    </row>
    <row r="9649" spans="2:27" x14ac:dyDescent="0.25">
      <c r="B9649" s="42"/>
      <c r="AA9649" s="43"/>
    </row>
    <row r="9650" spans="2:27" x14ac:dyDescent="0.25">
      <c r="B9650" s="42"/>
      <c r="AA9650" s="43"/>
    </row>
    <row r="9651" spans="2:27" x14ac:dyDescent="0.25">
      <c r="B9651" s="42"/>
      <c r="AA9651" s="43"/>
    </row>
    <row r="9652" spans="2:27" x14ac:dyDescent="0.25">
      <c r="B9652" s="42"/>
      <c r="AA9652" s="43"/>
    </row>
    <row r="9653" spans="2:27" x14ac:dyDescent="0.25">
      <c r="B9653" s="42"/>
      <c r="AA9653" s="43"/>
    </row>
    <row r="9654" spans="2:27" x14ac:dyDescent="0.25">
      <c r="B9654" s="42"/>
      <c r="AA9654" s="43"/>
    </row>
    <row r="9655" spans="2:27" x14ac:dyDescent="0.25">
      <c r="B9655" s="42"/>
      <c r="AA9655" s="43"/>
    </row>
    <row r="9656" spans="2:27" x14ac:dyDescent="0.25">
      <c r="B9656" s="42"/>
      <c r="AA9656" s="43"/>
    </row>
    <row r="9657" spans="2:27" x14ac:dyDescent="0.25">
      <c r="B9657" s="42"/>
      <c r="AA9657" s="43"/>
    </row>
    <row r="9658" spans="2:27" x14ac:dyDescent="0.25">
      <c r="B9658" s="42"/>
      <c r="AA9658" s="43"/>
    </row>
    <row r="9659" spans="2:27" x14ac:dyDescent="0.25">
      <c r="B9659" s="42"/>
      <c r="AA9659" s="43"/>
    </row>
    <row r="9660" spans="2:27" x14ac:dyDescent="0.25">
      <c r="B9660" s="42"/>
      <c r="AA9660" s="43"/>
    </row>
    <row r="9661" spans="2:27" x14ac:dyDescent="0.25">
      <c r="B9661" s="42"/>
      <c r="AA9661" s="43"/>
    </row>
    <row r="9662" spans="2:27" x14ac:dyDescent="0.25">
      <c r="B9662" s="42"/>
      <c r="AA9662" s="43"/>
    </row>
    <row r="9663" spans="2:27" x14ac:dyDescent="0.25">
      <c r="B9663" s="42"/>
      <c r="AA9663" s="43"/>
    </row>
    <row r="9664" spans="2:27" x14ac:dyDescent="0.25">
      <c r="B9664" s="42"/>
      <c r="AA9664" s="43"/>
    </row>
    <row r="9665" spans="2:27" x14ac:dyDescent="0.25">
      <c r="B9665" s="42"/>
      <c r="AA9665" s="43"/>
    </row>
    <row r="9666" spans="2:27" x14ac:dyDescent="0.25">
      <c r="B9666" s="42"/>
      <c r="AA9666" s="43"/>
    </row>
    <row r="9667" spans="2:27" x14ac:dyDescent="0.25">
      <c r="B9667" s="42"/>
      <c r="AA9667" s="43"/>
    </row>
    <row r="9668" spans="2:27" x14ac:dyDescent="0.25">
      <c r="B9668" s="42"/>
      <c r="AA9668" s="43"/>
    </row>
    <row r="9669" spans="2:27" x14ac:dyDescent="0.25">
      <c r="B9669" s="42"/>
      <c r="AA9669" s="43"/>
    </row>
    <row r="9670" spans="2:27" x14ac:dyDescent="0.25">
      <c r="B9670" s="42"/>
      <c r="AA9670" s="43"/>
    </row>
    <row r="9671" spans="2:27" x14ac:dyDescent="0.25">
      <c r="B9671" s="42"/>
      <c r="AA9671" s="43"/>
    </row>
    <row r="9672" spans="2:27" x14ac:dyDescent="0.25">
      <c r="B9672" s="42"/>
      <c r="AA9672" s="43"/>
    </row>
    <row r="9673" spans="2:27" x14ac:dyDescent="0.25">
      <c r="B9673" s="42"/>
      <c r="AA9673" s="43"/>
    </row>
    <row r="9674" spans="2:27" x14ac:dyDescent="0.25">
      <c r="B9674" s="42"/>
      <c r="AA9674" s="43"/>
    </row>
    <row r="9675" spans="2:27" x14ac:dyDescent="0.25">
      <c r="B9675" s="42"/>
      <c r="AA9675" s="43"/>
    </row>
    <row r="9676" spans="2:27" x14ac:dyDescent="0.25">
      <c r="B9676" s="42"/>
      <c r="AA9676" s="43"/>
    </row>
    <row r="9677" spans="2:27" x14ac:dyDescent="0.25">
      <c r="B9677" s="42"/>
      <c r="AA9677" s="43"/>
    </row>
    <row r="9678" spans="2:27" x14ac:dyDescent="0.25">
      <c r="B9678" s="42"/>
      <c r="AA9678" s="43"/>
    </row>
    <row r="9679" spans="2:27" x14ac:dyDescent="0.25">
      <c r="B9679" s="42"/>
      <c r="AA9679" s="43"/>
    </row>
    <row r="9680" spans="2:27" x14ac:dyDescent="0.25">
      <c r="B9680" s="42"/>
      <c r="AA9680" s="43"/>
    </row>
    <row r="9681" spans="2:27" x14ac:dyDescent="0.25">
      <c r="B9681" s="42"/>
      <c r="AA9681" s="43"/>
    </row>
    <row r="9682" spans="2:27" x14ac:dyDescent="0.25">
      <c r="B9682" s="42"/>
      <c r="AA9682" s="43"/>
    </row>
    <row r="9683" spans="2:27" x14ac:dyDescent="0.25">
      <c r="B9683" s="42"/>
      <c r="AA9683" s="43"/>
    </row>
    <row r="9684" spans="2:27" x14ac:dyDescent="0.25">
      <c r="B9684" s="42"/>
      <c r="AA9684" s="43"/>
    </row>
    <row r="9685" spans="2:27" x14ac:dyDescent="0.25">
      <c r="B9685" s="42"/>
      <c r="AA9685" s="43"/>
    </row>
    <row r="9686" spans="2:27" x14ac:dyDescent="0.25">
      <c r="B9686" s="42"/>
      <c r="AA9686" s="43"/>
    </row>
    <row r="9687" spans="2:27" x14ac:dyDescent="0.25">
      <c r="B9687" s="42"/>
      <c r="AA9687" s="43"/>
    </row>
    <row r="9688" spans="2:27" x14ac:dyDescent="0.25">
      <c r="B9688" s="42"/>
      <c r="AA9688" s="43"/>
    </row>
    <row r="9689" spans="2:27" x14ac:dyDescent="0.25">
      <c r="B9689" s="42"/>
      <c r="AA9689" s="43"/>
    </row>
    <row r="9690" spans="2:27" x14ac:dyDescent="0.25">
      <c r="B9690" s="42"/>
      <c r="AA9690" s="43"/>
    </row>
    <row r="9691" spans="2:27" x14ac:dyDescent="0.25">
      <c r="B9691" s="42"/>
      <c r="AA9691" s="43"/>
    </row>
    <row r="9692" spans="2:27" x14ac:dyDescent="0.25">
      <c r="B9692" s="42"/>
      <c r="AA9692" s="43"/>
    </row>
    <row r="9693" spans="2:27" x14ac:dyDescent="0.25">
      <c r="B9693" s="42"/>
      <c r="AA9693" s="43"/>
    </row>
    <row r="9694" spans="2:27" x14ac:dyDescent="0.25">
      <c r="B9694" s="42"/>
      <c r="AA9694" s="43"/>
    </row>
    <row r="9695" spans="2:27" x14ac:dyDescent="0.25">
      <c r="B9695" s="42"/>
      <c r="AA9695" s="43"/>
    </row>
    <row r="9696" spans="2:27" x14ac:dyDescent="0.25">
      <c r="B9696" s="42"/>
      <c r="AA9696" s="43"/>
    </row>
    <row r="9697" spans="2:27" x14ac:dyDescent="0.25">
      <c r="B9697" s="42"/>
      <c r="AA9697" s="43"/>
    </row>
    <row r="9698" spans="2:27" x14ac:dyDescent="0.25">
      <c r="B9698" s="42"/>
      <c r="AA9698" s="43"/>
    </row>
    <row r="9699" spans="2:27" x14ac:dyDescent="0.25">
      <c r="B9699" s="42"/>
      <c r="AA9699" s="43"/>
    </row>
    <row r="9700" spans="2:27" x14ac:dyDescent="0.25">
      <c r="B9700" s="42"/>
      <c r="AA9700" s="43"/>
    </row>
    <row r="9701" spans="2:27" x14ac:dyDescent="0.25">
      <c r="B9701" s="42"/>
      <c r="AA9701" s="43"/>
    </row>
    <row r="9702" spans="2:27" x14ac:dyDescent="0.25">
      <c r="B9702" s="42"/>
      <c r="AA9702" s="43"/>
    </row>
    <row r="9703" spans="2:27" x14ac:dyDescent="0.25">
      <c r="B9703" s="42"/>
      <c r="AA9703" s="43"/>
    </row>
    <row r="9704" spans="2:27" x14ac:dyDescent="0.25">
      <c r="B9704" s="42"/>
      <c r="AA9704" s="43"/>
    </row>
    <row r="9705" spans="2:27" x14ac:dyDescent="0.25">
      <c r="B9705" s="42"/>
      <c r="AA9705" s="43"/>
    </row>
    <row r="9706" spans="2:27" x14ac:dyDescent="0.25">
      <c r="B9706" s="42"/>
      <c r="AA9706" s="43"/>
    </row>
    <row r="9707" spans="2:27" x14ac:dyDescent="0.25">
      <c r="B9707" s="42"/>
      <c r="AA9707" s="43"/>
    </row>
    <row r="9708" spans="2:27" x14ac:dyDescent="0.25">
      <c r="B9708" s="42"/>
      <c r="AA9708" s="43"/>
    </row>
    <row r="9709" spans="2:27" x14ac:dyDescent="0.25">
      <c r="B9709" s="42"/>
      <c r="AA9709" s="43"/>
    </row>
    <row r="9710" spans="2:27" x14ac:dyDescent="0.25">
      <c r="B9710" s="42"/>
      <c r="AA9710" s="43"/>
    </row>
    <row r="9711" spans="2:27" x14ac:dyDescent="0.25">
      <c r="B9711" s="42"/>
      <c r="AA9711" s="43"/>
    </row>
    <row r="9712" spans="2:27" x14ac:dyDescent="0.25">
      <c r="B9712" s="42"/>
      <c r="AA9712" s="43"/>
    </row>
    <row r="9713" spans="2:27" x14ac:dyDescent="0.25">
      <c r="B9713" s="42"/>
      <c r="AA9713" s="43"/>
    </row>
    <row r="9714" spans="2:27" x14ac:dyDescent="0.25">
      <c r="B9714" s="42"/>
      <c r="AA9714" s="43"/>
    </row>
    <row r="9715" spans="2:27" x14ac:dyDescent="0.25">
      <c r="B9715" s="42"/>
      <c r="AA9715" s="43"/>
    </row>
    <row r="9716" spans="2:27" x14ac:dyDescent="0.25">
      <c r="B9716" s="42"/>
      <c r="AA9716" s="43"/>
    </row>
    <row r="9717" spans="2:27" x14ac:dyDescent="0.25">
      <c r="B9717" s="42"/>
      <c r="AA9717" s="43"/>
    </row>
    <row r="9718" spans="2:27" x14ac:dyDescent="0.25">
      <c r="B9718" s="42"/>
      <c r="AA9718" s="43"/>
    </row>
    <row r="9719" spans="2:27" x14ac:dyDescent="0.25">
      <c r="B9719" s="42"/>
      <c r="AA9719" s="43"/>
    </row>
    <row r="9720" spans="2:27" x14ac:dyDescent="0.25">
      <c r="B9720" s="42"/>
      <c r="AA9720" s="43"/>
    </row>
    <row r="9721" spans="2:27" x14ac:dyDescent="0.25">
      <c r="B9721" s="42"/>
      <c r="AA9721" s="43"/>
    </row>
    <row r="9722" spans="2:27" x14ac:dyDescent="0.25">
      <c r="B9722" s="42"/>
      <c r="AA9722" s="43"/>
    </row>
    <row r="9723" spans="2:27" x14ac:dyDescent="0.25">
      <c r="B9723" s="42"/>
      <c r="AA9723" s="43"/>
    </row>
    <row r="9724" spans="2:27" x14ac:dyDescent="0.25">
      <c r="B9724" s="42"/>
      <c r="AA9724" s="43"/>
    </row>
    <row r="9725" spans="2:27" x14ac:dyDescent="0.25">
      <c r="B9725" s="42"/>
      <c r="AA9725" s="43"/>
    </row>
    <row r="9726" spans="2:27" x14ac:dyDescent="0.25">
      <c r="B9726" s="42"/>
      <c r="AA9726" s="43"/>
    </row>
    <row r="9727" spans="2:27" x14ac:dyDescent="0.25">
      <c r="B9727" s="42"/>
      <c r="AA9727" s="43"/>
    </row>
    <row r="9728" spans="2:27" x14ac:dyDescent="0.25">
      <c r="B9728" s="42"/>
      <c r="AA9728" s="43"/>
    </row>
    <row r="9729" spans="2:27" x14ac:dyDescent="0.25">
      <c r="B9729" s="42"/>
      <c r="AA9729" s="43"/>
    </row>
    <row r="9730" spans="2:27" x14ac:dyDescent="0.25">
      <c r="B9730" s="42"/>
      <c r="AA9730" s="43"/>
    </row>
    <row r="9731" spans="2:27" x14ac:dyDescent="0.25">
      <c r="B9731" s="42"/>
      <c r="AA9731" s="43"/>
    </row>
    <row r="9732" spans="2:27" x14ac:dyDescent="0.25">
      <c r="B9732" s="42"/>
      <c r="AA9732" s="43"/>
    </row>
    <row r="9733" spans="2:27" x14ac:dyDescent="0.25">
      <c r="B9733" s="42"/>
      <c r="AA9733" s="43"/>
    </row>
    <row r="9734" spans="2:27" x14ac:dyDescent="0.25">
      <c r="B9734" s="42"/>
      <c r="AA9734" s="43"/>
    </row>
    <row r="9735" spans="2:27" x14ac:dyDescent="0.25">
      <c r="B9735" s="42"/>
      <c r="AA9735" s="43"/>
    </row>
    <row r="9736" spans="2:27" x14ac:dyDescent="0.25">
      <c r="B9736" s="42"/>
      <c r="AA9736" s="43"/>
    </row>
    <row r="9737" spans="2:27" x14ac:dyDescent="0.25">
      <c r="B9737" s="42"/>
      <c r="AA9737" s="43"/>
    </row>
    <row r="9738" spans="2:27" x14ac:dyDescent="0.25">
      <c r="B9738" s="42"/>
      <c r="AA9738" s="43"/>
    </row>
    <row r="9739" spans="2:27" x14ac:dyDescent="0.25">
      <c r="B9739" s="42"/>
      <c r="AA9739" s="43"/>
    </row>
    <row r="9740" spans="2:27" x14ac:dyDescent="0.25">
      <c r="B9740" s="42"/>
      <c r="AA9740" s="43"/>
    </row>
    <row r="9741" spans="2:27" x14ac:dyDescent="0.25">
      <c r="B9741" s="42"/>
      <c r="AA9741" s="43"/>
    </row>
    <row r="9742" spans="2:27" x14ac:dyDescent="0.25">
      <c r="B9742" s="42"/>
      <c r="AA9742" s="43"/>
    </row>
    <row r="9743" spans="2:27" x14ac:dyDescent="0.25">
      <c r="B9743" s="42"/>
      <c r="AA9743" s="43"/>
    </row>
    <row r="9744" spans="2:27" x14ac:dyDescent="0.25">
      <c r="B9744" s="42"/>
      <c r="AA9744" s="43"/>
    </row>
    <row r="9745" spans="2:27" x14ac:dyDescent="0.25">
      <c r="B9745" s="42"/>
      <c r="AA9745" s="43"/>
    </row>
    <row r="9746" spans="2:27" x14ac:dyDescent="0.25">
      <c r="B9746" s="42"/>
      <c r="AA9746" s="43"/>
    </row>
    <row r="9747" spans="2:27" x14ac:dyDescent="0.25">
      <c r="B9747" s="42"/>
      <c r="AA9747" s="43"/>
    </row>
    <row r="9748" spans="2:27" x14ac:dyDescent="0.25">
      <c r="B9748" s="42"/>
      <c r="AA9748" s="43"/>
    </row>
    <row r="9749" spans="2:27" x14ac:dyDescent="0.25">
      <c r="B9749" s="42"/>
      <c r="AA9749" s="43"/>
    </row>
    <row r="9750" spans="2:27" x14ac:dyDescent="0.25">
      <c r="B9750" s="42"/>
      <c r="AA9750" s="43"/>
    </row>
    <row r="9751" spans="2:27" x14ac:dyDescent="0.25">
      <c r="B9751" s="42"/>
      <c r="AA9751" s="43"/>
    </row>
    <row r="9752" spans="2:27" x14ac:dyDescent="0.25">
      <c r="B9752" s="42"/>
      <c r="AA9752" s="43"/>
    </row>
    <row r="9753" spans="2:27" x14ac:dyDescent="0.25">
      <c r="B9753" s="42"/>
      <c r="AA9753" s="43"/>
    </row>
    <row r="9754" spans="2:27" x14ac:dyDescent="0.25">
      <c r="B9754" s="42"/>
      <c r="AA9754" s="43"/>
    </row>
    <row r="9755" spans="2:27" x14ac:dyDescent="0.25">
      <c r="B9755" s="42"/>
      <c r="AA9755" s="43"/>
    </row>
    <row r="9756" spans="2:27" x14ac:dyDescent="0.25">
      <c r="B9756" s="42"/>
      <c r="AA9756" s="43"/>
    </row>
    <row r="9757" spans="2:27" x14ac:dyDescent="0.25">
      <c r="B9757" s="42"/>
      <c r="AA9757" s="43"/>
    </row>
    <row r="9758" spans="2:27" x14ac:dyDescent="0.25">
      <c r="B9758" s="42"/>
      <c r="AA9758" s="43"/>
    </row>
    <row r="9759" spans="2:27" x14ac:dyDescent="0.25">
      <c r="B9759" s="42"/>
      <c r="AA9759" s="43"/>
    </row>
    <row r="9760" spans="2:27" x14ac:dyDescent="0.25">
      <c r="B9760" s="42"/>
      <c r="AA9760" s="43"/>
    </row>
    <row r="9761" spans="2:27" x14ac:dyDescent="0.25">
      <c r="B9761" s="42"/>
      <c r="AA9761" s="43"/>
    </row>
    <row r="9762" spans="2:27" x14ac:dyDescent="0.25">
      <c r="B9762" s="42"/>
      <c r="AA9762" s="43"/>
    </row>
    <row r="9763" spans="2:27" x14ac:dyDescent="0.25">
      <c r="B9763" s="42"/>
      <c r="AA9763" s="43"/>
    </row>
    <row r="9764" spans="2:27" x14ac:dyDescent="0.25">
      <c r="B9764" s="42"/>
      <c r="AA9764" s="43"/>
    </row>
    <row r="9765" spans="2:27" x14ac:dyDescent="0.25">
      <c r="B9765" s="42"/>
      <c r="AA9765" s="43"/>
    </row>
    <row r="9766" spans="2:27" x14ac:dyDescent="0.25">
      <c r="B9766" s="42"/>
      <c r="AA9766" s="43"/>
    </row>
    <row r="9767" spans="2:27" x14ac:dyDescent="0.25">
      <c r="B9767" s="42"/>
      <c r="AA9767" s="43"/>
    </row>
    <row r="9768" spans="2:27" x14ac:dyDescent="0.25">
      <c r="B9768" s="42"/>
      <c r="AA9768" s="43"/>
    </row>
    <row r="9769" spans="2:27" x14ac:dyDescent="0.25">
      <c r="B9769" s="42"/>
      <c r="AA9769" s="43"/>
    </row>
    <row r="9770" spans="2:27" x14ac:dyDescent="0.25">
      <c r="B9770" s="42"/>
      <c r="AA9770" s="43"/>
    </row>
    <row r="9771" spans="2:27" x14ac:dyDescent="0.25">
      <c r="B9771" s="42"/>
      <c r="AA9771" s="43"/>
    </row>
    <row r="9772" spans="2:27" x14ac:dyDescent="0.25">
      <c r="B9772" s="42"/>
      <c r="AA9772" s="43"/>
    </row>
    <row r="9773" spans="2:27" x14ac:dyDescent="0.25">
      <c r="B9773" s="42"/>
      <c r="AA9773" s="43"/>
    </row>
    <row r="9774" spans="2:27" x14ac:dyDescent="0.25">
      <c r="B9774" s="42"/>
      <c r="AA9774" s="43"/>
    </row>
    <row r="9775" spans="2:27" x14ac:dyDescent="0.25">
      <c r="B9775" s="42"/>
      <c r="AA9775" s="43"/>
    </row>
    <row r="9776" spans="2:27" x14ac:dyDescent="0.25">
      <c r="B9776" s="42"/>
      <c r="AA9776" s="43"/>
    </row>
    <row r="9777" spans="2:27" x14ac:dyDescent="0.25">
      <c r="B9777" s="42"/>
      <c r="AA9777" s="43"/>
    </row>
    <row r="9778" spans="2:27" x14ac:dyDescent="0.25">
      <c r="B9778" s="42"/>
      <c r="AA9778" s="43"/>
    </row>
    <row r="9779" spans="2:27" x14ac:dyDescent="0.25">
      <c r="B9779" s="42"/>
      <c r="AA9779" s="43"/>
    </row>
    <row r="9780" spans="2:27" x14ac:dyDescent="0.25">
      <c r="B9780" s="42"/>
      <c r="AA9780" s="43"/>
    </row>
    <row r="9781" spans="2:27" x14ac:dyDescent="0.25">
      <c r="B9781" s="42"/>
      <c r="AA9781" s="43"/>
    </row>
    <row r="9782" spans="2:27" x14ac:dyDescent="0.25">
      <c r="B9782" s="42"/>
      <c r="AA9782" s="43"/>
    </row>
    <row r="9783" spans="2:27" x14ac:dyDescent="0.25">
      <c r="B9783" s="42"/>
      <c r="AA9783" s="43"/>
    </row>
    <row r="9784" spans="2:27" x14ac:dyDescent="0.25">
      <c r="B9784" s="42"/>
      <c r="AA9784" s="43"/>
    </row>
    <row r="9785" spans="2:27" x14ac:dyDescent="0.25">
      <c r="B9785" s="42"/>
      <c r="AA9785" s="43"/>
    </row>
    <row r="9786" spans="2:27" x14ac:dyDescent="0.25">
      <c r="B9786" s="42"/>
      <c r="AA9786" s="43"/>
    </row>
    <row r="9787" spans="2:27" x14ac:dyDescent="0.25">
      <c r="B9787" s="42"/>
      <c r="AA9787" s="43"/>
    </row>
    <row r="9788" spans="2:27" x14ac:dyDescent="0.25">
      <c r="B9788" s="42"/>
      <c r="AA9788" s="43"/>
    </row>
    <row r="9789" spans="2:27" x14ac:dyDescent="0.25">
      <c r="B9789" s="42"/>
      <c r="AA9789" s="43"/>
    </row>
    <row r="9790" spans="2:27" x14ac:dyDescent="0.25">
      <c r="B9790" s="42"/>
      <c r="AA9790" s="43"/>
    </row>
    <row r="9791" spans="2:27" x14ac:dyDescent="0.25">
      <c r="B9791" s="42"/>
      <c r="AA9791" s="43"/>
    </row>
    <row r="9792" spans="2:27" x14ac:dyDescent="0.25">
      <c r="B9792" s="42"/>
      <c r="AA9792" s="43"/>
    </row>
    <row r="9793" spans="2:27" x14ac:dyDescent="0.25">
      <c r="B9793" s="42"/>
      <c r="AA9793" s="43"/>
    </row>
    <row r="9794" spans="2:27" x14ac:dyDescent="0.25">
      <c r="B9794" s="42"/>
      <c r="AA9794" s="43"/>
    </row>
    <row r="9795" spans="2:27" x14ac:dyDescent="0.25">
      <c r="B9795" s="42"/>
      <c r="AA9795" s="43"/>
    </row>
    <row r="9796" spans="2:27" x14ac:dyDescent="0.25">
      <c r="B9796" s="42"/>
      <c r="AA9796" s="43"/>
    </row>
    <row r="9797" spans="2:27" x14ac:dyDescent="0.25">
      <c r="B9797" s="42"/>
      <c r="AA9797" s="43"/>
    </row>
    <row r="9798" spans="2:27" x14ac:dyDescent="0.25">
      <c r="B9798" s="42"/>
      <c r="AA9798" s="43"/>
    </row>
    <row r="9799" spans="2:27" x14ac:dyDescent="0.25">
      <c r="B9799" s="42"/>
      <c r="AA9799" s="43"/>
    </row>
    <row r="9800" spans="2:27" x14ac:dyDescent="0.25">
      <c r="B9800" s="42"/>
      <c r="AA9800" s="43"/>
    </row>
    <row r="9801" spans="2:27" x14ac:dyDescent="0.25">
      <c r="B9801" s="42"/>
      <c r="AA9801" s="43"/>
    </row>
    <row r="9802" spans="2:27" x14ac:dyDescent="0.25">
      <c r="B9802" s="42"/>
      <c r="AA9802" s="43"/>
    </row>
    <row r="9803" spans="2:27" x14ac:dyDescent="0.25">
      <c r="B9803" s="42"/>
      <c r="AA9803" s="43"/>
    </row>
    <row r="9804" spans="2:27" x14ac:dyDescent="0.25">
      <c r="B9804" s="42"/>
      <c r="AA9804" s="43"/>
    </row>
    <row r="9805" spans="2:27" x14ac:dyDescent="0.25">
      <c r="B9805" s="42"/>
      <c r="AA9805" s="43"/>
    </row>
    <row r="9806" spans="2:27" x14ac:dyDescent="0.25">
      <c r="B9806" s="42"/>
      <c r="AA9806" s="43"/>
    </row>
    <row r="9807" spans="2:27" x14ac:dyDescent="0.25">
      <c r="B9807" s="42"/>
      <c r="AA9807" s="43"/>
    </row>
    <row r="9808" spans="2:27" x14ac:dyDescent="0.25">
      <c r="B9808" s="42"/>
      <c r="AA9808" s="43"/>
    </row>
    <row r="9809" spans="2:27" x14ac:dyDescent="0.25">
      <c r="B9809" s="42"/>
      <c r="AA9809" s="43"/>
    </row>
    <row r="9810" spans="2:27" x14ac:dyDescent="0.25">
      <c r="B9810" s="42"/>
      <c r="AA9810" s="43"/>
    </row>
    <row r="9811" spans="2:27" x14ac:dyDescent="0.25">
      <c r="B9811" s="42"/>
      <c r="AA9811" s="43"/>
    </row>
    <row r="9812" spans="2:27" x14ac:dyDescent="0.25">
      <c r="B9812" s="42"/>
      <c r="AA9812" s="43"/>
    </row>
    <row r="9813" spans="2:27" x14ac:dyDescent="0.25">
      <c r="B9813" s="42"/>
      <c r="AA9813" s="43"/>
    </row>
    <row r="9814" spans="2:27" x14ac:dyDescent="0.25">
      <c r="B9814" s="42"/>
      <c r="AA9814" s="43"/>
    </row>
    <row r="9815" spans="2:27" x14ac:dyDescent="0.25">
      <c r="B9815" s="42"/>
      <c r="AA9815" s="43"/>
    </row>
    <row r="9816" spans="2:27" x14ac:dyDescent="0.25">
      <c r="B9816" s="42"/>
      <c r="AA9816" s="43"/>
    </row>
    <row r="9817" spans="2:27" x14ac:dyDescent="0.25">
      <c r="B9817" s="42"/>
      <c r="AA9817" s="43"/>
    </row>
    <row r="9818" spans="2:27" x14ac:dyDescent="0.25">
      <c r="B9818" s="42"/>
      <c r="AA9818" s="43"/>
    </row>
    <row r="9819" spans="2:27" x14ac:dyDescent="0.25">
      <c r="B9819" s="42"/>
      <c r="AA9819" s="43"/>
    </row>
    <row r="9820" spans="2:27" x14ac:dyDescent="0.25">
      <c r="B9820" s="42"/>
      <c r="AA9820" s="43"/>
    </row>
    <row r="9821" spans="2:27" x14ac:dyDescent="0.25">
      <c r="B9821" s="42"/>
      <c r="AA9821" s="43"/>
    </row>
    <row r="9822" spans="2:27" x14ac:dyDescent="0.25">
      <c r="B9822" s="42"/>
      <c r="AA9822" s="43"/>
    </row>
    <row r="9823" spans="2:27" x14ac:dyDescent="0.25">
      <c r="B9823" s="42"/>
      <c r="AA9823" s="43"/>
    </row>
    <row r="9824" spans="2:27" x14ac:dyDescent="0.25">
      <c r="B9824" s="42"/>
      <c r="AA9824" s="43"/>
    </row>
    <row r="9825" spans="2:27" x14ac:dyDescent="0.25">
      <c r="B9825" s="42"/>
      <c r="AA9825" s="43"/>
    </row>
    <row r="9826" spans="2:27" x14ac:dyDescent="0.25">
      <c r="B9826" s="42"/>
      <c r="AA9826" s="43"/>
    </row>
    <row r="9827" spans="2:27" x14ac:dyDescent="0.25">
      <c r="B9827" s="42"/>
      <c r="AA9827" s="43"/>
    </row>
    <row r="9828" spans="2:27" x14ac:dyDescent="0.25">
      <c r="B9828" s="42"/>
      <c r="AA9828" s="43"/>
    </row>
    <row r="9829" spans="2:27" x14ac:dyDescent="0.25">
      <c r="B9829" s="42"/>
      <c r="AA9829" s="43"/>
    </row>
    <row r="9830" spans="2:27" x14ac:dyDescent="0.25">
      <c r="B9830" s="42"/>
      <c r="AA9830" s="43"/>
    </row>
    <row r="9831" spans="2:27" x14ac:dyDescent="0.25">
      <c r="B9831" s="42"/>
      <c r="AA9831" s="43"/>
    </row>
    <row r="9832" spans="2:27" x14ac:dyDescent="0.25">
      <c r="B9832" s="42"/>
      <c r="AA9832" s="43"/>
    </row>
    <row r="9833" spans="2:27" x14ac:dyDescent="0.25">
      <c r="B9833" s="42"/>
      <c r="AA9833" s="43"/>
    </row>
    <row r="9834" spans="2:27" x14ac:dyDescent="0.25">
      <c r="B9834" s="42"/>
      <c r="AA9834" s="43"/>
    </row>
    <row r="9835" spans="2:27" x14ac:dyDescent="0.25">
      <c r="B9835" s="42"/>
      <c r="AA9835" s="43"/>
    </row>
    <row r="9836" spans="2:27" x14ac:dyDescent="0.25">
      <c r="B9836" s="42"/>
      <c r="AA9836" s="43"/>
    </row>
    <row r="9837" spans="2:27" x14ac:dyDescent="0.25">
      <c r="B9837" s="42"/>
      <c r="AA9837" s="43"/>
    </row>
    <row r="9838" spans="2:27" x14ac:dyDescent="0.25">
      <c r="B9838" s="42"/>
      <c r="AA9838" s="43"/>
    </row>
    <row r="9839" spans="2:27" x14ac:dyDescent="0.25">
      <c r="B9839" s="42"/>
      <c r="AA9839" s="43"/>
    </row>
    <row r="9840" spans="2:27" x14ac:dyDescent="0.25">
      <c r="B9840" s="42"/>
      <c r="AA9840" s="43"/>
    </row>
    <row r="9841" spans="2:27" x14ac:dyDescent="0.25">
      <c r="B9841" s="42"/>
      <c r="AA9841" s="43"/>
    </row>
    <row r="9842" spans="2:27" x14ac:dyDescent="0.25">
      <c r="B9842" s="42"/>
      <c r="AA9842" s="43"/>
    </row>
    <row r="9843" spans="2:27" x14ac:dyDescent="0.25">
      <c r="B9843" s="42"/>
      <c r="AA9843" s="43"/>
    </row>
    <row r="9844" spans="2:27" x14ac:dyDescent="0.25">
      <c r="B9844" s="42"/>
      <c r="AA9844" s="43"/>
    </row>
    <row r="9845" spans="2:27" x14ac:dyDescent="0.25">
      <c r="B9845" s="42"/>
      <c r="AA9845" s="43"/>
    </row>
    <row r="9846" spans="2:27" x14ac:dyDescent="0.25">
      <c r="B9846" s="42"/>
      <c r="AA9846" s="43"/>
    </row>
    <row r="9847" spans="2:27" x14ac:dyDescent="0.25">
      <c r="B9847" s="42"/>
      <c r="AA9847" s="43"/>
    </row>
    <row r="9848" spans="2:27" x14ac:dyDescent="0.25">
      <c r="B9848" s="42"/>
      <c r="AA9848" s="43"/>
    </row>
    <row r="9849" spans="2:27" x14ac:dyDescent="0.25">
      <c r="B9849" s="42"/>
      <c r="AA9849" s="43"/>
    </row>
    <row r="9850" spans="2:27" x14ac:dyDescent="0.25">
      <c r="B9850" s="42"/>
      <c r="AA9850" s="43"/>
    </row>
    <row r="9851" spans="2:27" x14ac:dyDescent="0.25">
      <c r="B9851" s="42"/>
      <c r="AA9851" s="43"/>
    </row>
    <row r="9852" spans="2:27" x14ac:dyDescent="0.25">
      <c r="B9852" s="42"/>
      <c r="AA9852" s="43"/>
    </row>
    <row r="9853" spans="2:27" x14ac:dyDescent="0.25">
      <c r="B9853" s="42"/>
      <c r="AA9853" s="43"/>
    </row>
    <row r="9854" spans="2:27" x14ac:dyDescent="0.25">
      <c r="B9854" s="42"/>
      <c r="AA9854" s="43"/>
    </row>
    <row r="9855" spans="2:27" x14ac:dyDescent="0.25">
      <c r="B9855" s="42"/>
      <c r="AA9855" s="43"/>
    </row>
    <row r="9856" spans="2:27" x14ac:dyDescent="0.25">
      <c r="B9856" s="42"/>
      <c r="AA9856" s="43"/>
    </row>
    <row r="9857" spans="2:27" x14ac:dyDescent="0.25">
      <c r="B9857" s="42"/>
      <c r="AA9857" s="43"/>
    </row>
    <row r="9858" spans="2:27" x14ac:dyDescent="0.25">
      <c r="B9858" s="42"/>
      <c r="AA9858" s="43"/>
    </row>
    <row r="9859" spans="2:27" x14ac:dyDescent="0.25">
      <c r="B9859" s="42"/>
      <c r="AA9859" s="43"/>
    </row>
    <row r="9860" spans="2:27" x14ac:dyDescent="0.25">
      <c r="B9860" s="42"/>
      <c r="AA9860" s="43"/>
    </row>
    <row r="9861" spans="2:27" x14ac:dyDescent="0.25">
      <c r="B9861" s="42"/>
      <c r="AA9861" s="43"/>
    </row>
    <row r="9862" spans="2:27" x14ac:dyDescent="0.25">
      <c r="B9862" s="42"/>
      <c r="AA9862" s="43"/>
    </row>
    <row r="9863" spans="2:27" x14ac:dyDescent="0.25">
      <c r="B9863" s="42"/>
      <c r="AA9863" s="43"/>
    </row>
    <row r="9864" spans="2:27" x14ac:dyDescent="0.25">
      <c r="B9864" s="42"/>
      <c r="AA9864" s="43"/>
    </row>
    <row r="9865" spans="2:27" x14ac:dyDescent="0.25">
      <c r="B9865" s="42"/>
      <c r="AA9865" s="43"/>
    </row>
    <row r="9866" spans="2:27" x14ac:dyDescent="0.25">
      <c r="B9866" s="42"/>
      <c r="AA9866" s="43"/>
    </row>
    <row r="9867" spans="2:27" x14ac:dyDescent="0.25">
      <c r="B9867" s="42"/>
      <c r="AA9867" s="43"/>
    </row>
    <row r="9868" spans="2:27" x14ac:dyDescent="0.25">
      <c r="B9868" s="42"/>
      <c r="AA9868" s="43"/>
    </row>
    <row r="9869" spans="2:27" x14ac:dyDescent="0.25">
      <c r="B9869" s="42"/>
      <c r="AA9869" s="43"/>
    </row>
    <row r="9870" spans="2:27" x14ac:dyDescent="0.25">
      <c r="B9870" s="42"/>
      <c r="AA9870" s="43"/>
    </row>
    <row r="9871" spans="2:27" x14ac:dyDescent="0.25">
      <c r="B9871" s="42"/>
      <c r="AA9871" s="43"/>
    </row>
    <row r="9872" spans="2:27" x14ac:dyDescent="0.25">
      <c r="B9872" s="42"/>
      <c r="AA9872" s="43"/>
    </row>
    <row r="9873" spans="2:27" x14ac:dyDescent="0.25">
      <c r="B9873" s="42"/>
      <c r="AA9873" s="43"/>
    </row>
    <row r="9874" spans="2:27" x14ac:dyDescent="0.25">
      <c r="B9874" s="42"/>
      <c r="AA9874" s="43"/>
    </row>
    <row r="9875" spans="2:27" x14ac:dyDescent="0.25">
      <c r="B9875" s="42"/>
      <c r="AA9875" s="43"/>
    </row>
    <row r="9876" spans="2:27" x14ac:dyDescent="0.25">
      <c r="B9876" s="42"/>
      <c r="AA9876" s="43"/>
    </row>
    <row r="9877" spans="2:27" x14ac:dyDescent="0.25">
      <c r="B9877" s="42"/>
      <c r="AA9877" s="43"/>
    </row>
    <row r="9878" spans="2:27" x14ac:dyDescent="0.25">
      <c r="B9878" s="42"/>
      <c r="AA9878" s="43"/>
    </row>
    <row r="9879" spans="2:27" x14ac:dyDescent="0.25">
      <c r="B9879" s="42"/>
      <c r="AA9879" s="43"/>
    </row>
    <row r="9880" spans="2:27" x14ac:dyDescent="0.25">
      <c r="B9880" s="42"/>
      <c r="AA9880" s="43"/>
    </row>
    <row r="9881" spans="2:27" x14ac:dyDescent="0.25">
      <c r="B9881" s="42"/>
      <c r="AA9881" s="43"/>
    </row>
    <row r="9882" spans="2:27" x14ac:dyDescent="0.25">
      <c r="B9882" s="42"/>
      <c r="AA9882" s="43"/>
    </row>
    <row r="9883" spans="2:27" x14ac:dyDescent="0.25">
      <c r="B9883" s="42"/>
      <c r="AA9883" s="43"/>
    </row>
    <row r="9884" spans="2:27" x14ac:dyDescent="0.25">
      <c r="B9884" s="42"/>
      <c r="AA9884" s="43"/>
    </row>
    <row r="9885" spans="2:27" x14ac:dyDescent="0.25">
      <c r="B9885" s="42"/>
      <c r="AA9885" s="43"/>
    </row>
    <row r="9886" spans="2:27" x14ac:dyDescent="0.25">
      <c r="B9886" s="42"/>
      <c r="AA9886" s="43"/>
    </row>
    <row r="9887" spans="2:27" x14ac:dyDescent="0.25">
      <c r="B9887" s="42"/>
      <c r="AA9887" s="43"/>
    </row>
    <row r="9888" spans="2:27" x14ac:dyDescent="0.25">
      <c r="B9888" s="42"/>
      <c r="AA9888" s="43"/>
    </row>
    <row r="9889" spans="2:27" x14ac:dyDescent="0.25">
      <c r="B9889" s="42"/>
      <c r="AA9889" s="43"/>
    </row>
    <row r="9890" spans="2:27" x14ac:dyDescent="0.25">
      <c r="B9890" s="42"/>
      <c r="AA9890" s="43"/>
    </row>
    <row r="9891" spans="2:27" x14ac:dyDescent="0.25">
      <c r="B9891" s="42"/>
      <c r="AA9891" s="43"/>
    </row>
    <row r="9892" spans="2:27" x14ac:dyDescent="0.25">
      <c r="B9892" s="42"/>
      <c r="AA9892" s="43"/>
    </row>
    <row r="9893" spans="2:27" x14ac:dyDescent="0.25">
      <c r="B9893" s="42"/>
      <c r="AA9893" s="43"/>
    </row>
    <row r="9894" spans="2:27" x14ac:dyDescent="0.25">
      <c r="B9894" s="42"/>
      <c r="AA9894" s="43"/>
    </row>
    <row r="9895" spans="2:27" x14ac:dyDescent="0.25">
      <c r="B9895" s="42"/>
      <c r="AA9895" s="43"/>
    </row>
    <row r="9896" spans="2:27" x14ac:dyDescent="0.25">
      <c r="B9896" s="42"/>
      <c r="AA9896" s="43"/>
    </row>
    <row r="9897" spans="2:27" x14ac:dyDescent="0.25">
      <c r="B9897" s="42"/>
      <c r="AA9897" s="43"/>
    </row>
    <row r="9898" spans="2:27" x14ac:dyDescent="0.25">
      <c r="B9898" s="42"/>
      <c r="AA9898" s="43"/>
    </row>
    <row r="9899" spans="2:27" x14ac:dyDescent="0.25">
      <c r="B9899" s="42"/>
      <c r="AA9899" s="43"/>
    </row>
    <row r="9900" spans="2:27" x14ac:dyDescent="0.25">
      <c r="B9900" s="42"/>
      <c r="AA9900" s="43"/>
    </row>
    <row r="9901" spans="2:27" x14ac:dyDescent="0.25">
      <c r="B9901" s="42"/>
      <c r="AA9901" s="43"/>
    </row>
    <row r="9902" spans="2:27" x14ac:dyDescent="0.25">
      <c r="B9902" s="42"/>
      <c r="AA9902" s="43"/>
    </row>
    <row r="9903" spans="2:27" x14ac:dyDescent="0.25">
      <c r="B9903" s="42"/>
      <c r="AA9903" s="43"/>
    </row>
    <row r="9904" spans="2:27" x14ac:dyDescent="0.25">
      <c r="B9904" s="42"/>
      <c r="AA9904" s="43"/>
    </row>
    <row r="9905" spans="2:27" x14ac:dyDescent="0.25">
      <c r="B9905" s="42"/>
      <c r="AA9905" s="43"/>
    </row>
    <row r="9906" spans="2:27" x14ac:dyDescent="0.25">
      <c r="B9906" s="42"/>
      <c r="AA9906" s="43"/>
    </row>
    <row r="9907" spans="2:27" x14ac:dyDescent="0.25">
      <c r="B9907" s="42"/>
      <c r="AA9907" s="43"/>
    </row>
    <row r="9908" spans="2:27" x14ac:dyDescent="0.25">
      <c r="B9908" s="42"/>
      <c r="AA9908" s="43"/>
    </row>
    <row r="9909" spans="2:27" x14ac:dyDescent="0.25">
      <c r="B9909" s="42"/>
      <c r="AA9909" s="43"/>
    </row>
    <row r="9910" spans="2:27" x14ac:dyDescent="0.25">
      <c r="B9910" s="42"/>
      <c r="AA9910" s="43"/>
    </row>
    <row r="9911" spans="2:27" x14ac:dyDescent="0.25">
      <c r="B9911" s="42"/>
      <c r="AA9911" s="43"/>
    </row>
    <row r="9912" spans="2:27" x14ac:dyDescent="0.25">
      <c r="B9912" s="42"/>
      <c r="AA9912" s="43"/>
    </row>
    <row r="9913" spans="2:27" x14ac:dyDescent="0.25">
      <c r="B9913" s="42"/>
      <c r="AA9913" s="43"/>
    </row>
    <row r="9914" spans="2:27" x14ac:dyDescent="0.25">
      <c r="B9914" s="42"/>
      <c r="AA9914" s="43"/>
    </row>
    <row r="9915" spans="2:27" x14ac:dyDescent="0.25">
      <c r="B9915" s="42"/>
      <c r="AA9915" s="43"/>
    </row>
    <row r="9916" spans="2:27" x14ac:dyDescent="0.25">
      <c r="B9916" s="42"/>
      <c r="AA9916" s="43"/>
    </row>
    <row r="9917" spans="2:27" x14ac:dyDescent="0.25">
      <c r="B9917" s="42"/>
      <c r="AA9917" s="43"/>
    </row>
    <row r="9918" spans="2:27" x14ac:dyDescent="0.25">
      <c r="B9918" s="42"/>
      <c r="AA9918" s="43"/>
    </row>
    <row r="9919" spans="2:27" x14ac:dyDescent="0.25">
      <c r="B9919" s="42"/>
      <c r="AA9919" s="43"/>
    </row>
    <row r="9920" spans="2:27" x14ac:dyDescent="0.25">
      <c r="B9920" s="42"/>
      <c r="AA9920" s="43"/>
    </row>
    <row r="9921" spans="2:27" x14ac:dyDescent="0.25">
      <c r="B9921" s="42"/>
      <c r="AA9921" s="43"/>
    </row>
    <row r="9922" spans="2:27" x14ac:dyDescent="0.25">
      <c r="B9922" s="42"/>
      <c r="AA9922" s="43"/>
    </row>
    <row r="9923" spans="2:27" x14ac:dyDescent="0.25">
      <c r="B9923" s="42"/>
      <c r="AA9923" s="43"/>
    </row>
    <row r="9924" spans="2:27" x14ac:dyDescent="0.25">
      <c r="B9924" s="42"/>
      <c r="AA9924" s="43"/>
    </row>
    <row r="9925" spans="2:27" x14ac:dyDescent="0.25">
      <c r="B9925" s="42"/>
      <c r="AA9925" s="43"/>
    </row>
    <row r="9926" spans="2:27" x14ac:dyDescent="0.25">
      <c r="B9926" s="42"/>
      <c r="AA9926" s="43"/>
    </row>
    <row r="9927" spans="2:27" x14ac:dyDescent="0.25">
      <c r="B9927" s="42"/>
      <c r="AA9927" s="43"/>
    </row>
    <row r="9928" spans="2:27" x14ac:dyDescent="0.25">
      <c r="B9928" s="42"/>
      <c r="AA9928" s="43"/>
    </row>
    <row r="9929" spans="2:27" x14ac:dyDescent="0.25">
      <c r="B9929" s="42"/>
      <c r="AA9929" s="43"/>
    </row>
    <row r="9930" spans="2:27" x14ac:dyDescent="0.25">
      <c r="B9930" s="42"/>
      <c r="AA9930" s="43"/>
    </row>
    <row r="9931" spans="2:27" x14ac:dyDescent="0.25">
      <c r="B9931" s="42"/>
      <c r="AA9931" s="43"/>
    </row>
    <row r="9932" spans="2:27" x14ac:dyDescent="0.25">
      <c r="B9932" s="42"/>
      <c r="AA9932" s="43"/>
    </row>
    <row r="9933" spans="2:27" x14ac:dyDescent="0.25">
      <c r="B9933" s="42"/>
      <c r="AA9933" s="43"/>
    </row>
    <row r="9934" spans="2:27" x14ac:dyDescent="0.25">
      <c r="B9934" s="42"/>
      <c r="AA9934" s="43"/>
    </row>
    <row r="9935" spans="2:27" x14ac:dyDescent="0.25">
      <c r="B9935" s="42"/>
      <c r="AA9935" s="43"/>
    </row>
    <row r="9936" spans="2:27" x14ac:dyDescent="0.25">
      <c r="B9936" s="42"/>
      <c r="AA9936" s="43"/>
    </row>
    <row r="9937" spans="2:27" x14ac:dyDescent="0.25">
      <c r="B9937" s="42"/>
      <c r="AA9937" s="43"/>
    </row>
    <row r="9938" spans="2:27" x14ac:dyDescent="0.25">
      <c r="B9938" s="42"/>
      <c r="AA9938" s="43"/>
    </row>
    <row r="9939" spans="2:27" x14ac:dyDescent="0.25">
      <c r="B9939" s="42"/>
      <c r="AA9939" s="43"/>
    </row>
    <row r="9940" spans="2:27" x14ac:dyDescent="0.25">
      <c r="B9940" s="42"/>
      <c r="AA9940" s="43"/>
    </row>
    <row r="9941" spans="2:27" x14ac:dyDescent="0.25">
      <c r="B9941" s="42"/>
      <c r="AA9941" s="43"/>
    </row>
    <row r="9942" spans="2:27" x14ac:dyDescent="0.25">
      <c r="B9942" s="42"/>
      <c r="AA9942" s="43"/>
    </row>
    <row r="9943" spans="2:27" x14ac:dyDescent="0.25">
      <c r="B9943" s="42"/>
      <c r="AA9943" s="43"/>
    </row>
    <row r="9944" spans="2:27" x14ac:dyDescent="0.25">
      <c r="B9944" s="42"/>
      <c r="AA9944" s="43"/>
    </row>
    <row r="9945" spans="2:27" x14ac:dyDescent="0.25">
      <c r="B9945" s="42"/>
      <c r="AA9945" s="43"/>
    </row>
    <row r="9946" spans="2:27" x14ac:dyDescent="0.25">
      <c r="B9946" s="42"/>
      <c r="AA9946" s="43"/>
    </row>
    <row r="9947" spans="2:27" x14ac:dyDescent="0.25">
      <c r="B9947" s="42"/>
      <c r="AA9947" s="43"/>
    </row>
    <row r="9948" spans="2:27" x14ac:dyDescent="0.25">
      <c r="B9948" s="42"/>
      <c r="AA9948" s="43"/>
    </row>
    <row r="9949" spans="2:27" x14ac:dyDescent="0.25">
      <c r="B9949" s="42"/>
      <c r="AA9949" s="43"/>
    </row>
    <row r="9950" spans="2:27" x14ac:dyDescent="0.25">
      <c r="B9950" s="42"/>
      <c r="AA9950" s="43"/>
    </row>
    <row r="9951" spans="2:27" x14ac:dyDescent="0.25">
      <c r="B9951" s="42"/>
      <c r="AA9951" s="43"/>
    </row>
    <row r="9952" spans="2:27" x14ac:dyDescent="0.25">
      <c r="B9952" s="42"/>
      <c r="AA9952" s="43"/>
    </row>
    <row r="9953" spans="2:27" x14ac:dyDescent="0.25">
      <c r="B9953" s="42"/>
      <c r="AA9953" s="43"/>
    </row>
    <row r="9954" spans="2:27" x14ac:dyDescent="0.25">
      <c r="B9954" s="42"/>
      <c r="AA9954" s="43"/>
    </row>
    <row r="9955" spans="2:27" x14ac:dyDescent="0.25">
      <c r="B9955" s="42"/>
      <c r="AA9955" s="43"/>
    </row>
    <row r="9956" spans="2:27" x14ac:dyDescent="0.25">
      <c r="B9956" s="42"/>
      <c r="AA9956" s="43"/>
    </row>
    <row r="9957" spans="2:27" x14ac:dyDescent="0.25">
      <c r="B9957" s="42"/>
      <c r="AA9957" s="43"/>
    </row>
    <row r="9958" spans="2:27" x14ac:dyDescent="0.25">
      <c r="B9958" s="42"/>
      <c r="AA9958" s="43"/>
    </row>
    <row r="9959" spans="2:27" x14ac:dyDescent="0.25">
      <c r="B9959" s="42"/>
      <c r="AA9959" s="43"/>
    </row>
    <row r="9960" spans="2:27" x14ac:dyDescent="0.25">
      <c r="B9960" s="42"/>
      <c r="AA9960" s="43"/>
    </row>
    <row r="9961" spans="2:27" x14ac:dyDescent="0.25">
      <c r="B9961" s="42"/>
      <c r="AA9961" s="43"/>
    </row>
    <row r="9962" spans="2:27" x14ac:dyDescent="0.25">
      <c r="B9962" s="42"/>
      <c r="AA9962" s="43"/>
    </row>
    <row r="9963" spans="2:27" x14ac:dyDescent="0.25">
      <c r="B9963" s="42"/>
      <c r="AA9963" s="43"/>
    </row>
    <row r="9964" spans="2:27" x14ac:dyDescent="0.25">
      <c r="B9964" s="42"/>
      <c r="AA9964" s="43"/>
    </row>
    <row r="9965" spans="2:27" x14ac:dyDescent="0.25">
      <c r="B9965" s="42"/>
      <c r="AA9965" s="43"/>
    </row>
    <row r="9966" spans="2:27" x14ac:dyDescent="0.25">
      <c r="B9966" s="42"/>
      <c r="AA9966" s="43"/>
    </row>
    <row r="9967" spans="2:27" x14ac:dyDescent="0.25">
      <c r="B9967" s="42"/>
      <c r="AA9967" s="43"/>
    </row>
    <row r="9968" spans="2:27" x14ac:dyDescent="0.25">
      <c r="B9968" s="42"/>
      <c r="AA9968" s="43"/>
    </row>
    <row r="9969" spans="2:27" x14ac:dyDescent="0.25">
      <c r="B9969" s="42"/>
      <c r="AA9969" s="43"/>
    </row>
    <row r="9970" spans="2:27" x14ac:dyDescent="0.25">
      <c r="B9970" s="42"/>
      <c r="AA9970" s="43"/>
    </row>
    <row r="9971" spans="2:27" x14ac:dyDescent="0.25">
      <c r="B9971" s="42"/>
      <c r="AA9971" s="43"/>
    </row>
    <row r="9972" spans="2:27" x14ac:dyDescent="0.25">
      <c r="B9972" s="42"/>
      <c r="AA9972" s="43"/>
    </row>
    <row r="9973" spans="2:27" x14ac:dyDescent="0.25">
      <c r="B9973" s="42"/>
      <c r="AA9973" s="43"/>
    </row>
    <row r="9974" spans="2:27" x14ac:dyDescent="0.25">
      <c r="B9974" s="42"/>
      <c r="AA9974" s="43"/>
    </row>
    <row r="9975" spans="2:27" x14ac:dyDescent="0.25">
      <c r="B9975" s="42"/>
      <c r="AA9975" s="43"/>
    </row>
    <row r="9976" spans="2:27" x14ac:dyDescent="0.25">
      <c r="B9976" s="42"/>
      <c r="AA9976" s="43"/>
    </row>
    <row r="9977" spans="2:27" x14ac:dyDescent="0.25">
      <c r="B9977" s="42"/>
      <c r="AA9977" s="43"/>
    </row>
    <row r="9978" spans="2:27" x14ac:dyDescent="0.25">
      <c r="B9978" s="42"/>
      <c r="AA9978" s="43"/>
    </row>
    <row r="9979" spans="2:27" x14ac:dyDescent="0.25">
      <c r="B9979" s="42"/>
      <c r="AA9979" s="43"/>
    </row>
    <row r="9980" spans="2:27" x14ac:dyDescent="0.25">
      <c r="B9980" s="42"/>
      <c r="AA9980" s="43"/>
    </row>
    <row r="9981" spans="2:27" x14ac:dyDescent="0.25">
      <c r="B9981" s="42"/>
      <c r="AA9981" s="43"/>
    </row>
    <row r="9982" spans="2:27" x14ac:dyDescent="0.25">
      <c r="B9982" s="42"/>
      <c r="AA9982" s="43"/>
    </row>
    <row r="9983" spans="2:27" x14ac:dyDescent="0.25">
      <c r="B9983" s="42"/>
      <c r="AA9983" s="43"/>
    </row>
    <row r="9984" spans="2:27" x14ac:dyDescent="0.25">
      <c r="B9984" s="42"/>
      <c r="AA9984" s="43"/>
    </row>
    <row r="9985" spans="2:27" x14ac:dyDescent="0.25">
      <c r="B9985" s="42"/>
      <c r="AA9985" s="43"/>
    </row>
    <row r="9986" spans="2:27" x14ac:dyDescent="0.25">
      <c r="B9986" s="42"/>
      <c r="AA9986" s="43"/>
    </row>
    <row r="9987" spans="2:27" x14ac:dyDescent="0.25">
      <c r="B9987" s="42"/>
      <c r="AA9987" s="43"/>
    </row>
    <row r="9988" spans="2:27" x14ac:dyDescent="0.25">
      <c r="B9988" s="42"/>
      <c r="AA9988" s="43"/>
    </row>
    <row r="9989" spans="2:27" x14ac:dyDescent="0.25">
      <c r="B9989" s="42"/>
      <c r="AA9989" s="43"/>
    </row>
    <row r="9990" spans="2:27" x14ac:dyDescent="0.25">
      <c r="B9990" s="42"/>
      <c r="AA9990" s="43"/>
    </row>
    <row r="9991" spans="2:27" x14ac:dyDescent="0.25">
      <c r="B9991" s="42"/>
      <c r="AA9991" s="43"/>
    </row>
    <row r="9992" spans="2:27" x14ac:dyDescent="0.25">
      <c r="B9992" s="42"/>
      <c r="AA9992" s="43"/>
    </row>
    <row r="9993" spans="2:27" x14ac:dyDescent="0.25">
      <c r="B9993" s="42"/>
      <c r="AA9993" s="43"/>
    </row>
    <row r="9994" spans="2:27" x14ac:dyDescent="0.25">
      <c r="B9994" s="42"/>
      <c r="AA9994" s="43"/>
    </row>
    <row r="9995" spans="2:27" x14ac:dyDescent="0.25">
      <c r="B9995" s="42"/>
      <c r="AA9995" s="43"/>
    </row>
    <row r="9996" spans="2:27" x14ac:dyDescent="0.25">
      <c r="B9996" s="42"/>
      <c r="AA9996" s="43"/>
    </row>
    <row r="9997" spans="2:27" x14ac:dyDescent="0.25">
      <c r="B9997" s="42"/>
      <c r="AA9997" s="43"/>
    </row>
    <row r="9998" spans="2:27" x14ac:dyDescent="0.25">
      <c r="B9998" s="42"/>
      <c r="AA9998" s="43"/>
    </row>
    <row r="9999" spans="2:27" x14ac:dyDescent="0.25">
      <c r="B9999" s="42"/>
      <c r="AA9999" s="43"/>
    </row>
    <row r="10000" spans="2:27" x14ac:dyDescent="0.25">
      <c r="B10000" s="44"/>
      <c r="C10000" s="68"/>
      <c r="D10000" s="45"/>
      <c r="E10000" s="45"/>
      <c r="F10000" s="45"/>
      <c r="G10000" s="45"/>
      <c r="H10000" s="45"/>
      <c r="I10000" s="45"/>
      <c r="J10000" s="45"/>
      <c r="K10000" s="45"/>
      <c r="L10000" s="45"/>
      <c r="M10000" s="45"/>
      <c r="N10000" s="45"/>
      <c r="O10000" s="45"/>
      <c r="P10000" s="45"/>
      <c r="Q10000" s="45"/>
      <c r="R10000" s="45"/>
      <c r="S10000" s="45"/>
      <c r="T10000" s="45"/>
      <c r="U10000" s="45"/>
      <c r="V10000" s="45"/>
      <c r="W10000" s="54"/>
      <c r="X10000" s="54"/>
      <c r="Y10000" s="45"/>
      <c r="Z10000" s="45"/>
      <c r="AA10000" s="46"/>
    </row>
  </sheetData>
  <phoneticPr fontId="18" type="noConversion"/>
  <pageMargins left="0.78740157480314965" right="0.78740157480314965" top="0.55118110236220474" bottom="0.98425196850393704" header="0" footer="0"/>
  <pageSetup paperSize="9" fitToHeight="0" orientation="landscape" useFirstPageNumber="1" horizontalDpi="4294967295" verticalDpi="4294967295"/>
  <headerFooter>
    <oddFooter>&amp;C800000&amp;F&amp;R800000&amp;P</oddFooter>
  </headerFooter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345A-9F2B-42A9-BACD-487B3EB56946}">
  <dimension ref="A1:AA419"/>
  <sheetViews>
    <sheetView zoomScale="70" zoomScaleNormal="70" workbookViewId="0">
      <selection activeCell="E10" sqref="E10"/>
    </sheetView>
  </sheetViews>
  <sheetFormatPr baseColWidth="10" defaultColWidth="12.69921875" defaultRowHeight="13.8" x14ac:dyDescent="0.25"/>
  <cols>
    <col min="1" max="1" width="11.3984375" style="41" customWidth="1"/>
    <col min="2" max="3" width="7.3984375" style="39" customWidth="1"/>
    <col min="4" max="4" width="12.59765625" style="39" customWidth="1"/>
    <col min="5" max="7" width="6.59765625" style="39" customWidth="1"/>
    <col min="8" max="8" width="9.296875" style="39" customWidth="1"/>
    <col min="9" max="12" width="8.8984375" style="39" hidden="1" customWidth="1"/>
    <col min="13" max="13" width="55.09765625" style="39" customWidth="1"/>
    <col min="14" max="14" width="42.09765625" style="39" customWidth="1"/>
    <col min="15" max="15" width="9.69921875" style="39" customWidth="1"/>
    <col min="16" max="16" width="13.3984375" style="39" customWidth="1"/>
    <col min="17" max="17" width="14.3984375" style="39" customWidth="1"/>
    <col min="18" max="18" width="15.09765625" style="39" customWidth="1"/>
    <col min="19" max="19" width="7" style="39" customWidth="1"/>
    <col min="20" max="20" width="5.8984375" style="39" customWidth="1"/>
    <col min="21" max="21" width="6.3984375" style="39" customWidth="1"/>
    <col min="22" max="22" width="9.09765625" style="39" customWidth="1"/>
    <col min="23" max="23" width="8" style="25" customWidth="1"/>
    <col min="24" max="24" width="5.796875" style="25" customWidth="1"/>
    <col min="25" max="25" width="10.3984375" style="39" customWidth="1"/>
    <col min="26" max="26" width="55.09765625" style="39" customWidth="1"/>
    <col min="27" max="27" width="19.59765625" style="39" customWidth="1"/>
    <col min="28" max="16384" width="12.69921875" style="40"/>
  </cols>
  <sheetData>
    <row r="1" spans="1:27" s="48" customFormat="1" ht="19.5" customHeight="1" x14ac:dyDescent="0.2">
      <c r="A1" s="41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53"/>
      <c r="X1" s="53"/>
      <c r="Y1" s="47"/>
      <c r="Z1" s="47" t="s">
        <v>0</v>
      </c>
      <c r="AA1" s="47"/>
    </row>
    <row r="2" spans="1:27" ht="19.5" customHeight="1" x14ac:dyDescent="0.25"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53"/>
      <c r="X2" s="53"/>
      <c r="Y2" s="47"/>
      <c r="Z2" s="47" t="s">
        <v>28</v>
      </c>
      <c r="AA2" s="47"/>
    </row>
    <row r="3" spans="1:27" ht="9.75" customHeight="1" x14ac:dyDescent="0.25"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53"/>
      <c r="X3" s="53"/>
      <c r="Y3" s="47"/>
      <c r="Z3" s="47"/>
      <c r="AA3" s="47"/>
    </row>
    <row r="4" spans="1:27" ht="9.75" customHeight="1" x14ac:dyDescent="0.25">
      <c r="B4" s="48" t="s">
        <v>29</v>
      </c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53"/>
      <c r="X4" s="53"/>
      <c r="Y4" s="47"/>
      <c r="Z4" s="47"/>
      <c r="AA4" s="47"/>
    </row>
    <row r="5" spans="1:27" ht="9.75" customHeight="1" x14ac:dyDescent="0.25"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53"/>
      <c r="X5" s="53"/>
      <c r="Y5" s="47"/>
      <c r="Z5" s="47" t="s">
        <v>30</v>
      </c>
      <c r="AA5" s="47"/>
    </row>
    <row r="6" spans="1:27" ht="15" customHeight="1" x14ac:dyDescent="0.25"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53"/>
      <c r="X6" s="53"/>
      <c r="Y6" s="47"/>
      <c r="Z6" s="47"/>
      <c r="AA6" s="47"/>
    </row>
    <row r="7" spans="1:27" ht="25.2" customHeight="1" x14ac:dyDescent="0.25">
      <c r="B7" s="49" t="s">
        <v>31</v>
      </c>
      <c r="C7" s="50" t="s">
        <v>32</v>
      </c>
      <c r="D7" s="50" t="s">
        <v>33</v>
      </c>
      <c r="E7" s="50" t="s">
        <v>34</v>
      </c>
      <c r="F7" s="50" t="s">
        <v>35</v>
      </c>
      <c r="G7" s="50" t="s">
        <v>36</v>
      </c>
      <c r="H7" s="50" t="s">
        <v>37</v>
      </c>
      <c r="I7" s="50" t="s">
        <v>38</v>
      </c>
      <c r="J7" s="50" t="s">
        <v>39</v>
      </c>
      <c r="K7" s="50" t="s">
        <v>40</v>
      </c>
      <c r="L7" s="50" t="s">
        <v>41</v>
      </c>
      <c r="M7" s="50" t="s">
        <v>2</v>
      </c>
      <c r="N7" s="50" t="s">
        <v>42</v>
      </c>
      <c r="O7" s="50" t="s">
        <v>4</v>
      </c>
      <c r="P7" s="50" t="s">
        <v>5</v>
      </c>
      <c r="Q7" s="50" t="s">
        <v>22</v>
      </c>
      <c r="R7" s="50" t="s">
        <v>23</v>
      </c>
      <c r="S7" s="50" t="s">
        <v>43</v>
      </c>
      <c r="T7" s="50" t="s">
        <v>8</v>
      </c>
      <c r="U7" s="50" t="s">
        <v>44</v>
      </c>
      <c r="V7" s="50" t="s">
        <v>18</v>
      </c>
      <c r="W7" s="52" t="s">
        <v>45</v>
      </c>
      <c r="X7" s="52" t="s">
        <v>46</v>
      </c>
      <c r="Y7" s="50" t="s">
        <v>47</v>
      </c>
      <c r="Z7" s="50" t="s">
        <v>228</v>
      </c>
      <c r="AA7" s="51" t="s">
        <v>229</v>
      </c>
    </row>
    <row r="8" spans="1:27" ht="12.75" customHeight="1" x14ac:dyDescent="0.25">
      <c r="B8" s="42"/>
      <c r="AA8" s="43"/>
    </row>
    <row r="9" spans="1:27" ht="12.75" customHeight="1" x14ac:dyDescent="0.25">
      <c r="B9" s="42"/>
      <c r="AA9" s="43"/>
    </row>
    <row r="10" spans="1:27" ht="12.75" customHeight="1" x14ac:dyDescent="0.25">
      <c r="B10" s="42"/>
      <c r="AA10" s="43"/>
    </row>
    <row r="11" spans="1:27" ht="12.75" customHeight="1" x14ac:dyDescent="0.25">
      <c r="B11" s="42"/>
      <c r="AA11" s="43"/>
    </row>
    <row r="12" spans="1:27" ht="12.75" customHeight="1" x14ac:dyDescent="0.25">
      <c r="B12" s="42"/>
      <c r="AA12" s="43"/>
    </row>
    <row r="13" spans="1:27" ht="12.75" customHeight="1" x14ac:dyDescent="0.25">
      <c r="B13" s="42"/>
      <c r="AA13" s="43"/>
    </row>
    <row r="14" spans="1:27" ht="12.75" customHeight="1" x14ac:dyDescent="0.25">
      <c r="B14" s="42"/>
      <c r="AA14" s="43"/>
    </row>
    <row r="15" spans="1:27" ht="12.75" customHeight="1" x14ac:dyDescent="0.25">
      <c r="B15" s="42"/>
      <c r="AA15" s="43"/>
    </row>
    <row r="16" spans="1:27" ht="12.75" customHeight="1" x14ac:dyDescent="0.25">
      <c r="B16" s="42"/>
      <c r="AA16" s="43"/>
    </row>
    <row r="17" spans="2:27" ht="12.75" customHeight="1" x14ac:dyDescent="0.25">
      <c r="B17" s="42"/>
      <c r="AA17" s="43"/>
    </row>
    <row r="18" spans="2:27" ht="12.75" customHeight="1" x14ac:dyDescent="0.25">
      <c r="B18" s="42"/>
      <c r="AA18" s="43"/>
    </row>
    <row r="19" spans="2:27" ht="12.75" customHeight="1" x14ac:dyDescent="0.25">
      <c r="B19" s="42"/>
      <c r="AA19" s="43"/>
    </row>
    <row r="20" spans="2:27" ht="12.75" customHeight="1" x14ac:dyDescent="0.25">
      <c r="B20" s="42"/>
      <c r="AA20" s="43"/>
    </row>
    <row r="21" spans="2:27" ht="12.75" customHeight="1" x14ac:dyDescent="0.25">
      <c r="B21" s="42"/>
      <c r="AA21" s="43"/>
    </row>
    <row r="22" spans="2:27" ht="12.75" customHeight="1" x14ac:dyDescent="0.25">
      <c r="B22" s="42"/>
      <c r="AA22" s="43"/>
    </row>
    <row r="23" spans="2:27" ht="12.75" customHeight="1" x14ac:dyDescent="0.25">
      <c r="B23" s="42"/>
      <c r="AA23" s="43"/>
    </row>
    <row r="24" spans="2:27" ht="12.75" customHeight="1" x14ac:dyDescent="0.25">
      <c r="B24" s="42"/>
      <c r="AA24" s="43"/>
    </row>
    <row r="25" spans="2:27" ht="12.75" customHeight="1" x14ac:dyDescent="0.25">
      <c r="B25" s="42"/>
      <c r="AA25" s="43"/>
    </row>
    <row r="26" spans="2:27" ht="12.75" customHeight="1" x14ac:dyDescent="0.25">
      <c r="B26" s="42"/>
      <c r="AA26" s="43"/>
    </row>
    <row r="27" spans="2:27" ht="12.75" customHeight="1" x14ac:dyDescent="0.25">
      <c r="B27" s="42"/>
      <c r="AA27" s="43"/>
    </row>
    <row r="28" spans="2:27" ht="12.75" customHeight="1" x14ac:dyDescent="0.25">
      <c r="B28" s="42"/>
      <c r="AA28" s="43"/>
    </row>
    <row r="29" spans="2:27" ht="12.75" customHeight="1" x14ac:dyDescent="0.25">
      <c r="B29" s="42"/>
      <c r="AA29" s="43"/>
    </row>
    <row r="30" spans="2:27" ht="12.75" customHeight="1" x14ac:dyDescent="0.25">
      <c r="B30" s="42"/>
      <c r="AA30" s="43"/>
    </row>
    <row r="31" spans="2:27" ht="12.75" customHeight="1" x14ac:dyDescent="0.25">
      <c r="B31" s="42"/>
      <c r="AA31" s="43"/>
    </row>
    <row r="32" spans="2:27" ht="12.75" customHeight="1" x14ac:dyDescent="0.25">
      <c r="B32" s="42"/>
      <c r="AA32" s="43"/>
    </row>
    <row r="33" spans="2:27" ht="12.75" customHeight="1" x14ac:dyDescent="0.25">
      <c r="B33" s="42"/>
      <c r="AA33" s="43"/>
    </row>
    <row r="34" spans="2:27" ht="12.75" customHeight="1" x14ac:dyDescent="0.25">
      <c r="B34" s="42"/>
      <c r="AA34" s="43"/>
    </row>
    <row r="35" spans="2:27" ht="12.75" customHeight="1" x14ac:dyDescent="0.25">
      <c r="B35" s="42"/>
      <c r="AA35" s="43"/>
    </row>
    <row r="36" spans="2:27" ht="12.75" customHeight="1" x14ac:dyDescent="0.25">
      <c r="B36" s="42"/>
      <c r="AA36" s="43"/>
    </row>
    <row r="37" spans="2:27" ht="12.75" customHeight="1" x14ac:dyDescent="0.25">
      <c r="B37" s="42"/>
      <c r="AA37" s="43"/>
    </row>
    <row r="38" spans="2:27" ht="12.75" customHeight="1" x14ac:dyDescent="0.25">
      <c r="B38" s="42"/>
      <c r="AA38" s="43"/>
    </row>
    <row r="39" spans="2:27" ht="12.75" customHeight="1" x14ac:dyDescent="0.25">
      <c r="B39" s="42"/>
      <c r="AA39" s="43"/>
    </row>
    <row r="40" spans="2:27" ht="9.75" customHeight="1" x14ac:dyDescent="0.25">
      <c r="B40" s="42"/>
      <c r="AA40" s="43"/>
    </row>
    <row r="41" spans="2:27" ht="9.75" customHeight="1" x14ac:dyDescent="0.25">
      <c r="B41" s="42"/>
      <c r="AA41" s="43"/>
    </row>
    <row r="42" spans="2:27" ht="9.75" customHeight="1" x14ac:dyDescent="0.25">
      <c r="B42" s="42"/>
      <c r="AA42" s="43"/>
    </row>
    <row r="43" spans="2:27" ht="12.75" customHeight="1" x14ac:dyDescent="0.25">
      <c r="B43" s="42"/>
      <c r="AA43" s="43"/>
    </row>
    <row r="44" spans="2:27" ht="12.75" customHeight="1" x14ac:dyDescent="0.25">
      <c r="B44" s="42"/>
      <c r="AA44" s="43"/>
    </row>
    <row r="45" spans="2:27" ht="12.75" customHeight="1" x14ac:dyDescent="0.25">
      <c r="B45" s="42"/>
      <c r="AA45" s="43"/>
    </row>
    <row r="46" spans="2:27" ht="12.75" customHeight="1" x14ac:dyDescent="0.25">
      <c r="B46" s="42"/>
      <c r="AA46" s="43"/>
    </row>
    <row r="47" spans="2:27" ht="12.75" customHeight="1" x14ac:dyDescent="0.25">
      <c r="B47" s="42"/>
      <c r="AA47" s="43"/>
    </row>
    <row r="48" spans="2:27" ht="12.75" customHeight="1" x14ac:dyDescent="0.25">
      <c r="B48" s="42"/>
      <c r="AA48" s="43"/>
    </row>
    <row r="49" spans="2:27" ht="12.75" customHeight="1" x14ac:dyDescent="0.25">
      <c r="B49" s="42"/>
      <c r="AA49" s="43"/>
    </row>
    <row r="50" spans="2:27" ht="12.75" customHeight="1" x14ac:dyDescent="0.25">
      <c r="B50" s="42"/>
      <c r="AA50" s="43"/>
    </row>
    <row r="51" spans="2:27" ht="12.75" customHeight="1" x14ac:dyDescent="0.25">
      <c r="B51" s="42"/>
      <c r="AA51" s="43"/>
    </row>
    <row r="52" spans="2:27" ht="12.75" customHeight="1" x14ac:dyDescent="0.25">
      <c r="B52" s="42"/>
      <c r="AA52" s="43"/>
    </row>
    <row r="53" spans="2:27" ht="12.75" customHeight="1" x14ac:dyDescent="0.25">
      <c r="B53" s="42"/>
      <c r="AA53" s="43"/>
    </row>
    <row r="54" spans="2:27" ht="12.75" customHeight="1" x14ac:dyDescent="0.25">
      <c r="B54" s="42"/>
      <c r="AA54" s="43"/>
    </row>
    <row r="55" spans="2:27" ht="12.75" customHeight="1" x14ac:dyDescent="0.25">
      <c r="B55" s="42"/>
      <c r="AA55" s="43"/>
    </row>
    <row r="56" spans="2:27" ht="12.75" customHeight="1" x14ac:dyDescent="0.25">
      <c r="B56" s="42"/>
      <c r="AA56" s="43"/>
    </row>
    <row r="57" spans="2:27" ht="12.75" customHeight="1" x14ac:dyDescent="0.25">
      <c r="B57" s="42"/>
      <c r="AA57" s="43"/>
    </row>
    <row r="58" spans="2:27" ht="12.75" customHeight="1" x14ac:dyDescent="0.25">
      <c r="B58" s="42"/>
      <c r="AA58" s="43"/>
    </row>
    <row r="59" spans="2:27" ht="9.75" customHeight="1" x14ac:dyDescent="0.25">
      <c r="B59" s="42"/>
      <c r="AA59" s="43"/>
    </row>
    <row r="60" spans="2:27" ht="9.75" customHeight="1" x14ac:dyDescent="0.25">
      <c r="B60" s="42"/>
      <c r="AA60" s="43"/>
    </row>
    <row r="61" spans="2:27" ht="9.75" customHeight="1" x14ac:dyDescent="0.25">
      <c r="B61" s="42"/>
      <c r="AA61" s="43"/>
    </row>
    <row r="62" spans="2:27" ht="12.75" customHeight="1" x14ac:dyDescent="0.25">
      <c r="B62" s="42"/>
      <c r="AA62" s="43"/>
    </row>
    <row r="63" spans="2:27" ht="12.75" customHeight="1" x14ac:dyDescent="0.25">
      <c r="B63" s="42"/>
      <c r="AA63" s="43"/>
    </row>
    <row r="64" spans="2:27" ht="12.75" customHeight="1" x14ac:dyDescent="0.25">
      <c r="B64" s="42"/>
      <c r="AA64" s="43"/>
    </row>
    <row r="65" spans="2:27" ht="12.75" customHeight="1" x14ac:dyDescent="0.25">
      <c r="B65" s="42"/>
      <c r="AA65" s="43"/>
    </row>
    <row r="66" spans="2:27" ht="12.75" customHeight="1" x14ac:dyDescent="0.25">
      <c r="B66" s="42"/>
      <c r="AA66" s="43"/>
    </row>
    <row r="67" spans="2:27" ht="12.75" customHeight="1" x14ac:dyDescent="0.25">
      <c r="B67" s="42"/>
      <c r="AA67" s="43"/>
    </row>
    <row r="68" spans="2:27" ht="12.75" customHeight="1" x14ac:dyDescent="0.25">
      <c r="B68" s="42"/>
      <c r="AA68" s="43"/>
    </row>
    <row r="69" spans="2:27" ht="12.75" customHeight="1" x14ac:dyDescent="0.25">
      <c r="B69" s="42"/>
      <c r="AA69" s="43"/>
    </row>
    <row r="70" spans="2:27" ht="12.75" customHeight="1" x14ac:dyDescent="0.25">
      <c r="B70" s="42"/>
      <c r="AA70" s="43"/>
    </row>
    <row r="71" spans="2:27" ht="12.75" customHeight="1" x14ac:dyDescent="0.25">
      <c r="B71" s="42"/>
      <c r="AA71" s="43"/>
    </row>
    <row r="72" spans="2:27" ht="12.75" customHeight="1" x14ac:dyDescent="0.25">
      <c r="B72" s="42"/>
      <c r="AA72" s="43"/>
    </row>
    <row r="73" spans="2:27" ht="12.75" customHeight="1" x14ac:dyDescent="0.25">
      <c r="B73" s="42"/>
      <c r="AA73" s="43"/>
    </row>
    <row r="74" spans="2:27" ht="12.75" customHeight="1" x14ac:dyDescent="0.25">
      <c r="B74" s="42"/>
      <c r="AA74" s="43"/>
    </row>
    <row r="75" spans="2:27" ht="12.75" customHeight="1" x14ac:dyDescent="0.25">
      <c r="B75" s="42"/>
      <c r="AA75" s="43"/>
    </row>
    <row r="76" spans="2:27" ht="12.75" customHeight="1" x14ac:dyDescent="0.25">
      <c r="B76" s="42"/>
      <c r="AA76" s="43"/>
    </row>
    <row r="77" spans="2:27" ht="12.75" customHeight="1" x14ac:dyDescent="0.25">
      <c r="B77" s="42"/>
      <c r="AA77" s="43"/>
    </row>
    <row r="78" spans="2:27" ht="12.75" customHeight="1" x14ac:dyDescent="0.25">
      <c r="B78" s="42"/>
      <c r="AA78" s="43"/>
    </row>
    <row r="79" spans="2:27" ht="12.75" customHeight="1" x14ac:dyDescent="0.25">
      <c r="B79" s="42"/>
      <c r="AA79" s="43"/>
    </row>
    <row r="80" spans="2:27" ht="12.75" customHeight="1" x14ac:dyDescent="0.25">
      <c r="B80" s="42"/>
      <c r="AA80" s="43"/>
    </row>
    <row r="81" spans="2:27" ht="12.75" customHeight="1" x14ac:dyDescent="0.25">
      <c r="B81" s="42"/>
      <c r="AA81" s="43"/>
    </row>
    <row r="82" spans="2:27" ht="12.75" customHeight="1" x14ac:dyDescent="0.25">
      <c r="B82" s="42"/>
      <c r="AA82" s="43"/>
    </row>
    <row r="83" spans="2:27" ht="12.75" customHeight="1" x14ac:dyDescent="0.25">
      <c r="B83" s="42"/>
      <c r="AA83" s="43"/>
    </row>
    <row r="84" spans="2:27" ht="12.75" customHeight="1" x14ac:dyDescent="0.25">
      <c r="B84" s="42"/>
      <c r="AA84" s="43"/>
    </row>
    <row r="85" spans="2:27" ht="12.75" customHeight="1" x14ac:dyDescent="0.25">
      <c r="B85" s="42"/>
      <c r="AA85" s="43"/>
    </row>
    <row r="86" spans="2:27" ht="12.75" customHeight="1" x14ac:dyDescent="0.25">
      <c r="B86" s="42"/>
      <c r="AA86" s="43"/>
    </row>
    <row r="87" spans="2:27" ht="12.75" customHeight="1" x14ac:dyDescent="0.25">
      <c r="B87" s="42"/>
      <c r="AA87" s="43"/>
    </row>
    <row r="88" spans="2:27" ht="12.75" customHeight="1" x14ac:dyDescent="0.25">
      <c r="B88" s="42"/>
      <c r="AA88" s="43"/>
    </row>
    <row r="89" spans="2:27" ht="9.75" customHeight="1" x14ac:dyDescent="0.25">
      <c r="B89" s="42"/>
      <c r="AA89" s="43"/>
    </row>
    <row r="90" spans="2:27" ht="12.75" customHeight="1" x14ac:dyDescent="0.25">
      <c r="B90" s="42"/>
      <c r="AA90" s="43"/>
    </row>
    <row r="91" spans="2:27" ht="12.75" customHeight="1" x14ac:dyDescent="0.25">
      <c r="B91" s="42"/>
      <c r="AA91" s="43"/>
    </row>
    <row r="92" spans="2:27" ht="12.75" customHeight="1" x14ac:dyDescent="0.25">
      <c r="B92" s="42"/>
      <c r="AA92" s="43"/>
    </row>
    <row r="93" spans="2:27" ht="12.75" customHeight="1" x14ac:dyDescent="0.25">
      <c r="B93" s="42"/>
      <c r="AA93" s="43"/>
    </row>
    <row r="94" spans="2:27" ht="12.75" customHeight="1" x14ac:dyDescent="0.25">
      <c r="B94" s="42"/>
      <c r="AA94" s="43"/>
    </row>
    <row r="95" spans="2:27" ht="12.75" customHeight="1" x14ac:dyDescent="0.25">
      <c r="B95" s="42"/>
      <c r="AA95" s="43"/>
    </row>
    <row r="96" spans="2:27" ht="12.75" customHeight="1" x14ac:dyDescent="0.25">
      <c r="B96" s="42"/>
      <c r="AA96" s="43"/>
    </row>
    <row r="97" spans="2:27" ht="12.75" customHeight="1" x14ac:dyDescent="0.25">
      <c r="B97" s="42"/>
      <c r="AA97" s="43"/>
    </row>
    <row r="98" spans="2:27" ht="12.75" customHeight="1" x14ac:dyDescent="0.25">
      <c r="B98" s="42"/>
      <c r="AA98" s="43"/>
    </row>
    <row r="99" spans="2:27" ht="12.75" customHeight="1" x14ac:dyDescent="0.25">
      <c r="B99" s="42"/>
      <c r="AA99" s="43"/>
    </row>
    <row r="100" spans="2:27" ht="12.75" customHeight="1" x14ac:dyDescent="0.25">
      <c r="B100" s="42"/>
      <c r="AA100" s="43"/>
    </row>
    <row r="101" spans="2:27" ht="12.75" customHeight="1" x14ac:dyDescent="0.25">
      <c r="B101" s="42"/>
      <c r="AA101" s="43"/>
    </row>
    <row r="102" spans="2:27" ht="12.75" customHeight="1" x14ac:dyDescent="0.25">
      <c r="B102" s="42"/>
      <c r="AA102" s="43"/>
    </row>
    <row r="103" spans="2:27" ht="12.75" customHeight="1" x14ac:dyDescent="0.25">
      <c r="B103" s="42"/>
      <c r="AA103" s="43"/>
    </row>
    <row r="104" spans="2:27" ht="12.75" customHeight="1" x14ac:dyDescent="0.25">
      <c r="B104" s="42"/>
      <c r="AA104" s="43"/>
    </row>
    <row r="105" spans="2:27" ht="12.75" customHeight="1" x14ac:dyDescent="0.25">
      <c r="B105" s="42"/>
      <c r="AA105" s="43"/>
    </row>
    <row r="106" spans="2:27" ht="12.75" customHeight="1" x14ac:dyDescent="0.25">
      <c r="B106" s="42"/>
      <c r="AA106" s="43"/>
    </row>
    <row r="107" spans="2:27" ht="12.75" customHeight="1" x14ac:dyDescent="0.25">
      <c r="B107" s="42"/>
      <c r="AA107" s="43"/>
    </row>
    <row r="108" spans="2:27" ht="12.75" customHeight="1" x14ac:dyDescent="0.25">
      <c r="B108" s="42"/>
      <c r="AA108" s="43"/>
    </row>
    <row r="109" spans="2:27" ht="12.75" customHeight="1" x14ac:dyDescent="0.25">
      <c r="B109" s="42"/>
      <c r="AA109" s="43"/>
    </row>
    <row r="110" spans="2:27" ht="12.75" customHeight="1" x14ac:dyDescent="0.25">
      <c r="B110" s="42"/>
      <c r="AA110" s="43"/>
    </row>
    <row r="111" spans="2:27" ht="12.75" customHeight="1" x14ac:dyDescent="0.25">
      <c r="B111" s="42"/>
      <c r="AA111" s="43"/>
    </row>
    <row r="112" spans="2:27" ht="12.75" customHeight="1" x14ac:dyDescent="0.25">
      <c r="B112" s="42"/>
      <c r="AA112" s="43"/>
    </row>
    <row r="113" spans="2:27" ht="12.75" customHeight="1" x14ac:dyDescent="0.25">
      <c r="B113" s="42"/>
      <c r="AA113" s="43"/>
    </row>
    <row r="114" spans="2:27" ht="12.75" customHeight="1" x14ac:dyDescent="0.25">
      <c r="B114" s="42"/>
      <c r="AA114" s="43"/>
    </row>
    <row r="115" spans="2:27" ht="12.75" customHeight="1" x14ac:dyDescent="0.25">
      <c r="B115" s="42"/>
      <c r="AA115" s="43"/>
    </row>
    <row r="116" spans="2:27" ht="12.75" customHeight="1" x14ac:dyDescent="0.25">
      <c r="B116" s="42"/>
      <c r="AA116" s="43"/>
    </row>
    <row r="117" spans="2:27" ht="12.75" customHeight="1" x14ac:dyDescent="0.25">
      <c r="B117" s="42"/>
      <c r="AA117" s="43"/>
    </row>
    <row r="118" spans="2:27" ht="12.75" customHeight="1" x14ac:dyDescent="0.25">
      <c r="B118" s="42"/>
      <c r="AA118" s="43"/>
    </row>
    <row r="119" spans="2:27" ht="12.75" customHeight="1" x14ac:dyDescent="0.25">
      <c r="B119" s="42"/>
      <c r="AA119" s="43"/>
    </row>
    <row r="120" spans="2:27" ht="12.75" customHeight="1" x14ac:dyDescent="0.25">
      <c r="B120" s="42"/>
      <c r="AA120" s="43"/>
    </row>
    <row r="121" spans="2:27" ht="12.75" customHeight="1" x14ac:dyDescent="0.25">
      <c r="B121" s="42"/>
      <c r="AA121" s="43"/>
    </row>
    <row r="122" spans="2:27" ht="12.75" customHeight="1" x14ac:dyDescent="0.25">
      <c r="B122" s="42"/>
      <c r="AA122" s="43"/>
    </row>
    <row r="123" spans="2:27" ht="12.75" customHeight="1" x14ac:dyDescent="0.25">
      <c r="B123" s="42"/>
      <c r="AA123" s="43"/>
    </row>
    <row r="124" spans="2:27" ht="12" customHeight="1" x14ac:dyDescent="0.25">
      <c r="B124" s="42"/>
      <c r="AA124" s="43"/>
    </row>
    <row r="125" spans="2:27" ht="12.75" customHeight="1" x14ac:dyDescent="0.25">
      <c r="B125" s="42"/>
      <c r="AA125" s="43"/>
    </row>
    <row r="126" spans="2:27" ht="12.75" customHeight="1" x14ac:dyDescent="0.25">
      <c r="B126" s="42"/>
      <c r="AA126" s="43"/>
    </row>
    <row r="127" spans="2:27" ht="12.75" customHeight="1" x14ac:dyDescent="0.25">
      <c r="B127" s="42"/>
      <c r="AA127" s="43"/>
    </row>
    <row r="128" spans="2:27" ht="12.75" customHeight="1" x14ac:dyDescent="0.25">
      <c r="B128" s="42"/>
      <c r="AA128" s="43"/>
    </row>
    <row r="129" spans="2:27" ht="12.75" customHeight="1" x14ac:dyDescent="0.25">
      <c r="B129" s="42"/>
      <c r="AA129" s="43"/>
    </row>
    <row r="130" spans="2:27" ht="12.75" customHeight="1" x14ac:dyDescent="0.25">
      <c r="B130" s="42"/>
      <c r="AA130" s="43"/>
    </row>
    <row r="131" spans="2:27" ht="12.75" customHeight="1" x14ac:dyDescent="0.25">
      <c r="B131" s="42"/>
      <c r="AA131" s="43"/>
    </row>
    <row r="132" spans="2:27" ht="12.75" customHeight="1" x14ac:dyDescent="0.25">
      <c r="B132" s="42"/>
      <c r="AA132" s="43"/>
    </row>
    <row r="133" spans="2:27" ht="12.75" customHeight="1" x14ac:dyDescent="0.25">
      <c r="B133" s="42"/>
      <c r="AA133" s="43"/>
    </row>
    <row r="134" spans="2:27" ht="12.75" customHeight="1" x14ac:dyDescent="0.25">
      <c r="B134" s="42"/>
      <c r="AA134" s="43"/>
    </row>
    <row r="135" spans="2:27" ht="12.75" customHeight="1" x14ac:dyDescent="0.25">
      <c r="B135" s="42"/>
      <c r="AA135" s="43"/>
    </row>
    <row r="136" spans="2:27" ht="12.75" customHeight="1" x14ac:dyDescent="0.25">
      <c r="B136" s="42"/>
      <c r="AA136" s="43"/>
    </row>
    <row r="137" spans="2:27" ht="12.75" customHeight="1" x14ac:dyDescent="0.25">
      <c r="B137" s="42"/>
      <c r="AA137" s="43"/>
    </row>
    <row r="138" spans="2:27" ht="12.75" customHeight="1" x14ac:dyDescent="0.25">
      <c r="B138" s="42"/>
      <c r="AA138" s="43"/>
    </row>
    <row r="139" spans="2:27" ht="12.75" customHeight="1" x14ac:dyDescent="0.25">
      <c r="B139" s="42"/>
      <c r="AA139" s="43"/>
    </row>
    <row r="140" spans="2:27" ht="12.75" customHeight="1" x14ac:dyDescent="0.25">
      <c r="B140" s="42"/>
      <c r="AA140" s="43"/>
    </row>
    <row r="141" spans="2:27" ht="12.75" customHeight="1" x14ac:dyDescent="0.25">
      <c r="B141" s="42"/>
      <c r="AA141" s="43"/>
    </row>
    <row r="142" spans="2:27" ht="12.75" customHeight="1" x14ac:dyDescent="0.25">
      <c r="B142" s="42"/>
      <c r="AA142" s="43"/>
    </row>
    <row r="143" spans="2:27" ht="12.75" customHeight="1" x14ac:dyDescent="0.25">
      <c r="B143" s="42"/>
      <c r="AA143" s="43"/>
    </row>
    <row r="144" spans="2:27" ht="9.75" customHeight="1" x14ac:dyDescent="0.25">
      <c r="B144" s="42"/>
      <c r="AA144" s="43"/>
    </row>
    <row r="145" spans="2:27" ht="9.75" customHeight="1" x14ac:dyDescent="0.25">
      <c r="B145" s="42"/>
      <c r="AA145" s="43"/>
    </row>
    <row r="146" spans="2:27" ht="9.75" customHeight="1" x14ac:dyDescent="0.25">
      <c r="B146" s="42"/>
      <c r="AA146" s="43"/>
    </row>
    <row r="147" spans="2:27" ht="12.75" customHeight="1" x14ac:dyDescent="0.25">
      <c r="B147" s="42"/>
      <c r="AA147" s="43"/>
    </row>
    <row r="148" spans="2:27" ht="12.75" customHeight="1" x14ac:dyDescent="0.25">
      <c r="B148" s="42"/>
      <c r="AA148" s="43"/>
    </row>
    <row r="149" spans="2:27" ht="12.75" customHeight="1" x14ac:dyDescent="0.25">
      <c r="B149" s="42"/>
      <c r="AA149" s="43"/>
    </row>
    <row r="150" spans="2:27" ht="12.75" customHeight="1" x14ac:dyDescent="0.25">
      <c r="B150" s="42"/>
      <c r="AA150" s="43"/>
    </row>
    <row r="151" spans="2:27" ht="12.75" customHeight="1" x14ac:dyDescent="0.25">
      <c r="B151" s="42"/>
      <c r="AA151" s="43"/>
    </row>
    <row r="152" spans="2:27" ht="12.75" customHeight="1" x14ac:dyDescent="0.25">
      <c r="B152" s="42"/>
      <c r="AA152" s="43"/>
    </row>
    <row r="153" spans="2:27" ht="12.75" customHeight="1" x14ac:dyDescent="0.25">
      <c r="B153" s="42"/>
      <c r="AA153" s="43"/>
    </row>
    <row r="154" spans="2:27" ht="12.75" customHeight="1" x14ac:dyDescent="0.25">
      <c r="B154" s="42"/>
      <c r="AA154" s="43"/>
    </row>
    <row r="155" spans="2:27" ht="12.75" customHeight="1" x14ac:dyDescent="0.25">
      <c r="B155" s="42"/>
      <c r="AA155" s="43"/>
    </row>
    <row r="156" spans="2:27" ht="12.75" customHeight="1" x14ac:dyDescent="0.25">
      <c r="B156" s="42"/>
      <c r="AA156" s="43"/>
    </row>
    <row r="157" spans="2:27" ht="12.75" customHeight="1" x14ac:dyDescent="0.25">
      <c r="B157" s="42"/>
      <c r="AA157" s="43"/>
    </row>
    <row r="158" spans="2:27" ht="12.75" customHeight="1" x14ac:dyDescent="0.25">
      <c r="B158" s="42"/>
      <c r="AA158" s="43"/>
    </row>
    <row r="159" spans="2:27" ht="12.75" customHeight="1" x14ac:dyDescent="0.25">
      <c r="B159" s="42"/>
      <c r="AA159" s="43"/>
    </row>
    <row r="160" spans="2:27" ht="12.75" customHeight="1" x14ac:dyDescent="0.25">
      <c r="B160" s="42"/>
      <c r="AA160" s="43"/>
    </row>
    <row r="161" spans="2:27" ht="12.75" customHeight="1" x14ac:dyDescent="0.25">
      <c r="B161" s="42"/>
      <c r="AA161" s="43"/>
    </row>
    <row r="162" spans="2:27" ht="12.75" customHeight="1" x14ac:dyDescent="0.25">
      <c r="B162" s="42"/>
      <c r="AA162" s="43"/>
    </row>
    <row r="163" spans="2:27" ht="12.75" customHeight="1" x14ac:dyDescent="0.25">
      <c r="B163" s="42"/>
      <c r="AA163" s="43"/>
    </row>
    <row r="164" spans="2:27" ht="12.75" customHeight="1" x14ac:dyDescent="0.25">
      <c r="B164" s="42"/>
      <c r="AA164" s="43"/>
    </row>
    <row r="165" spans="2:27" ht="12.75" customHeight="1" x14ac:dyDescent="0.25">
      <c r="B165" s="42"/>
      <c r="AA165" s="43"/>
    </row>
    <row r="166" spans="2:27" ht="9.75" customHeight="1" x14ac:dyDescent="0.25">
      <c r="B166" s="42"/>
      <c r="AA166" s="43"/>
    </row>
    <row r="167" spans="2:27" ht="12.75" customHeight="1" x14ac:dyDescent="0.25">
      <c r="B167" s="42"/>
      <c r="AA167" s="43"/>
    </row>
    <row r="168" spans="2:27" ht="12.75" customHeight="1" x14ac:dyDescent="0.25">
      <c r="B168" s="42"/>
      <c r="AA168" s="43"/>
    </row>
    <row r="169" spans="2:27" ht="12.75" customHeight="1" x14ac:dyDescent="0.25">
      <c r="B169" s="42"/>
      <c r="AA169" s="43"/>
    </row>
    <row r="170" spans="2:27" ht="12.75" customHeight="1" x14ac:dyDescent="0.25">
      <c r="B170" s="42"/>
      <c r="AA170" s="43"/>
    </row>
    <row r="171" spans="2:27" ht="12.75" customHeight="1" x14ac:dyDescent="0.25">
      <c r="B171" s="42"/>
      <c r="AA171" s="43"/>
    </row>
    <row r="172" spans="2:27" ht="12.75" customHeight="1" x14ac:dyDescent="0.25">
      <c r="B172" s="42"/>
      <c r="AA172" s="43"/>
    </row>
    <row r="173" spans="2:27" ht="12.75" customHeight="1" x14ac:dyDescent="0.25">
      <c r="B173" s="42"/>
      <c r="AA173" s="43"/>
    </row>
    <row r="174" spans="2:27" ht="12.75" customHeight="1" x14ac:dyDescent="0.25">
      <c r="B174" s="42"/>
      <c r="AA174" s="43"/>
    </row>
    <row r="175" spans="2:27" ht="12.75" customHeight="1" x14ac:dyDescent="0.25">
      <c r="B175" s="42"/>
      <c r="AA175" s="43"/>
    </row>
    <row r="176" spans="2:27" ht="12.75" customHeight="1" x14ac:dyDescent="0.25">
      <c r="B176" s="42"/>
      <c r="AA176" s="43"/>
    </row>
    <row r="177" spans="2:27" ht="12.75" customHeight="1" x14ac:dyDescent="0.25">
      <c r="B177" s="42"/>
      <c r="AA177" s="43"/>
    </row>
    <row r="178" spans="2:27" ht="12.75" customHeight="1" x14ac:dyDescent="0.25">
      <c r="B178" s="42"/>
      <c r="AA178" s="43"/>
    </row>
    <row r="179" spans="2:27" ht="12.75" customHeight="1" x14ac:dyDescent="0.25">
      <c r="B179" s="42"/>
      <c r="AA179" s="43"/>
    </row>
    <row r="180" spans="2:27" ht="12.75" customHeight="1" x14ac:dyDescent="0.25">
      <c r="B180" s="42"/>
      <c r="AA180" s="43"/>
    </row>
    <row r="181" spans="2:27" ht="12.75" customHeight="1" x14ac:dyDescent="0.25">
      <c r="B181" s="42"/>
      <c r="AA181" s="43"/>
    </row>
    <row r="182" spans="2:27" ht="12.75" customHeight="1" x14ac:dyDescent="0.25">
      <c r="B182" s="42"/>
      <c r="AA182" s="43"/>
    </row>
    <row r="183" spans="2:27" ht="12.75" customHeight="1" x14ac:dyDescent="0.25">
      <c r="B183" s="42"/>
      <c r="AA183" s="43"/>
    </row>
    <row r="184" spans="2:27" ht="12.75" customHeight="1" x14ac:dyDescent="0.25">
      <c r="B184" s="42"/>
      <c r="AA184" s="43"/>
    </row>
    <row r="185" spans="2:27" ht="12.75" customHeight="1" x14ac:dyDescent="0.25">
      <c r="B185" s="42"/>
      <c r="AA185" s="43"/>
    </row>
    <row r="186" spans="2:27" ht="12.75" customHeight="1" x14ac:dyDescent="0.25">
      <c r="B186" s="42"/>
      <c r="AA186" s="43"/>
    </row>
    <row r="187" spans="2:27" ht="12.75" customHeight="1" x14ac:dyDescent="0.25">
      <c r="B187" s="42"/>
      <c r="AA187" s="43"/>
    </row>
    <row r="188" spans="2:27" ht="12.75" customHeight="1" x14ac:dyDescent="0.25">
      <c r="B188" s="42"/>
      <c r="AA188" s="43"/>
    </row>
    <row r="189" spans="2:27" ht="12.75" customHeight="1" x14ac:dyDescent="0.25">
      <c r="B189" s="42"/>
      <c r="AA189" s="43"/>
    </row>
    <row r="190" spans="2:27" ht="12.75" customHeight="1" x14ac:dyDescent="0.25">
      <c r="B190" s="42"/>
      <c r="AA190" s="43"/>
    </row>
    <row r="191" spans="2:27" ht="12.75" customHeight="1" x14ac:dyDescent="0.25">
      <c r="B191" s="42"/>
      <c r="AA191" s="43"/>
    </row>
    <row r="192" spans="2:27" ht="12.75" customHeight="1" x14ac:dyDescent="0.25">
      <c r="B192" s="42"/>
      <c r="AA192" s="43"/>
    </row>
    <row r="193" spans="2:27" ht="12.75" customHeight="1" x14ac:dyDescent="0.25">
      <c r="B193" s="42"/>
      <c r="AA193" s="43"/>
    </row>
    <row r="194" spans="2:27" ht="12.75" customHeight="1" x14ac:dyDescent="0.25">
      <c r="B194" s="42"/>
      <c r="AA194" s="43"/>
    </row>
    <row r="195" spans="2:27" ht="12.75" customHeight="1" x14ac:dyDescent="0.25">
      <c r="B195" s="42"/>
      <c r="AA195" s="43"/>
    </row>
    <row r="196" spans="2:27" ht="12.75" customHeight="1" x14ac:dyDescent="0.25">
      <c r="B196" s="42"/>
      <c r="AA196" s="43"/>
    </row>
    <row r="197" spans="2:27" ht="12.75" customHeight="1" x14ac:dyDescent="0.25">
      <c r="B197" s="42"/>
      <c r="AA197" s="43"/>
    </row>
    <row r="198" spans="2:27" ht="12.75" customHeight="1" x14ac:dyDescent="0.25">
      <c r="B198" s="42"/>
      <c r="AA198" s="43"/>
    </row>
    <row r="199" spans="2:27" ht="12.75" customHeight="1" x14ac:dyDescent="0.25">
      <c r="B199" s="42"/>
      <c r="AA199" s="43"/>
    </row>
    <row r="200" spans="2:27" ht="12.75" customHeight="1" x14ac:dyDescent="0.25">
      <c r="B200" s="42"/>
      <c r="AA200" s="43"/>
    </row>
    <row r="201" spans="2:27" ht="12.75" customHeight="1" x14ac:dyDescent="0.25">
      <c r="B201" s="42"/>
      <c r="AA201" s="43"/>
    </row>
    <row r="202" spans="2:27" ht="12.75" customHeight="1" x14ac:dyDescent="0.25">
      <c r="B202" s="42"/>
      <c r="AA202" s="43"/>
    </row>
    <row r="203" spans="2:27" ht="12.75" customHeight="1" x14ac:dyDescent="0.25">
      <c r="B203" s="42"/>
      <c r="AA203" s="43"/>
    </row>
    <row r="204" spans="2:27" ht="12.75" customHeight="1" x14ac:dyDescent="0.25">
      <c r="B204" s="42"/>
      <c r="AA204" s="43"/>
    </row>
    <row r="205" spans="2:27" ht="12.75" customHeight="1" x14ac:dyDescent="0.25">
      <c r="B205" s="42"/>
      <c r="AA205" s="43"/>
    </row>
    <row r="206" spans="2:27" ht="12.75" customHeight="1" x14ac:dyDescent="0.25">
      <c r="B206" s="42"/>
      <c r="AA206" s="43"/>
    </row>
    <row r="207" spans="2:27" ht="12.75" customHeight="1" x14ac:dyDescent="0.25">
      <c r="B207" s="42"/>
      <c r="AA207" s="43"/>
    </row>
    <row r="208" spans="2:27" ht="12.75" customHeight="1" x14ac:dyDescent="0.25">
      <c r="B208" s="42"/>
      <c r="AA208" s="43"/>
    </row>
    <row r="209" spans="2:27" ht="12.75" customHeight="1" x14ac:dyDescent="0.25">
      <c r="B209" s="42"/>
      <c r="AA209" s="43"/>
    </row>
    <row r="210" spans="2:27" ht="12.75" customHeight="1" x14ac:dyDescent="0.25">
      <c r="B210" s="42"/>
      <c r="AA210" s="43"/>
    </row>
    <row r="211" spans="2:27" ht="12.75" customHeight="1" x14ac:dyDescent="0.25">
      <c r="B211" s="42"/>
      <c r="AA211" s="43"/>
    </row>
    <row r="212" spans="2:27" ht="12.75" customHeight="1" x14ac:dyDescent="0.25">
      <c r="B212" s="42"/>
      <c r="AA212" s="43"/>
    </row>
    <row r="213" spans="2:27" ht="12.75" customHeight="1" x14ac:dyDescent="0.25">
      <c r="B213" s="42"/>
      <c r="AA213" s="43"/>
    </row>
    <row r="214" spans="2:27" ht="12.75" customHeight="1" x14ac:dyDescent="0.25">
      <c r="B214" s="42"/>
      <c r="AA214" s="43"/>
    </row>
    <row r="215" spans="2:27" ht="12.75" customHeight="1" x14ac:dyDescent="0.25">
      <c r="B215" s="42"/>
      <c r="AA215" s="43"/>
    </row>
    <row r="216" spans="2:27" ht="12.75" customHeight="1" x14ac:dyDescent="0.25">
      <c r="B216" s="42"/>
      <c r="AA216" s="43"/>
    </row>
    <row r="217" spans="2:27" ht="12.75" customHeight="1" x14ac:dyDescent="0.25">
      <c r="B217" s="42"/>
      <c r="AA217" s="43"/>
    </row>
    <row r="218" spans="2:27" ht="12.75" customHeight="1" x14ac:dyDescent="0.25">
      <c r="B218" s="42"/>
      <c r="AA218" s="43"/>
    </row>
    <row r="219" spans="2:27" ht="12.75" customHeight="1" x14ac:dyDescent="0.25">
      <c r="B219" s="42"/>
      <c r="AA219" s="43"/>
    </row>
    <row r="220" spans="2:27" ht="9.75" customHeight="1" x14ac:dyDescent="0.25">
      <c r="B220" s="42"/>
      <c r="AA220" s="43"/>
    </row>
    <row r="221" spans="2:27" ht="9.75" customHeight="1" x14ac:dyDescent="0.25">
      <c r="B221" s="42"/>
      <c r="AA221" s="43"/>
    </row>
    <row r="222" spans="2:27" ht="9.75" customHeight="1" x14ac:dyDescent="0.25">
      <c r="B222" s="42"/>
      <c r="AA222" s="43"/>
    </row>
    <row r="223" spans="2:27" ht="12.75" customHeight="1" x14ac:dyDescent="0.25">
      <c r="B223" s="42"/>
      <c r="AA223" s="43"/>
    </row>
    <row r="224" spans="2:27" ht="12.75" customHeight="1" x14ac:dyDescent="0.25">
      <c r="B224" s="42"/>
      <c r="AA224" s="43"/>
    </row>
    <row r="225" spans="2:27" ht="12.75" customHeight="1" x14ac:dyDescent="0.25">
      <c r="B225" s="42"/>
      <c r="AA225" s="43"/>
    </row>
    <row r="226" spans="2:27" ht="12.75" customHeight="1" x14ac:dyDescent="0.25">
      <c r="B226" s="42"/>
      <c r="AA226" s="43"/>
    </row>
    <row r="227" spans="2:27" ht="12.75" customHeight="1" x14ac:dyDescent="0.25">
      <c r="B227" s="42"/>
      <c r="AA227" s="43"/>
    </row>
    <row r="228" spans="2:27" ht="12.75" customHeight="1" x14ac:dyDescent="0.25">
      <c r="B228" s="42"/>
      <c r="AA228" s="43"/>
    </row>
    <row r="229" spans="2:27" ht="12.75" customHeight="1" x14ac:dyDescent="0.25">
      <c r="B229" s="42"/>
      <c r="AA229" s="43"/>
    </row>
    <row r="230" spans="2:27" ht="12.75" customHeight="1" x14ac:dyDescent="0.25">
      <c r="B230" s="42"/>
      <c r="AA230" s="43"/>
    </row>
    <row r="231" spans="2:27" ht="12.75" customHeight="1" x14ac:dyDescent="0.25">
      <c r="B231" s="42"/>
      <c r="AA231" s="43"/>
    </row>
    <row r="232" spans="2:27" ht="12.75" customHeight="1" x14ac:dyDescent="0.25">
      <c r="B232" s="42"/>
      <c r="AA232" s="43"/>
    </row>
    <row r="233" spans="2:27" ht="12.75" customHeight="1" x14ac:dyDescent="0.25">
      <c r="B233" s="42"/>
      <c r="AA233" s="43"/>
    </row>
    <row r="234" spans="2:27" ht="12.75" customHeight="1" x14ac:dyDescent="0.25">
      <c r="B234" s="42"/>
      <c r="AA234" s="43"/>
    </row>
    <row r="235" spans="2:27" ht="12.75" customHeight="1" x14ac:dyDescent="0.25">
      <c r="B235" s="42"/>
      <c r="AA235" s="43"/>
    </row>
    <row r="236" spans="2:27" ht="12.75" customHeight="1" x14ac:dyDescent="0.25">
      <c r="B236" s="42"/>
      <c r="AA236" s="43"/>
    </row>
    <row r="237" spans="2:27" ht="12.75" customHeight="1" x14ac:dyDescent="0.25">
      <c r="B237" s="42"/>
      <c r="AA237" s="43"/>
    </row>
    <row r="238" spans="2:27" ht="12.75" customHeight="1" x14ac:dyDescent="0.25">
      <c r="B238" s="42"/>
      <c r="AA238" s="43"/>
    </row>
    <row r="239" spans="2:27" ht="12.75" customHeight="1" x14ac:dyDescent="0.25">
      <c r="B239" s="42"/>
      <c r="AA239" s="43"/>
    </row>
    <row r="240" spans="2:27" ht="12.75" customHeight="1" x14ac:dyDescent="0.25">
      <c r="B240" s="42"/>
      <c r="AA240" s="43"/>
    </row>
    <row r="241" spans="2:27" ht="12.75" customHeight="1" x14ac:dyDescent="0.25">
      <c r="B241" s="42"/>
      <c r="AA241" s="43"/>
    </row>
    <row r="242" spans="2:27" ht="12.75" customHeight="1" x14ac:dyDescent="0.25">
      <c r="B242" s="42"/>
      <c r="AA242" s="43"/>
    </row>
    <row r="243" spans="2:27" ht="12.75" customHeight="1" x14ac:dyDescent="0.25">
      <c r="B243" s="42"/>
      <c r="AA243" s="43"/>
    </row>
    <row r="244" spans="2:27" ht="12.75" customHeight="1" x14ac:dyDescent="0.25">
      <c r="B244" s="42"/>
      <c r="AA244" s="43"/>
    </row>
    <row r="245" spans="2:27" ht="12.75" customHeight="1" x14ac:dyDescent="0.25">
      <c r="B245" s="42"/>
      <c r="AA245" s="43"/>
    </row>
    <row r="246" spans="2:27" ht="12.75" customHeight="1" x14ac:dyDescent="0.25">
      <c r="B246" s="42"/>
      <c r="AA246" s="43"/>
    </row>
    <row r="247" spans="2:27" ht="12.75" customHeight="1" x14ac:dyDescent="0.25">
      <c r="B247" s="42"/>
      <c r="AA247" s="43"/>
    </row>
    <row r="248" spans="2:27" ht="12.75" customHeight="1" x14ac:dyDescent="0.25">
      <c r="B248" s="42"/>
      <c r="AA248" s="43"/>
    </row>
    <row r="249" spans="2:27" ht="12.75" customHeight="1" x14ac:dyDescent="0.25">
      <c r="B249" s="42"/>
      <c r="AA249" s="43"/>
    </row>
    <row r="250" spans="2:27" ht="12.75" customHeight="1" x14ac:dyDescent="0.25">
      <c r="B250" s="42"/>
      <c r="AA250" s="43"/>
    </row>
    <row r="251" spans="2:27" ht="12.75" customHeight="1" x14ac:dyDescent="0.25">
      <c r="B251" s="42"/>
      <c r="AA251" s="43"/>
    </row>
    <row r="252" spans="2:27" ht="12.75" customHeight="1" x14ac:dyDescent="0.25">
      <c r="B252" s="42"/>
      <c r="AA252" s="43"/>
    </row>
    <row r="253" spans="2:27" ht="12.75" customHeight="1" x14ac:dyDescent="0.25">
      <c r="B253" s="42"/>
      <c r="AA253" s="43"/>
    </row>
    <row r="254" spans="2:27" ht="12.75" customHeight="1" x14ac:dyDescent="0.25">
      <c r="B254" s="42"/>
      <c r="AA254" s="43"/>
    </row>
    <row r="255" spans="2:27" ht="12.75" customHeight="1" x14ac:dyDescent="0.25">
      <c r="B255" s="42"/>
      <c r="AA255" s="43"/>
    </row>
    <row r="256" spans="2:27" ht="12.75" customHeight="1" x14ac:dyDescent="0.25">
      <c r="B256" s="42"/>
      <c r="AA256" s="43"/>
    </row>
    <row r="257" spans="2:27" ht="12.75" customHeight="1" x14ac:dyDescent="0.25">
      <c r="B257" s="42"/>
      <c r="AA257" s="43"/>
    </row>
    <row r="258" spans="2:27" ht="12.75" customHeight="1" x14ac:dyDescent="0.25">
      <c r="B258" s="42"/>
      <c r="AA258" s="43"/>
    </row>
    <row r="259" spans="2:27" ht="12.75" customHeight="1" x14ac:dyDescent="0.25">
      <c r="B259" s="42"/>
      <c r="AA259" s="43"/>
    </row>
    <row r="260" spans="2:27" ht="12.75" customHeight="1" x14ac:dyDescent="0.25">
      <c r="B260" s="42"/>
      <c r="AA260" s="43"/>
    </row>
    <row r="261" spans="2:27" ht="12.75" customHeight="1" x14ac:dyDescent="0.25">
      <c r="B261" s="42"/>
      <c r="AA261" s="43"/>
    </row>
    <row r="262" spans="2:27" ht="12.75" customHeight="1" x14ac:dyDescent="0.25">
      <c r="B262" s="42"/>
      <c r="AA262" s="43"/>
    </row>
    <row r="263" spans="2:27" ht="12.75" customHeight="1" x14ac:dyDescent="0.25">
      <c r="B263" s="42"/>
      <c r="AA263" s="43"/>
    </row>
    <row r="264" spans="2:27" ht="12.75" customHeight="1" x14ac:dyDescent="0.25">
      <c r="B264" s="42"/>
      <c r="AA264" s="43"/>
    </row>
    <row r="265" spans="2:27" ht="12.75" customHeight="1" x14ac:dyDescent="0.25">
      <c r="B265" s="42"/>
      <c r="AA265" s="43"/>
    </row>
    <row r="266" spans="2:27" ht="12.75" customHeight="1" x14ac:dyDescent="0.25">
      <c r="B266" s="42"/>
      <c r="AA266" s="43"/>
    </row>
    <row r="267" spans="2:27" ht="12.75" customHeight="1" x14ac:dyDescent="0.25">
      <c r="B267" s="42"/>
      <c r="AA267" s="43"/>
    </row>
    <row r="268" spans="2:27" ht="12.75" customHeight="1" x14ac:dyDescent="0.25">
      <c r="B268" s="42"/>
      <c r="AA268" s="43"/>
    </row>
    <row r="269" spans="2:27" ht="12.75" customHeight="1" x14ac:dyDescent="0.25">
      <c r="B269" s="42"/>
      <c r="AA269" s="43"/>
    </row>
    <row r="270" spans="2:27" ht="12.75" customHeight="1" x14ac:dyDescent="0.25">
      <c r="B270" s="42"/>
      <c r="AA270" s="43"/>
    </row>
    <row r="271" spans="2:27" ht="12.75" customHeight="1" x14ac:dyDescent="0.25">
      <c r="B271" s="42"/>
      <c r="AA271" s="43"/>
    </row>
    <row r="272" spans="2:27" ht="12.75" customHeight="1" x14ac:dyDescent="0.25">
      <c r="B272" s="42"/>
      <c r="AA272" s="43"/>
    </row>
    <row r="273" spans="2:27" ht="9.75" customHeight="1" x14ac:dyDescent="0.25">
      <c r="B273" s="42"/>
      <c r="AA273" s="43"/>
    </row>
    <row r="274" spans="2:27" ht="9.75" customHeight="1" x14ac:dyDescent="0.25">
      <c r="B274" s="42"/>
      <c r="AA274" s="43"/>
    </row>
    <row r="275" spans="2:27" ht="12.75" customHeight="1" x14ac:dyDescent="0.25">
      <c r="B275" s="42"/>
      <c r="AA275" s="43"/>
    </row>
    <row r="276" spans="2:27" ht="9.75" customHeight="1" x14ac:dyDescent="0.25">
      <c r="B276" s="42"/>
      <c r="AA276" s="43"/>
    </row>
    <row r="277" spans="2:27" ht="12.75" customHeight="1" x14ac:dyDescent="0.25">
      <c r="B277" s="42"/>
      <c r="AA277" s="43"/>
    </row>
    <row r="278" spans="2:27" ht="12.75" customHeight="1" x14ac:dyDescent="0.25">
      <c r="B278" s="42"/>
      <c r="AA278" s="43"/>
    </row>
    <row r="279" spans="2:27" ht="12.75" customHeight="1" x14ac:dyDescent="0.25">
      <c r="B279" s="42"/>
      <c r="AA279" s="43"/>
    </row>
    <row r="280" spans="2:27" ht="12.75" customHeight="1" x14ac:dyDescent="0.25">
      <c r="B280" s="42"/>
      <c r="AA280" s="43"/>
    </row>
    <row r="281" spans="2:27" ht="12.75" customHeight="1" x14ac:dyDescent="0.25">
      <c r="B281" s="42"/>
      <c r="AA281" s="43"/>
    </row>
    <row r="282" spans="2:27" ht="12.75" customHeight="1" x14ac:dyDescent="0.25">
      <c r="B282" s="42"/>
      <c r="AA282" s="43"/>
    </row>
    <row r="283" spans="2:27" ht="12.75" customHeight="1" x14ac:dyDescent="0.25">
      <c r="B283" s="42"/>
      <c r="AA283" s="43"/>
    </row>
    <row r="284" spans="2:27" ht="12.75" customHeight="1" x14ac:dyDescent="0.25">
      <c r="B284" s="42"/>
      <c r="AA284" s="43"/>
    </row>
    <row r="285" spans="2:27" ht="12.75" customHeight="1" x14ac:dyDescent="0.25">
      <c r="B285" s="42"/>
      <c r="AA285" s="43"/>
    </row>
    <row r="286" spans="2:27" ht="12.75" customHeight="1" x14ac:dyDescent="0.25">
      <c r="B286" s="42"/>
      <c r="AA286" s="43"/>
    </row>
    <row r="287" spans="2:27" ht="12.75" customHeight="1" x14ac:dyDescent="0.25">
      <c r="B287" s="42"/>
      <c r="AA287" s="43"/>
    </row>
    <row r="288" spans="2:27" ht="12.75" customHeight="1" x14ac:dyDescent="0.25">
      <c r="B288" s="42"/>
      <c r="AA288" s="43"/>
    </row>
    <row r="289" spans="2:27" ht="12.75" customHeight="1" x14ac:dyDescent="0.25">
      <c r="B289" s="42"/>
      <c r="AA289" s="43"/>
    </row>
    <row r="290" spans="2:27" ht="12.75" customHeight="1" x14ac:dyDescent="0.25">
      <c r="B290" s="42"/>
      <c r="AA290" s="43"/>
    </row>
    <row r="291" spans="2:27" ht="12.75" customHeight="1" x14ac:dyDescent="0.25">
      <c r="B291" s="42"/>
      <c r="AA291" s="43"/>
    </row>
    <row r="292" spans="2:27" ht="12.75" customHeight="1" x14ac:dyDescent="0.25">
      <c r="B292" s="42"/>
      <c r="AA292" s="43"/>
    </row>
    <row r="293" spans="2:27" ht="12.75" customHeight="1" x14ac:dyDescent="0.25">
      <c r="B293" s="42"/>
      <c r="AA293" s="43"/>
    </row>
    <row r="294" spans="2:27" ht="12.75" customHeight="1" x14ac:dyDescent="0.25">
      <c r="B294" s="42"/>
      <c r="AA294" s="43"/>
    </row>
    <row r="295" spans="2:27" ht="12.75" customHeight="1" x14ac:dyDescent="0.25">
      <c r="B295" s="42"/>
      <c r="AA295" s="43"/>
    </row>
    <row r="296" spans="2:27" ht="12.75" customHeight="1" x14ac:dyDescent="0.25">
      <c r="B296" s="42"/>
      <c r="AA296" s="43"/>
    </row>
    <row r="297" spans="2:27" ht="12.75" customHeight="1" x14ac:dyDescent="0.25">
      <c r="B297" s="42"/>
      <c r="AA297" s="43"/>
    </row>
    <row r="298" spans="2:27" ht="12.75" customHeight="1" x14ac:dyDescent="0.25">
      <c r="B298" s="42"/>
      <c r="AA298" s="43"/>
    </row>
    <row r="299" spans="2:27" ht="12.75" customHeight="1" x14ac:dyDescent="0.25">
      <c r="B299" s="42"/>
      <c r="AA299" s="43"/>
    </row>
    <row r="300" spans="2:27" ht="12.75" customHeight="1" x14ac:dyDescent="0.25">
      <c r="B300" s="42"/>
      <c r="AA300" s="43"/>
    </row>
    <row r="301" spans="2:27" ht="12.75" customHeight="1" x14ac:dyDescent="0.25">
      <c r="B301" s="42"/>
      <c r="AA301" s="43"/>
    </row>
    <row r="302" spans="2:27" ht="12.75" customHeight="1" x14ac:dyDescent="0.25">
      <c r="B302" s="42"/>
      <c r="AA302" s="43"/>
    </row>
    <row r="303" spans="2:27" ht="12.75" customHeight="1" x14ac:dyDescent="0.25">
      <c r="B303" s="42"/>
      <c r="AA303" s="43"/>
    </row>
    <row r="304" spans="2:27" ht="12.75" customHeight="1" x14ac:dyDescent="0.25">
      <c r="B304" s="42"/>
      <c r="AA304" s="43"/>
    </row>
    <row r="305" spans="2:27" ht="12.75" customHeight="1" x14ac:dyDescent="0.25">
      <c r="B305" s="42"/>
      <c r="AA305" s="43"/>
    </row>
    <row r="306" spans="2:27" ht="12.75" customHeight="1" x14ac:dyDescent="0.25">
      <c r="B306" s="42"/>
      <c r="AA306" s="43"/>
    </row>
    <row r="307" spans="2:27" ht="12.75" customHeight="1" x14ac:dyDescent="0.25">
      <c r="B307" s="42"/>
      <c r="AA307" s="43"/>
    </row>
    <row r="308" spans="2:27" ht="12.75" customHeight="1" x14ac:dyDescent="0.25">
      <c r="B308" s="42"/>
      <c r="AA308" s="43"/>
    </row>
    <row r="309" spans="2:27" ht="12.75" customHeight="1" x14ac:dyDescent="0.25">
      <c r="B309" s="42"/>
      <c r="AA309" s="43"/>
    </row>
    <row r="310" spans="2:27" ht="12.75" customHeight="1" x14ac:dyDescent="0.25">
      <c r="B310" s="42"/>
      <c r="AA310" s="43"/>
    </row>
    <row r="311" spans="2:27" ht="12.75" customHeight="1" x14ac:dyDescent="0.25">
      <c r="B311" s="42"/>
      <c r="AA311" s="43"/>
    </row>
    <row r="312" spans="2:27" ht="12.75" customHeight="1" x14ac:dyDescent="0.25">
      <c r="B312" s="42"/>
      <c r="AA312" s="43"/>
    </row>
    <row r="313" spans="2:27" ht="12.75" customHeight="1" x14ac:dyDescent="0.25">
      <c r="B313" s="42"/>
      <c r="AA313" s="43"/>
    </row>
    <row r="314" spans="2:27" ht="12.75" customHeight="1" x14ac:dyDescent="0.25">
      <c r="B314" s="42"/>
      <c r="AA314" s="43"/>
    </row>
    <row r="315" spans="2:27" ht="12.75" customHeight="1" x14ac:dyDescent="0.25">
      <c r="B315" s="42"/>
      <c r="AA315" s="43"/>
    </row>
    <row r="316" spans="2:27" ht="12.75" customHeight="1" x14ac:dyDescent="0.25">
      <c r="B316" s="42"/>
      <c r="AA316" s="43"/>
    </row>
    <row r="317" spans="2:27" ht="12.75" customHeight="1" x14ac:dyDescent="0.25">
      <c r="B317" s="42"/>
      <c r="AA317" s="43"/>
    </row>
    <row r="318" spans="2:27" ht="12.75" customHeight="1" x14ac:dyDescent="0.25">
      <c r="B318" s="42"/>
      <c r="AA318" s="43"/>
    </row>
    <row r="319" spans="2:27" ht="12.75" customHeight="1" x14ac:dyDescent="0.25">
      <c r="B319" s="42"/>
      <c r="AA319" s="43"/>
    </row>
    <row r="320" spans="2:27" ht="12.75" customHeight="1" x14ac:dyDescent="0.25">
      <c r="B320" s="42"/>
      <c r="AA320" s="43"/>
    </row>
    <row r="321" spans="2:27" ht="12.75" customHeight="1" x14ac:dyDescent="0.25">
      <c r="B321" s="42"/>
      <c r="AA321" s="43"/>
    </row>
    <row r="322" spans="2:27" ht="12.75" customHeight="1" x14ac:dyDescent="0.25">
      <c r="B322" s="42"/>
      <c r="AA322" s="43"/>
    </row>
    <row r="323" spans="2:27" ht="12.75" customHeight="1" x14ac:dyDescent="0.25">
      <c r="B323" s="42"/>
      <c r="AA323" s="43"/>
    </row>
    <row r="324" spans="2:27" ht="9.75" customHeight="1" x14ac:dyDescent="0.25">
      <c r="B324" s="42"/>
      <c r="AA324" s="43"/>
    </row>
    <row r="325" spans="2:27" ht="9.75" customHeight="1" x14ac:dyDescent="0.25">
      <c r="B325" s="42"/>
      <c r="AA325" s="43"/>
    </row>
    <row r="326" spans="2:27" ht="9.75" customHeight="1" x14ac:dyDescent="0.25">
      <c r="B326" s="42"/>
      <c r="AA326" s="43"/>
    </row>
    <row r="327" spans="2:27" ht="12.75" customHeight="1" x14ac:dyDescent="0.25">
      <c r="B327" s="42"/>
      <c r="AA327" s="43"/>
    </row>
    <row r="328" spans="2:27" ht="12.75" customHeight="1" x14ac:dyDescent="0.25">
      <c r="B328" s="42"/>
      <c r="AA328" s="43"/>
    </row>
    <row r="329" spans="2:27" ht="12.75" customHeight="1" x14ac:dyDescent="0.25">
      <c r="B329" s="42"/>
      <c r="AA329" s="43"/>
    </row>
    <row r="330" spans="2:27" ht="12.75" customHeight="1" x14ac:dyDescent="0.25">
      <c r="B330" s="42"/>
      <c r="AA330" s="43"/>
    </row>
    <row r="331" spans="2:27" ht="12.75" customHeight="1" x14ac:dyDescent="0.25">
      <c r="B331" s="42"/>
      <c r="AA331" s="43"/>
    </row>
    <row r="332" spans="2:27" ht="12.75" customHeight="1" x14ac:dyDescent="0.25">
      <c r="B332" s="42"/>
      <c r="AA332" s="43"/>
    </row>
    <row r="333" spans="2:27" ht="12.75" customHeight="1" x14ac:dyDescent="0.25">
      <c r="B333" s="42"/>
      <c r="AA333" s="43"/>
    </row>
    <row r="334" spans="2:27" ht="12.75" customHeight="1" x14ac:dyDescent="0.25">
      <c r="B334" s="42"/>
      <c r="AA334" s="43"/>
    </row>
    <row r="335" spans="2:27" ht="12.75" customHeight="1" x14ac:dyDescent="0.25">
      <c r="B335" s="42"/>
      <c r="AA335" s="43"/>
    </row>
    <row r="336" spans="2:27" ht="12.75" customHeight="1" x14ac:dyDescent="0.25">
      <c r="B336" s="42"/>
      <c r="AA336" s="43"/>
    </row>
    <row r="337" spans="2:27" ht="12.75" customHeight="1" x14ac:dyDescent="0.25">
      <c r="B337" s="42"/>
      <c r="AA337" s="43"/>
    </row>
    <row r="338" spans="2:27" ht="12.75" customHeight="1" x14ac:dyDescent="0.25">
      <c r="B338" s="42"/>
      <c r="AA338" s="43"/>
    </row>
    <row r="339" spans="2:27" ht="12.75" customHeight="1" x14ac:dyDescent="0.25">
      <c r="B339" s="42"/>
      <c r="AA339" s="43"/>
    </row>
    <row r="340" spans="2:27" ht="12.75" customHeight="1" x14ac:dyDescent="0.25">
      <c r="B340" s="42"/>
      <c r="AA340" s="43"/>
    </row>
    <row r="341" spans="2:27" ht="12.75" customHeight="1" x14ac:dyDescent="0.25">
      <c r="B341" s="42"/>
      <c r="AA341" s="43"/>
    </row>
    <row r="342" spans="2:27" ht="12.75" customHeight="1" x14ac:dyDescent="0.25">
      <c r="B342" s="42"/>
      <c r="AA342" s="43"/>
    </row>
    <row r="343" spans="2:27" ht="12.75" customHeight="1" x14ac:dyDescent="0.25">
      <c r="B343" s="42"/>
      <c r="AA343" s="43"/>
    </row>
    <row r="344" spans="2:27" ht="12.75" customHeight="1" x14ac:dyDescent="0.25">
      <c r="B344" s="42"/>
      <c r="AA344" s="43"/>
    </row>
    <row r="345" spans="2:27" ht="12.75" customHeight="1" x14ac:dyDescent="0.25">
      <c r="B345" s="42"/>
      <c r="AA345" s="43"/>
    </row>
    <row r="346" spans="2:27" ht="12.75" customHeight="1" x14ac:dyDescent="0.25">
      <c r="B346" s="42"/>
      <c r="AA346" s="43"/>
    </row>
    <row r="347" spans="2:27" ht="12.75" customHeight="1" x14ac:dyDescent="0.25">
      <c r="B347" s="42"/>
      <c r="AA347" s="43"/>
    </row>
    <row r="348" spans="2:27" ht="12.75" customHeight="1" x14ac:dyDescent="0.25">
      <c r="B348" s="42"/>
      <c r="AA348" s="43"/>
    </row>
    <row r="349" spans="2:27" ht="12.75" customHeight="1" x14ac:dyDescent="0.25">
      <c r="B349" s="42"/>
      <c r="AA349" s="43"/>
    </row>
    <row r="350" spans="2:27" ht="12.75" customHeight="1" x14ac:dyDescent="0.25">
      <c r="B350" s="42"/>
      <c r="AA350" s="43"/>
    </row>
    <row r="351" spans="2:27" ht="12.75" customHeight="1" x14ac:dyDescent="0.25">
      <c r="B351" s="42"/>
      <c r="AA351" s="43"/>
    </row>
    <row r="352" spans="2:27" ht="12.75" customHeight="1" x14ac:dyDescent="0.25">
      <c r="B352" s="42"/>
      <c r="AA352" s="43"/>
    </row>
    <row r="353" spans="2:27" ht="12.75" customHeight="1" x14ac:dyDescent="0.25">
      <c r="B353" s="42"/>
      <c r="AA353" s="43"/>
    </row>
    <row r="354" spans="2:27" ht="12.75" customHeight="1" x14ac:dyDescent="0.25">
      <c r="B354" s="42"/>
      <c r="AA354" s="43"/>
    </row>
    <row r="355" spans="2:27" ht="12.75" customHeight="1" x14ac:dyDescent="0.25">
      <c r="B355" s="42"/>
      <c r="AA355" s="43"/>
    </row>
    <row r="356" spans="2:27" ht="12.75" customHeight="1" x14ac:dyDescent="0.25">
      <c r="B356" s="42"/>
      <c r="AA356" s="43"/>
    </row>
    <row r="357" spans="2:27" ht="12.75" customHeight="1" x14ac:dyDescent="0.25">
      <c r="B357" s="42"/>
      <c r="AA357" s="43"/>
    </row>
    <row r="358" spans="2:27" ht="12.75" customHeight="1" x14ac:dyDescent="0.25">
      <c r="B358" s="42"/>
      <c r="AA358" s="43"/>
    </row>
    <row r="359" spans="2:27" ht="12.75" customHeight="1" x14ac:dyDescent="0.25">
      <c r="B359" s="42"/>
      <c r="AA359" s="43"/>
    </row>
    <row r="360" spans="2:27" ht="12.75" customHeight="1" x14ac:dyDescent="0.25">
      <c r="B360" s="42"/>
      <c r="AA360" s="43"/>
    </row>
    <row r="361" spans="2:27" ht="12.75" customHeight="1" x14ac:dyDescent="0.25">
      <c r="B361" s="42"/>
      <c r="AA361" s="43"/>
    </row>
    <row r="362" spans="2:27" ht="12.75" customHeight="1" x14ac:dyDescent="0.25">
      <c r="B362" s="42"/>
      <c r="AA362" s="43"/>
    </row>
    <row r="363" spans="2:27" ht="12.75" customHeight="1" x14ac:dyDescent="0.25">
      <c r="B363" s="42"/>
      <c r="AA363" s="43"/>
    </row>
    <row r="364" spans="2:27" ht="12.75" customHeight="1" x14ac:dyDescent="0.25">
      <c r="B364" s="42"/>
      <c r="AA364" s="43"/>
    </row>
    <row r="365" spans="2:27" ht="12.75" customHeight="1" x14ac:dyDescent="0.25">
      <c r="B365" s="42"/>
      <c r="AA365" s="43"/>
    </row>
    <row r="366" spans="2:27" ht="12.75" customHeight="1" x14ac:dyDescent="0.25">
      <c r="B366" s="42"/>
      <c r="AA366" s="43"/>
    </row>
    <row r="367" spans="2:27" ht="12.75" customHeight="1" x14ac:dyDescent="0.25">
      <c r="B367" s="42"/>
      <c r="AA367" s="43"/>
    </row>
    <row r="368" spans="2:27" ht="12.75" customHeight="1" x14ac:dyDescent="0.25">
      <c r="B368" s="42"/>
      <c r="AA368" s="43"/>
    </row>
    <row r="369" spans="2:27" ht="12.75" customHeight="1" x14ac:dyDescent="0.25">
      <c r="B369" s="42"/>
      <c r="AA369" s="43"/>
    </row>
    <row r="370" spans="2:27" ht="12.75" customHeight="1" x14ac:dyDescent="0.25">
      <c r="B370" s="42"/>
      <c r="AA370" s="43"/>
    </row>
    <row r="371" spans="2:27" ht="12.75" customHeight="1" x14ac:dyDescent="0.25">
      <c r="B371" s="42"/>
      <c r="AA371" s="43"/>
    </row>
    <row r="372" spans="2:27" ht="12.75" customHeight="1" x14ac:dyDescent="0.25">
      <c r="B372" s="42"/>
      <c r="AA372" s="43"/>
    </row>
    <row r="373" spans="2:27" ht="12.75" customHeight="1" x14ac:dyDescent="0.25">
      <c r="B373" s="42"/>
      <c r="AA373" s="43"/>
    </row>
    <row r="374" spans="2:27" ht="12.75" customHeight="1" x14ac:dyDescent="0.25">
      <c r="B374" s="42"/>
      <c r="AA374" s="43"/>
    </row>
    <row r="375" spans="2:27" ht="12.75" customHeight="1" x14ac:dyDescent="0.25">
      <c r="B375" s="42"/>
      <c r="AA375" s="43"/>
    </row>
    <row r="376" spans="2:27" ht="12.75" customHeight="1" x14ac:dyDescent="0.25">
      <c r="B376" s="42"/>
      <c r="AA376" s="43"/>
    </row>
    <row r="377" spans="2:27" ht="12.75" customHeight="1" x14ac:dyDescent="0.25">
      <c r="B377" s="42"/>
      <c r="AA377" s="43"/>
    </row>
    <row r="378" spans="2:27" ht="12.75" customHeight="1" x14ac:dyDescent="0.25">
      <c r="B378" s="42"/>
      <c r="AA378" s="43"/>
    </row>
    <row r="379" spans="2:27" ht="12.75" customHeight="1" x14ac:dyDescent="0.25">
      <c r="B379" s="42"/>
      <c r="AA379" s="43"/>
    </row>
    <row r="380" spans="2:27" ht="12.75" customHeight="1" x14ac:dyDescent="0.25">
      <c r="B380" s="42"/>
      <c r="AA380" s="43"/>
    </row>
    <row r="381" spans="2:27" ht="12.75" customHeight="1" x14ac:dyDescent="0.25">
      <c r="B381" s="42"/>
      <c r="AA381" s="43"/>
    </row>
    <row r="382" spans="2:27" ht="12.75" customHeight="1" x14ac:dyDescent="0.25">
      <c r="B382" s="42"/>
      <c r="AA382" s="43"/>
    </row>
    <row r="383" spans="2:27" ht="12.75" customHeight="1" x14ac:dyDescent="0.25">
      <c r="B383" s="42"/>
      <c r="AA383" s="43"/>
    </row>
    <row r="384" spans="2:27" ht="12.75" customHeight="1" x14ac:dyDescent="0.25">
      <c r="B384" s="42"/>
      <c r="AA384" s="43"/>
    </row>
    <row r="385" spans="2:27" ht="12.75" customHeight="1" x14ac:dyDescent="0.25">
      <c r="B385" s="42"/>
      <c r="AA385" s="43"/>
    </row>
    <row r="386" spans="2:27" ht="12.75" customHeight="1" x14ac:dyDescent="0.25">
      <c r="B386" s="42"/>
      <c r="AA386" s="43"/>
    </row>
    <row r="387" spans="2:27" ht="12.75" customHeight="1" x14ac:dyDescent="0.25">
      <c r="B387" s="42"/>
      <c r="AA387" s="43"/>
    </row>
    <row r="388" spans="2:27" ht="12.75" customHeight="1" x14ac:dyDescent="0.25">
      <c r="B388" s="42"/>
      <c r="AA388" s="43"/>
    </row>
    <row r="389" spans="2:27" ht="12.75" customHeight="1" x14ac:dyDescent="0.25">
      <c r="B389" s="42"/>
      <c r="AA389" s="43"/>
    </row>
    <row r="390" spans="2:27" ht="12.75" customHeight="1" x14ac:dyDescent="0.25">
      <c r="B390" s="42"/>
      <c r="AA390" s="43"/>
    </row>
    <row r="391" spans="2:27" ht="12.75" customHeight="1" x14ac:dyDescent="0.25">
      <c r="B391" s="42"/>
      <c r="AA391" s="43"/>
    </row>
    <row r="392" spans="2:27" ht="12.75" customHeight="1" x14ac:dyDescent="0.25">
      <c r="B392" s="42"/>
      <c r="AA392" s="43"/>
    </row>
    <row r="393" spans="2:27" ht="12.75" customHeight="1" x14ac:dyDescent="0.25">
      <c r="B393" s="42"/>
      <c r="AA393" s="43"/>
    </row>
    <row r="394" spans="2:27" ht="12.75" customHeight="1" x14ac:dyDescent="0.25">
      <c r="B394" s="42"/>
      <c r="AA394" s="43"/>
    </row>
    <row r="395" spans="2:27" ht="12.75" customHeight="1" x14ac:dyDescent="0.25">
      <c r="B395" s="42"/>
      <c r="AA395" s="43"/>
    </row>
    <row r="396" spans="2:27" ht="12.75" customHeight="1" x14ac:dyDescent="0.25">
      <c r="B396" s="42"/>
      <c r="AA396" s="43"/>
    </row>
    <row r="397" spans="2:27" ht="12.75" customHeight="1" x14ac:dyDescent="0.25">
      <c r="B397" s="42"/>
      <c r="AA397" s="43"/>
    </row>
    <row r="398" spans="2:27" ht="12.75" customHeight="1" x14ac:dyDescent="0.25">
      <c r="B398" s="42"/>
      <c r="AA398" s="43"/>
    </row>
    <row r="399" spans="2:27" ht="12.75" customHeight="1" x14ac:dyDescent="0.25">
      <c r="B399" s="42"/>
      <c r="AA399" s="43"/>
    </row>
    <row r="400" spans="2:27" ht="12.75" customHeight="1" x14ac:dyDescent="0.25">
      <c r="B400" s="42"/>
      <c r="AA400" s="43"/>
    </row>
    <row r="401" spans="2:27" ht="12.75" customHeight="1" x14ac:dyDescent="0.25">
      <c r="B401" s="42"/>
      <c r="AA401" s="43"/>
    </row>
    <row r="402" spans="2:27" ht="12.75" customHeight="1" x14ac:dyDescent="0.25">
      <c r="B402" s="42"/>
      <c r="AA402" s="43"/>
    </row>
    <row r="403" spans="2:27" ht="12.75" customHeight="1" x14ac:dyDescent="0.25">
      <c r="B403" s="42"/>
      <c r="AA403" s="43"/>
    </row>
    <row r="404" spans="2:27" ht="12.75" customHeight="1" x14ac:dyDescent="0.25">
      <c r="B404" s="42"/>
      <c r="AA404" s="43"/>
    </row>
    <row r="405" spans="2:27" ht="12.75" customHeight="1" x14ac:dyDescent="0.25">
      <c r="B405" s="42"/>
      <c r="AA405" s="43"/>
    </row>
    <row r="406" spans="2:27" ht="12.75" customHeight="1" x14ac:dyDescent="0.25">
      <c r="B406" s="42"/>
      <c r="AA406" s="43"/>
    </row>
    <row r="407" spans="2:27" ht="12.75" customHeight="1" x14ac:dyDescent="0.25">
      <c r="B407" s="42"/>
      <c r="AA407" s="43"/>
    </row>
    <row r="408" spans="2:27" ht="12.75" customHeight="1" x14ac:dyDescent="0.25">
      <c r="B408" s="42"/>
      <c r="AA408" s="43"/>
    </row>
    <row r="409" spans="2:27" ht="12.75" customHeight="1" x14ac:dyDescent="0.25">
      <c r="B409" s="42"/>
      <c r="AA409" s="43"/>
    </row>
    <row r="410" spans="2:27" ht="12.75" customHeight="1" x14ac:dyDescent="0.25">
      <c r="B410" s="42"/>
      <c r="AA410" s="43"/>
    </row>
    <row r="411" spans="2:27" ht="12.75" customHeight="1" x14ac:dyDescent="0.25">
      <c r="B411" s="42"/>
      <c r="AA411" s="43"/>
    </row>
    <row r="412" spans="2:27" ht="9.75" customHeight="1" x14ac:dyDescent="0.25">
      <c r="B412" s="42"/>
      <c r="AA412" s="43"/>
    </row>
    <row r="413" spans="2:27" ht="12.75" customHeight="1" x14ac:dyDescent="0.25">
      <c r="B413" s="42"/>
      <c r="AA413" s="43"/>
    </row>
    <row r="414" spans="2:27" ht="12.75" customHeight="1" x14ac:dyDescent="0.25">
      <c r="B414" s="42"/>
      <c r="AA414" s="43"/>
    </row>
    <row r="415" spans="2:27" ht="12.75" customHeight="1" x14ac:dyDescent="0.25">
      <c r="B415" s="42"/>
      <c r="AA415" s="43"/>
    </row>
    <row r="416" spans="2:27" ht="12.75" customHeight="1" x14ac:dyDescent="0.25">
      <c r="B416" s="42"/>
      <c r="AA416" s="43"/>
    </row>
    <row r="417" spans="2:27" ht="12.75" customHeight="1" x14ac:dyDescent="0.25">
      <c r="B417" s="42"/>
      <c r="AA417" s="43"/>
    </row>
    <row r="418" spans="2:27" ht="12.75" customHeight="1" x14ac:dyDescent="0.25">
      <c r="B418" s="42"/>
      <c r="AA418" s="43"/>
    </row>
    <row r="419" spans="2:27" ht="12.75" customHeight="1" x14ac:dyDescent="0.25">
      <c r="B419" s="44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54"/>
      <c r="X419" s="54"/>
      <c r="Y419" s="45"/>
      <c r="Z419" s="45"/>
      <c r="AA419" s="4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"/>
  <sheetViews>
    <sheetView zoomScaleNormal="100" workbookViewId="0"/>
  </sheetViews>
  <sheetFormatPr baseColWidth="10" defaultColWidth="12.69921875" defaultRowHeight="13.8" x14ac:dyDescent="0.25"/>
  <cols>
    <col min="1" max="26" width="11.3984375" customWidth="1"/>
  </cols>
  <sheetData>
    <row r="1" spans="1:18" ht="12.75" customHeight="1" x14ac:dyDescent="0.25"/>
    <row r="2" spans="1:18" ht="12.75" customHeight="1" x14ac:dyDescent="0.25">
      <c r="A2" s="26" t="s">
        <v>48</v>
      </c>
      <c r="I2" s="27" t="s">
        <v>49</v>
      </c>
      <c r="J2" s="28">
        <v>1</v>
      </c>
    </row>
    <row r="3" spans="1:18" ht="12.75" customHeight="1" x14ac:dyDescent="0.25"/>
    <row r="4" spans="1:18" ht="12.75" customHeight="1" x14ac:dyDescent="0.25">
      <c r="F4" s="29" t="s">
        <v>50</v>
      </c>
    </row>
    <row r="5" spans="1:18" ht="12.75" customHeight="1" x14ac:dyDescent="0.25"/>
    <row r="6" spans="1:18" ht="12.75" customHeight="1" x14ac:dyDescent="0.25">
      <c r="A6" s="27" t="s">
        <v>50</v>
      </c>
      <c r="D6" s="30" t="s">
        <v>51</v>
      </c>
      <c r="E6" s="31" t="s">
        <v>52</v>
      </c>
    </row>
    <row r="7" spans="1:18" ht="12.75" customHeight="1" x14ac:dyDescent="0.25"/>
    <row r="8" spans="1:18" ht="12.75" customHeight="1" x14ac:dyDescent="0.25"/>
    <row r="9" spans="1:18" ht="12.75" customHeight="1" x14ac:dyDescent="0.25">
      <c r="A9" s="27" t="s">
        <v>53</v>
      </c>
      <c r="C9" s="31" t="s">
        <v>54</v>
      </c>
      <c r="H9" s="27" t="s">
        <v>55</v>
      </c>
      <c r="J9" s="30" t="s">
        <v>56</v>
      </c>
    </row>
    <row r="10" spans="1:18" ht="12.75" customHeight="1" x14ac:dyDescent="0.25">
      <c r="A10" s="27" t="s">
        <v>57</v>
      </c>
      <c r="C10" s="31" t="s">
        <v>58</v>
      </c>
    </row>
    <row r="11" spans="1:18" ht="12.75" customHeight="1" x14ac:dyDescent="0.25"/>
    <row r="12" spans="1:18" ht="12.75" customHeight="1" x14ac:dyDescent="0.25">
      <c r="A12" s="31" t="s">
        <v>59</v>
      </c>
      <c r="C12" s="31" t="s">
        <v>60</v>
      </c>
      <c r="G12" s="31" t="s">
        <v>61</v>
      </c>
      <c r="H12" s="32" t="s">
        <v>62</v>
      </c>
      <c r="I12" s="32" t="s">
        <v>63</v>
      </c>
      <c r="J12" s="32" t="s">
        <v>64</v>
      </c>
    </row>
    <row r="13" spans="1:18" ht="12.75" customHeight="1" x14ac:dyDescent="0.25"/>
    <row r="14" spans="1:18" ht="12.75" customHeight="1" x14ac:dyDescent="0.25">
      <c r="A14" s="33" t="s">
        <v>65</v>
      </c>
      <c r="E14" s="34" t="s">
        <v>66</v>
      </c>
      <c r="R14" s="35">
        <v>23651.77</v>
      </c>
    </row>
    <row r="15" spans="1:18" ht="12.75" customHeight="1" x14ac:dyDescent="0.25"/>
    <row r="16" spans="1:18" ht="12.75" customHeight="1" x14ac:dyDescent="0.25">
      <c r="A16" s="33" t="s">
        <v>67</v>
      </c>
      <c r="C16" s="33" t="s">
        <v>68</v>
      </c>
      <c r="H16" s="33" t="s">
        <v>69</v>
      </c>
      <c r="I16" s="36">
        <v>18</v>
      </c>
      <c r="K16" s="36">
        <v>126.58</v>
      </c>
      <c r="O16" s="36">
        <v>2278.44</v>
      </c>
    </row>
    <row r="17" spans="1:18" ht="12.75" customHeight="1" x14ac:dyDescent="0.25"/>
    <row r="18" spans="1:18" ht="12.75" customHeight="1" x14ac:dyDescent="0.25">
      <c r="A18" s="33" t="s">
        <v>70</v>
      </c>
      <c r="C18" s="33" t="s">
        <v>71</v>
      </c>
      <c r="H18" s="33" t="s">
        <v>72</v>
      </c>
      <c r="I18" s="36">
        <v>1</v>
      </c>
      <c r="K18" s="36">
        <v>548.21</v>
      </c>
      <c r="O18" s="36">
        <v>548.21</v>
      </c>
    </row>
    <row r="19" spans="1:18" ht="12.75" customHeight="1" x14ac:dyDescent="0.25"/>
    <row r="20" spans="1:18" ht="12.75" customHeight="1" x14ac:dyDescent="0.25">
      <c r="A20" s="33" t="s">
        <v>73</v>
      </c>
      <c r="C20" s="33" t="s">
        <v>74</v>
      </c>
      <c r="H20" s="33" t="s">
        <v>75</v>
      </c>
      <c r="K20" s="36">
        <v>150</v>
      </c>
    </row>
    <row r="21" spans="1:18" ht="12.75" customHeight="1" x14ac:dyDescent="0.25"/>
    <row r="22" spans="1:18" ht="12.75" customHeight="1" x14ac:dyDescent="0.25">
      <c r="A22" s="33" t="s">
        <v>73</v>
      </c>
      <c r="C22" s="33" t="s">
        <v>76</v>
      </c>
      <c r="H22" s="33" t="s">
        <v>75</v>
      </c>
      <c r="K22" s="36">
        <v>350</v>
      </c>
    </row>
    <row r="23" spans="1:18" ht="12.75" customHeight="1" x14ac:dyDescent="0.25"/>
    <row r="24" spans="1:18" ht="12.75" customHeight="1" x14ac:dyDescent="0.25">
      <c r="A24" s="33" t="s">
        <v>77</v>
      </c>
      <c r="C24" s="33" t="s">
        <v>78</v>
      </c>
      <c r="H24" s="33" t="s">
        <v>79</v>
      </c>
      <c r="K24" s="36">
        <v>5140.74</v>
      </c>
    </row>
    <row r="25" spans="1:18" ht="12.75" customHeight="1" x14ac:dyDescent="0.25"/>
    <row r="26" spans="1:18" ht="12.75" customHeight="1" x14ac:dyDescent="0.25">
      <c r="A26" s="33" t="s">
        <v>80</v>
      </c>
      <c r="C26" s="33" t="s">
        <v>81</v>
      </c>
      <c r="H26" s="33" t="s">
        <v>69</v>
      </c>
      <c r="K26" s="36">
        <v>1.8</v>
      </c>
    </row>
    <row r="27" spans="1:18" ht="12.75" customHeight="1" x14ac:dyDescent="0.25"/>
    <row r="28" spans="1:18" ht="12.75" customHeight="1" x14ac:dyDescent="0.25">
      <c r="A28" s="33" t="s">
        <v>82</v>
      </c>
      <c r="C28" s="33" t="s">
        <v>83</v>
      </c>
      <c r="H28" s="33" t="s">
        <v>69</v>
      </c>
      <c r="I28" s="36">
        <v>576</v>
      </c>
      <c r="K28" s="36">
        <v>4.63</v>
      </c>
      <c r="O28" s="36">
        <v>2666.88</v>
      </c>
    </row>
    <row r="29" spans="1:18" ht="12.75" customHeight="1" x14ac:dyDescent="0.25"/>
    <row r="30" spans="1:18" ht="12.75" customHeight="1" x14ac:dyDescent="0.25">
      <c r="A30" s="33" t="s">
        <v>84</v>
      </c>
      <c r="C30" s="33" t="s">
        <v>85</v>
      </c>
      <c r="H30" s="33" t="s">
        <v>75</v>
      </c>
      <c r="I30" s="36">
        <v>6</v>
      </c>
      <c r="K30" s="36">
        <v>4598.63</v>
      </c>
      <c r="O30" s="36">
        <v>27591.78</v>
      </c>
    </row>
    <row r="31" spans="1:18" ht="12.75" customHeight="1" x14ac:dyDescent="0.25"/>
    <row r="32" spans="1:18" ht="12.75" customHeight="1" x14ac:dyDescent="0.25">
      <c r="A32" s="33" t="s">
        <v>86</v>
      </c>
      <c r="E32" s="34" t="s">
        <v>87</v>
      </c>
      <c r="R32" s="35">
        <v>159927.96</v>
      </c>
    </row>
    <row r="33" spans="1:15" ht="12.75" customHeight="1" x14ac:dyDescent="0.25"/>
    <row r="34" spans="1:15" ht="12.75" customHeight="1" x14ac:dyDescent="0.25">
      <c r="A34" s="33" t="s">
        <v>88</v>
      </c>
      <c r="C34" s="33" t="s">
        <v>89</v>
      </c>
      <c r="H34" s="33" t="s">
        <v>90</v>
      </c>
      <c r="I34" s="36">
        <v>378</v>
      </c>
      <c r="K34" s="36">
        <v>17.010000000000002</v>
      </c>
      <c r="O34" s="36">
        <v>6429.78</v>
      </c>
    </row>
    <row r="35" spans="1:15" ht="12.75" customHeight="1" x14ac:dyDescent="0.25"/>
    <row r="36" spans="1:15" ht="12.75" customHeight="1" x14ac:dyDescent="0.25">
      <c r="A36" s="33" t="s">
        <v>91</v>
      </c>
      <c r="C36" s="33" t="s">
        <v>92</v>
      </c>
      <c r="H36" s="33" t="s">
        <v>90</v>
      </c>
      <c r="K36" s="36">
        <v>32.26</v>
      </c>
    </row>
    <row r="37" spans="1:15" ht="12.75" customHeight="1" x14ac:dyDescent="0.25"/>
    <row r="38" spans="1:15" ht="12.75" customHeight="1" x14ac:dyDescent="0.25">
      <c r="A38" s="33" t="s">
        <v>93</v>
      </c>
      <c r="C38" s="33" t="s">
        <v>94</v>
      </c>
      <c r="H38" s="33" t="s">
        <v>90</v>
      </c>
      <c r="I38" s="36">
        <v>252.5</v>
      </c>
      <c r="K38" s="36">
        <v>33.18</v>
      </c>
      <c r="O38" s="36">
        <v>8377.9500000000007</v>
      </c>
    </row>
    <row r="39" spans="1:15" ht="12.75" customHeight="1" x14ac:dyDescent="0.25"/>
    <row r="40" spans="1:15" ht="12.75" customHeight="1" x14ac:dyDescent="0.25">
      <c r="A40" s="33" t="s">
        <v>95</v>
      </c>
      <c r="C40" s="33" t="s">
        <v>96</v>
      </c>
      <c r="H40" s="33" t="s">
        <v>69</v>
      </c>
      <c r="K40" s="36">
        <v>62.01</v>
      </c>
    </row>
    <row r="41" spans="1:15" ht="12.75" customHeight="1" x14ac:dyDescent="0.25"/>
    <row r="42" spans="1:15" ht="12.75" customHeight="1" x14ac:dyDescent="0.25">
      <c r="A42" s="33" t="s">
        <v>95</v>
      </c>
      <c r="C42" s="33" t="s">
        <v>97</v>
      </c>
      <c r="H42" s="33" t="s">
        <v>90</v>
      </c>
      <c r="I42" s="36">
        <v>176</v>
      </c>
      <c r="K42" s="36">
        <v>19.850000000000001</v>
      </c>
      <c r="O42" s="36">
        <v>3493.6</v>
      </c>
    </row>
    <row r="43" spans="1:15" ht="12.75" customHeight="1" x14ac:dyDescent="0.25"/>
    <row r="44" spans="1:15" ht="12.75" customHeight="1" x14ac:dyDescent="0.25">
      <c r="A44" s="33" t="s">
        <v>98</v>
      </c>
      <c r="C44" s="33" t="s">
        <v>99</v>
      </c>
      <c r="H44" s="33" t="s">
        <v>69</v>
      </c>
      <c r="K44" s="36">
        <v>28.03</v>
      </c>
    </row>
    <row r="45" spans="1:15" ht="12.75" customHeight="1" x14ac:dyDescent="0.25"/>
    <row r="46" spans="1:15" ht="12.75" customHeight="1" x14ac:dyDescent="0.25">
      <c r="A46" s="33" t="s">
        <v>100</v>
      </c>
      <c r="C46" s="33" t="s">
        <v>101</v>
      </c>
      <c r="H46" s="33" t="s">
        <v>69</v>
      </c>
      <c r="I46" s="36">
        <v>302.8</v>
      </c>
      <c r="K46" s="36">
        <v>56.64</v>
      </c>
      <c r="O46" s="36">
        <v>17150.59</v>
      </c>
    </row>
    <row r="47" spans="1:15" ht="12.75" customHeight="1" x14ac:dyDescent="0.25"/>
    <row r="48" spans="1:15" ht="12.75" customHeight="1" x14ac:dyDescent="0.25">
      <c r="A48" s="33" t="s">
        <v>102</v>
      </c>
      <c r="C48" s="33" t="s">
        <v>103</v>
      </c>
      <c r="H48" s="33" t="s">
        <v>104</v>
      </c>
      <c r="I48" s="36">
        <v>7724.37</v>
      </c>
      <c r="K48" s="36">
        <v>5.27</v>
      </c>
      <c r="O48" s="36">
        <v>40707.43</v>
      </c>
    </row>
    <row r="49" spans="1:18" ht="12.75" customHeight="1" x14ac:dyDescent="0.25"/>
    <row r="50" spans="1:18" ht="12.75" customHeight="1" x14ac:dyDescent="0.25">
      <c r="A50" s="33" t="s">
        <v>105</v>
      </c>
      <c r="C50" s="33" t="s">
        <v>106</v>
      </c>
      <c r="H50" s="33" t="s">
        <v>90</v>
      </c>
      <c r="K50" s="36">
        <v>389.41</v>
      </c>
    </row>
    <row r="51" spans="1:18" ht="12.75" customHeight="1" x14ac:dyDescent="0.25"/>
    <row r="52" spans="1:18" ht="12.75" customHeight="1" x14ac:dyDescent="0.25">
      <c r="A52" s="33" t="s">
        <v>107</v>
      </c>
      <c r="E52" s="34" t="s">
        <v>108</v>
      </c>
      <c r="R52" s="35">
        <v>27798.75</v>
      </c>
    </row>
    <row r="53" spans="1:18" ht="12.75" customHeight="1" x14ac:dyDescent="0.25"/>
    <row r="54" spans="1:18" ht="12.75" customHeight="1" x14ac:dyDescent="0.25">
      <c r="A54" s="33" t="s">
        <v>109</v>
      </c>
      <c r="C54" s="33" t="s">
        <v>110</v>
      </c>
      <c r="H54" s="33" t="s">
        <v>90</v>
      </c>
      <c r="K54" s="36">
        <v>480.33</v>
      </c>
    </row>
    <row r="55" spans="1:18" ht="12.75" customHeight="1" x14ac:dyDescent="0.25"/>
    <row r="56" spans="1:18" ht="12.75" customHeight="1" x14ac:dyDescent="0.25">
      <c r="A56" s="33" t="s">
        <v>111</v>
      </c>
      <c r="C56" s="33" t="s">
        <v>112</v>
      </c>
      <c r="H56" s="33" t="s">
        <v>72</v>
      </c>
      <c r="K56" s="36">
        <v>1563.11</v>
      </c>
    </row>
    <row r="57" spans="1:18" ht="12.75" customHeight="1" x14ac:dyDescent="0.25"/>
    <row r="58" spans="1:18" ht="12.75" customHeight="1" x14ac:dyDescent="0.25">
      <c r="A58" s="33" t="s">
        <v>113</v>
      </c>
      <c r="C58" s="33" t="s">
        <v>114</v>
      </c>
      <c r="H58" s="33" t="s">
        <v>72</v>
      </c>
      <c r="K58" s="36">
        <v>1022.97</v>
      </c>
    </row>
    <row r="59" spans="1:18" ht="12.75" customHeight="1" x14ac:dyDescent="0.25"/>
    <row r="60" spans="1:18" ht="12.75" customHeight="1" x14ac:dyDescent="0.25">
      <c r="A60" s="33" t="s">
        <v>115</v>
      </c>
      <c r="C60" s="33" t="s">
        <v>116</v>
      </c>
      <c r="H60" s="33" t="s">
        <v>72</v>
      </c>
      <c r="K60" s="36">
        <v>58.57</v>
      </c>
    </row>
    <row r="61" spans="1:18" ht="12.75" customHeight="1" x14ac:dyDescent="0.25"/>
    <row r="62" spans="1:18" ht="12.75" customHeight="1" x14ac:dyDescent="0.25">
      <c r="A62" s="33" t="s">
        <v>117</v>
      </c>
      <c r="C62" s="33" t="s">
        <v>118</v>
      </c>
      <c r="H62" s="33" t="s">
        <v>69</v>
      </c>
      <c r="K62" s="36">
        <v>61.92</v>
      </c>
    </row>
    <row r="63" spans="1:18" ht="12.75" customHeight="1" x14ac:dyDescent="0.25"/>
    <row r="64" spans="1:18" ht="12.75" customHeight="1" x14ac:dyDescent="0.25">
      <c r="A64" s="33" t="s">
        <v>119</v>
      </c>
      <c r="C64" s="33" t="s">
        <v>120</v>
      </c>
      <c r="H64" s="33" t="s">
        <v>90</v>
      </c>
      <c r="K64" s="36">
        <v>75.78</v>
      </c>
    </row>
    <row r="65" spans="1:15" ht="12.75" customHeight="1" x14ac:dyDescent="0.25"/>
    <row r="66" spans="1:15" ht="12.75" customHeight="1" x14ac:dyDescent="0.25">
      <c r="A66" s="33" t="s">
        <v>121</v>
      </c>
      <c r="E66" s="34" t="s">
        <v>122</v>
      </c>
    </row>
    <row r="67" spans="1:15" ht="12.75" customHeight="1" x14ac:dyDescent="0.25"/>
    <row r="68" spans="1:15" ht="12.75" customHeight="1" x14ac:dyDescent="0.25">
      <c r="A68" s="33" t="s">
        <v>123</v>
      </c>
      <c r="C68" s="33" t="s">
        <v>124</v>
      </c>
      <c r="H68" s="33" t="s">
        <v>69</v>
      </c>
      <c r="I68" s="36">
        <v>240.95</v>
      </c>
      <c r="K68" s="36">
        <v>68.25</v>
      </c>
      <c r="O68" s="36">
        <v>16444.84</v>
      </c>
    </row>
    <row r="69" spans="1:15" ht="12.75" customHeight="1" x14ac:dyDescent="0.25"/>
    <row r="70" spans="1:15" ht="12.75" customHeight="1" x14ac:dyDescent="0.25">
      <c r="A70" s="33" t="s">
        <v>125</v>
      </c>
      <c r="C70" s="33" t="s">
        <v>103</v>
      </c>
      <c r="H70" s="33" t="s">
        <v>104</v>
      </c>
      <c r="I70" s="36">
        <v>8027.14</v>
      </c>
      <c r="K70" s="36">
        <v>5.27</v>
      </c>
      <c r="O70" s="36">
        <v>42303.03</v>
      </c>
    </row>
    <row r="71" spans="1:15" ht="12.75" customHeight="1" x14ac:dyDescent="0.25"/>
    <row r="72" spans="1:15" ht="12.75" customHeight="1" x14ac:dyDescent="0.25">
      <c r="A72" s="33" t="s">
        <v>126</v>
      </c>
      <c r="C72" s="33" t="s">
        <v>127</v>
      </c>
      <c r="H72" s="33" t="s">
        <v>128</v>
      </c>
      <c r="K72" s="36">
        <v>9.31</v>
      </c>
    </row>
    <row r="73" spans="1:15" ht="12.75" customHeight="1" x14ac:dyDescent="0.25"/>
    <row r="74" spans="1:15" ht="12.75" customHeight="1" x14ac:dyDescent="0.25">
      <c r="A74" s="33" t="s">
        <v>129</v>
      </c>
      <c r="C74" s="33" t="s">
        <v>130</v>
      </c>
      <c r="H74" s="33" t="s">
        <v>90</v>
      </c>
      <c r="K74" s="36">
        <v>427.5</v>
      </c>
    </row>
    <row r="75" spans="1:15" ht="12.75" customHeight="1" x14ac:dyDescent="0.25"/>
    <row r="76" spans="1:15" ht="12.75" customHeight="1" x14ac:dyDescent="0.25">
      <c r="A76" s="33" t="s">
        <v>131</v>
      </c>
      <c r="E76" s="34" t="s">
        <v>132</v>
      </c>
    </row>
    <row r="77" spans="1:15" ht="12.75" customHeight="1" x14ac:dyDescent="0.25"/>
    <row r="78" spans="1:15" ht="12.75" customHeight="1" x14ac:dyDescent="0.25">
      <c r="A78" s="33" t="s">
        <v>133</v>
      </c>
      <c r="C78" s="33" t="s">
        <v>124</v>
      </c>
      <c r="H78" s="33" t="s">
        <v>69</v>
      </c>
      <c r="I78" s="36">
        <v>90</v>
      </c>
      <c r="K78" s="36">
        <v>68.25</v>
      </c>
      <c r="O78" s="36">
        <v>6142.5</v>
      </c>
    </row>
    <row r="79" spans="1:15" ht="12.75" customHeight="1" x14ac:dyDescent="0.25"/>
    <row r="80" spans="1:15" ht="12.75" customHeight="1" x14ac:dyDescent="0.25">
      <c r="A80" s="33" t="s">
        <v>134</v>
      </c>
      <c r="C80" s="33" t="s">
        <v>103</v>
      </c>
      <c r="H80" s="33" t="s">
        <v>104</v>
      </c>
      <c r="I80" s="36">
        <v>3291.79</v>
      </c>
      <c r="K80" s="36">
        <v>5.27</v>
      </c>
      <c r="O80" s="36">
        <v>17347.73</v>
      </c>
    </row>
    <row r="81" spans="1:15" ht="12.75" customHeight="1" x14ac:dyDescent="0.25"/>
    <row r="82" spans="1:15" ht="12.75" customHeight="1" x14ac:dyDescent="0.25">
      <c r="A82" s="33" t="s">
        <v>135</v>
      </c>
      <c r="C82" s="33" t="s">
        <v>136</v>
      </c>
      <c r="H82" s="33" t="s">
        <v>90</v>
      </c>
      <c r="K82" s="36">
        <v>431.4</v>
      </c>
    </row>
    <row r="83" spans="1:15" ht="12.75" customHeight="1" x14ac:dyDescent="0.25"/>
    <row r="84" spans="1:15" ht="12.75" customHeight="1" x14ac:dyDescent="0.25">
      <c r="A84" s="33" t="s">
        <v>137</v>
      </c>
      <c r="E84" s="34" t="s">
        <v>138</v>
      </c>
    </row>
    <row r="85" spans="1:15" ht="12.75" customHeight="1" x14ac:dyDescent="0.25"/>
    <row r="86" spans="1:15" ht="12.75" customHeight="1" x14ac:dyDescent="0.25">
      <c r="A86" s="33" t="s">
        <v>139</v>
      </c>
      <c r="C86" s="33" t="s">
        <v>124</v>
      </c>
      <c r="H86" s="33" t="s">
        <v>69</v>
      </c>
      <c r="I86" s="36">
        <v>35</v>
      </c>
      <c r="K86" s="36">
        <v>68.25</v>
      </c>
      <c r="O86" s="36">
        <v>2388.75</v>
      </c>
    </row>
    <row r="87" spans="1:15" ht="12.75" customHeight="1" x14ac:dyDescent="0.25"/>
    <row r="88" spans="1:15" ht="12.75" customHeight="1" x14ac:dyDescent="0.25">
      <c r="A88" s="33" t="s">
        <v>140</v>
      </c>
      <c r="C88" s="33" t="s">
        <v>103</v>
      </c>
      <c r="H88" s="33" t="s">
        <v>104</v>
      </c>
      <c r="I88" s="36">
        <v>943.35</v>
      </c>
      <c r="K88" s="36">
        <v>5.27</v>
      </c>
      <c r="O88" s="36">
        <v>4971.45</v>
      </c>
    </row>
    <row r="89" spans="1:15" ht="12.75" customHeight="1" x14ac:dyDescent="0.25"/>
    <row r="90" spans="1:15" ht="12.75" customHeight="1" x14ac:dyDescent="0.25">
      <c r="A90" s="33" t="s">
        <v>141</v>
      </c>
      <c r="C90" s="33" t="s">
        <v>136</v>
      </c>
      <c r="H90" s="33" t="s">
        <v>90</v>
      </c>
      <c r="K90" s="36">
        <v>431.4</v>
      </c>
    </row>
    <row r="91" spans="1:15" ht="12.75" customHeight="1" x14ac:dyDescent="0.25"/>
    <row r="92" spans="1:15" ht="12.75" customHeight="1" x14ac:dyDescent="0.25">
      <c r="A92" s="33" t="s">
        <v>142</v>
      </c>
      <c r="E92" s="34" t="s">
        <v>143</v>
      </c>
    </row>
    <row r="93" spans="1:15" ht="12.75" customHeight="1" x14ac:dyDescent="0.25"/>
    <row r="94" spans="1:15" ht="12.75" customHeight="1" x14ac:dyDescent="0.25">
      <c r="A94" s="33" t="s">
        <v>144</v>
      </c>
      <c r="E94" s="34" t="s">
        <v>66</v>
      </c>
    </row>
    <row r="95" spans="1:15" ht="12.75" customHeight="1" x14ac:dyDescent="0.25"/>
    <row r="96" spans="1:15" ht="12.75" customHeight="1" x14ac:dyDescent="0.25">
      <c r="A96" s="33" t="s">
        <v>145</v>
      </c>
      <c r="C96" s="33" t="s">
        <v>83</v>
      </c>
      <c r="H96" s="33" t="s">
        <v>69</v>
      </c>
      <c r="I96" s="36">
        <v>576</v>
      </c>
      <c r="K96" s="36">
        <v>4.63</v>
      </c>
      <c r="O96" s="36">
        <v>2666.88</v>
      </c>
    </row>
    <row r="97" spans="1:15" ht="12.75" customHeight="1" x14ac:dyDescent="0.25"/>
    <row r="98" spans="1:15" ht="12.75" customHeight="1" x14ac:dyDescent="0.25">
      <c r="A98" s="33" t="s">
        <v>146</v>
      </c>
      <c r="E98" s="34" t="s">
        <v>147</v>
      </c>
    </row>
    <row r="99" spans="1:15" ht="12.75" customHeight="1" x14ac:dyDescent="0.25"/>
    <row r="100" spans="1:15" ht="12.75" customHeight="1" x14ac:dyDescent="0.25">
      <c r="A100" s="33" t="s">
        <v>148</v>
      </c>
      <c r="C100" s="33" t="s">
        <v>149</v>
      </c>
      <c r="H100" s="33" t="s">
        <v>90</v>
      </c>
      <c r="I100" s="36">
        <v>502.8</v>
      </c>
      <c r="K100" s="36">
        <v>8.85</v>
      </c>
      <c r="O100" s="36">
        <v>4449.78</v>
      </c>
    </row>
    <row r="101" spans="1:15" ht="12.75" customHeight="1" x14ac:dyDescent="0.25"/>
    <row r="102" spans="1:15" ht="12.75" customHeight="1" x14ac:dyDescent="0.25">
      <c r="A102" s="33" t="s">
        <v>150</v>
      </c>
      <c r="C102" s="33" t="s">
        <v>151</v>
      </c>
      <c r="H102" s="33" t="s">
        <v>90</v>
      </c>
      <c r="I102" s="36">
        <v>502.8</v>
      </c>
      <c r="K102" s="36">
        <v>8.85</v>
      </c>
      <c r="O102" s="36">
        <v>4449.78</v>
      </c>
    </row>
    <row r="103" spans="1:15" ht="12.75" customHeight="1" x14ac:dyDescent="0.25"/>
    <row r="104" spans="1:15" ht="12.75" customHeight="1" x14ac:dyDescent="0.25">
      <c r="A104" s="33" t="s">
        <v>152</v>
      </c>
      <c r="C104" s="33" t="s">
        <v>153</v>
      </c>
      <c r="H104" s="33" t="s">
        <v>90</v>
      </c>
      <c r="I104" s="36">
        <v>502.8</v>
      </c>
      <c r="K104" s="36">
        <v>4.3099999999999996</v>
      </c>
      <c r="O104" s="36">
        <v>2167.0700000000002</v>
      </c>
    </row>
    <row r="105" spans="1:15" ht="12.75" customHeight="1" x14ac:dyDescent="0.25"/>
    <row r="106" spans="1:15" ht="12.75" customHeight="1" x14ac:dyDescent="0.25">
      <c r="A106" s="33" t="s">
        <v>154</v>
      </c>
      <c r="C106" s="33" t="s">
        <v>155</v>
      </c>
      <c r="H106" s="33" t="s">
        <v>90</v>
      </c>
      <c r="I106" s="36">
        <v>502.8</v>
      </c>
      <c r="K106" s="36">
        <v>22.44</v>
      </c>
      <c r="O106" s="36">
        <v>11282.83</v>
      </c>
    </row>
    <row r="107" spans="1:15" ht="12.75" customHeight="1" x14ac:dyDescent="0.25"/>
    <row r="108" spans="1:15" ht="12.75" customHeight="1" x14ac:dyDescent="0.25">
      <c r="A108" s="33" t="s">
        <v>154</v>
      </c>
      <c r="C108" s="33" t="s">
        <v>156</v>
      </c>
      <c r="H108" s="33" t="s">
        <v>90</v>
      </c>
      <c r="K108" s="36">
        <v>7.81</v>
      </c>
    </row>
    <row r="109" spans="1:15" ht="12.75" customHeight="1" x14ac:dyDescent="0.25"/>
    <row r="110" spans="1:15" ht="12.75" customHeight="1" x14ac:dyDescent="0.25">
      <c r="A110" s="33" t="s">
        <v>157</v>
      </c>
      <c r="C110" s="33" t="s">
        <v>158</v>
      </c>
      <c r="H110" s="33" t="s">
        <v>90</v>
      </c>
      <c r="K110" s="36">
        <v>6.95</v>
      </c>
    </row>
    <row r="111" spans="1:15" ht="12.75" customHeight="1" x14ac:dyDescent="0.25"/>
    <row r="112" spans="1:15" ht="12.75" customHeight="1" x14ac:dyDescent="0.25">
      <c r="A112" s="33" t="s">
        <v>159</v>
      </c>
      <c r="C112" s="33" t="s">
        <v>160</v>
      </c>
      <c r="H112" s="33" t="s">
        <v>69</v>
      </c>
      <c r="K112" s="36">
        <v>32.409999999999997</v>
      </c>
    </row>
    <row r="113" spans="1:15" ht="12.75" customHeight="1" x14ac:dyDescent="0.25"/>
    <row r="114" spans="1:15" ht="12.75" customHeight="1" x14ac:dyDescent="0.25">
      <c r="A114" s="33" t="s">
        <v>161</v>
      </c>
      <c r="E114" s="34" t="s">
        <v>162</v>
      </c>
    </row>
    <row r="115" spans="1:15" ht="12.75" customHeight="1" x14ac:dyDescent="0.25"/>
    <row r="116" spans="1:15" ht="12.75" customHeight="1" x14ac:dyDescent="0.25">
      <c r="A116" s="33" t="s">
        <v>163</v>
      </c>
      <c r="E116" s="34" t="s">
        <v>66</v>
      </c>
    </row>
    <row r="117" spans="1:15" ht="12.75" customHeight="1" x14ac:dyDescent="0.25"/>
    <row r="118" spans="1:15" ht="12.75" customHeight="1" x14ac:dyDescent="0.25">
      <c r="A118" s="33" t="s">
        <v>164</v>
      </c>
      <c r="C118" s="33" t="s">
        <v>81</v>
      </c>
      <c r="H118" s="33" t="s">
        <v>69</v>
      </c>
      <c r="K118" s="36">
        <v>1.8</v>
      </c>
    </row>
    <row r="119" spans="1:15" ht="12.75" customHeight="1" x14ac:dyDescent="0.25"/>
    <row r="120" spans="1:15" ht="12.75" customHeight="1" x14ac:dyDescent="0.25">
      <c r="A120" s="33" t="s">
        <v>165</v>
      </c>
      <c r="C120" s="33" t="s">
        <v>83</v>
      </c>
      <c r="H120" s="33" t="s">
        <v>69</v>
      </c>
      <c r="I120" s="36">
        <v>576</v>
      </c>
      <c r="K120" s="36">
        <v>4.63</v>
      </c>
      <c r="O120" s="36">
        <v>2666.88</v>
      </c>
    </row>
    <row r="121" spans="1:15" ht="12.75" customHeight="1" x14ac:dyDescent="0.25"/>
    <row r="122" spans="1:15" ht="12.75" customHeight="1" x14ac:dyDescent="0.25">
      <c r="A122" s="33" t="s">
        <v>166</v>
      </c>
      <c r="E122" s="34" t="s">
        <v>147</v>
      </c>
    </row>
    <row r="123" spans="1:15" ht="12.75" customHeight="1" x14ac:dyDescent="0.25"/>
    <row r="124" spans="1:15" ht="12.75" customHeight="1" x14ac:dyDescent="0.25">
      <c r="A124" s="33" t="s">
        <v>167</v>
      </c>
      <c r="C124" s="33" t="s">
        <v>89</v>
      </c>
      <c r="H124" s="33" t="s">
        <v>90</v>
      </c>
      <c r="I124" s="36">
        <v>378</v>
      </c>
      <c r="K124" s="36">
        <v>17.010000000000002</v>
      </c>
      <c r="O124" s="36">
        <v>6429.78</v>
      </c>
    </row>
    <row r="125" spans="1:15" ht="12.75" customHeight="1" x14ac:dyDescent="0.25"/>
    <row r="126" spans="1:15" ht="12.75" customHeight="1" x14ac:dyDescent="0.25">
      <c r="A126" s="33" t="s">
        <v>168</v>
      </c>
      <c r="C126" s="33" t="s">
        <v>94</v>
      </c>
      <c r="H126" s="33" t="s">
        <v>90</v>
      </c>
      <c r="I126" s="36">
        <v>252.5</v>
      </c>
      <c r="K126" s="36">
        <v>33.18</v>
      </c>
      <c r="O126" s="36">
        <v>8377.9500000000007</v>
      </c>
    </row>
    <row r="127" spans="1:15" ht="12.75" customHeight="1" x14ac:dyDescent="0.25"/>
    <row r="128" spans="1:15" ht="12.75" customHeight="1" x14ac:dyDescent="0.25">
      <c r="A128" s="33" t="s">
        <v>169</v>
      </c>
      <c r="C128" s="33" t="s">
        <v>96</v>
      </c>
      <c r="H128" s="33" t="s">
        <v>69</v>
      </c>
      <c r="K128" s="36">
        <v>62.01</v>
      </c>
    </row>
    <row r="129" spans="1:18" ht="12.75" customHeight="1" x14ac:dyDescent="0.25"/>
    <row r="130" spans="1:18" ht="12.75" customHeight="1" x14ac:dyDescent="0.25">
      <c r="A130" s="33" t="s">
        <v>170</v>
      </c>
      <c r="C130" s="33" t="s">
        <v>97</v>
      </c>
      <c r="H130" s="33" t="s">
        <v>90</v>
      </c>
      <c r="I130" s="36">
        <v>176</v>
      </c>
      <c r="K130" s="36">
        <v>22.07</v>
      </c>
      <c r="O130" s="36">
        <v>3884.32</v>
      </c>
    </row>
    <row r="131" spans="1:18" ht="12.75" customHeight="1" x14ac:dyDescent="0.25"/>
    <row r="132" spans="1:18" ht="12.75" customHeight="1" x14ac:dyDescent="0.25">
      <c r="A132" s="33" t="s">
        <v>171</v>
      </c>
      <c r="E132" s="34" t="s">
        <v>172</v>
      </c>
    </row>
    <row r="133" spans="1:18" ht="12.75" customHeight="1" x14ac:dyDescent="0.25"/>
    <row r="134" spans="1:18" ht="12.75" customHeight="1" x14ac:dyDescent="0.25">
      <c r="A134" s="33" t="s">
        <v>173</v>
      </c>
      <c r="C134" s="33" t="s">
        <v>174</v>
      </c>
      <c r="H134" s="33" t="s">
        <v>90</v>
      </c>
      <c r="K134" s="36">
        <v>207.31</v>
      </c>
    </row>
    <row r="135" spans="1:18" ht="12.75" customHeight="1" x14ac:dyDescent="0.25"/>
    <row r="136" spans="1:18" ht="12.75" customHeight="1" x14ac:dyDescent="0.25">
      <c r="A136" s="33" t="s">
        <v>175</v>
      </c>
      <c r="C136" s="33" t="s">
        <v>176</v>
      </c>
      <c r="H136" s="33" t="s">
        <v>69</v>
      </c>
      <c r="K136" s="36">
        <v>74.14</v>
      </c>
    </row>
    <row r="137" spans="1:18" ht="12.75" customHeight="1" x14ac:dyDescent="0.25"/>
    <row r="138" spans="1:18" ht="12.75" customHeight="1" x14ac:dyDescent="0.25">
      <c r="A138" s="33" t="s">
        <v>177</v>
      </c>
      <c r="E138" s="34" t="s">
        <v>178</v>
      </c>
      <c r="R138" s="35">
        <v>22667.599999999999</v>
      </c>
    </row>
    <row r="139" spans="1:18" ht="12.75" customHeight="1" x14ac:dyDescent="0.25"/>
    <row r="140" spans="1:18" ht="12.75" customHeight="1" x14ac:dyDescent="0.25">
      <c r="A140" s="33" t="s">
        <v>179</v>
      </c>
      <c r="C140" s="33" t="s">
        <v>180</v>
      </c>
      <c r="H140" s="33" t="s">
        <v>72</v>
      </c>
      <c r="I140" s="36">
        <v>2</v>
      </c>
      <c r="K140" s="36">
        <v>3106.52</v>
      </c>
      <c r="O140" s="36">
        <v>6213.04</v>
      </c>
    </row>
    <row r="141" spans="1:18" ht="12.75" customHeight="1" x14ac:dyDescent="0.25"/>
    <row r="142" spans="1:18" ht="12.75" customHeight="1" x14ac:dyDescent="0.25">
      <c r="A142" s="33" t="s">
        <v>181</v>
      </c>
      <c r="C142" s="33" t="s">
        <v>182</v>
      </c>
      <c r="H142" s="33" t="s">
        <v>72</v>
      </c>
      <c r="I142" s="36">
        <v>2</v>
      </c>
      <c r="K142" s="36">
        <v>4606.5200000000004</v>
      </c>
      <c r="O142" s="36">
        <v>9213.0400000000009</v>
      </c>
    </row>
    <row r="143" spans="1:18" ht="12.75" customHeight="1" x14ac:dyDescent="0.25"/>
    <row r="144" spans="1:18" ht="12.75" customHeight="1" x14ac:dyDescent="0.25">
      <c r="A144" s="33" t="s">
        <v>183</v>
      </c>
      <c r="C144" s="33" t="s">
        <v>184</v>
      </c>
      <c r="H144" s="33" t="s">
        <v>185</v>
      </c>
      <c r="I144" s="36">
        <v>19.2</v>
      </c>
      <c r="K144" s="36">
        <v>8.6999999999999993</v>
      </c>
      <c r="O144" s="36">
        <v>167.04</v>
      </c>
    </row>
    <row r="145" spans="1:15" ht="12.75" customHeight="1" x14ac:dyDescent="0.25"/>
    <row r="146" spans="1:15" ht="12.75" customHeight="1" x14ac:dyDescent="0.25">
      <c r="A146" s="33" t="s">
        <v>186</v>
      </c>
      <c r="C146" s="33" t="s">
        <v>187</v>
      </c>
      <c r="H146" s="33" t="s">
        <v>185</v>
      </c>
      <c r="I146" s="36">
        <v>7.2</v>
      </c>
      <c r="K146" s="36">
        <v>166.09</v>
      </c>
      <c r="O146" s="36">
        <v>1195.8499999999999</v>
      </c>
    </row>
    <row r="147" spans="1:15" ht="12.75" customHeight="1" x14ac:dyDescent="0.25"/>
    <row r="148" spans="1:15" ht="12.75" customHeight="1" x14ac:dyDescent="0.25">
      <c r="A148" s="33" t="s">
        <v>188</v>
      </c>
      <c r="C148" s="33" t="s">
        <v>189</v>
      </c>
      <c r="H148" s="33" t="s">
        <v>185</v>
      </c>
      <c r="I148" s="36">
        <v>50</v>
      </c>
      <c r="K148" s="36">
        <v>798.3</v>
      </c>
      <c r="O148" s="36">
        <v>39915</v>
      </c>
    </row>
    <row r="149" spans="1:15" ht="12.75" customHeight="1" x14ac:dyDescent="0.25"/>
    <row r="150" spans="1:15" ht="12.75" customHeight="1" x14ac:dyDescent="0.25">
      <c r="A150" s="33" t="s">
        <v>190</v>
      </c>
      <c r="C150" s="33" t="s">
        <v>191</v>
      </c>
      <c r="H150" s="33" t="s">
        <v>69</v>
      </c>
      <c r="I150" s="36">
        <v>81.599999999999994</v>
      </c>
      <c r="K150" s="36">
        <v>8.57</v>
      </c>
      <c r="O150" s="36">
        <v>699.31</v>
      </c>
    </row>
    <row r="151" spans="1:15" ht="12.75" customHeight="1" x14ac:dyDescent="0.25"/>
    <row r="152" spans="1:15" ht="12.75" customHeight="1" x14ac:dyDescent="0.25">
      <c r="A152" s="33" t="s">
        <v>192</v>
      </c>
      <c r="C152" s="33" t="s">
        <v>193</v>
      </c>
      <c r="H152" s="33" t="s">
        <v>185</v>
      </c>
      <c r="I152" s="36">
        <v>6</v>
      </c>
      <c r="K152" s="36">
        <v>13.27</v>
      </c>
      <c r="O152" s="36">
        <v>79.62</v>
      </c>
    </row>
    <row r="153" spans="1:15" ht="12.75" customHeight="1" x14ac:dyDescent="0.25"/>
    <row r="154" spans="1:15" ht="12.75" customHeight="1" x14ac:dyDescent="0.25">
      <c r="A154" s="33" t="s">
        <v>194</v>
      </c>
      <c r="C154" s="33" t="s">
        <v>195</v>
      </c>
      <c r="H154" s="33" t="s">
        <v>72</v>
      </c>
      <c r="I154" s="36">
        <v>1</v>
      </c>
      <c r="K154" s="36">
        <v>700</v>
      </c>
      <c r="O154" s="36">
        <v>700</v>
      </c>
    </row>
    <row r="155" spans="1:15" ht="12.75" customHeight="1" x14ac:dyDescent="0.25"/>
    <row r="156" spans="1:15" ht="12.75" customHeight="1" x14ac:dyDescent="0.25">
      <c r="A156" s="33" t="s">
        <v>196</v>
      </c>
      <c r="E156" s="34" t="s">
        <v>197</v>
      </c>
    </row>
    <row r="157" spans="1:15" ht="12.75" customHeight="1" x14ac:dyDescent="0.25"/>
    <row r="158" spans="1:15" ht="12.75" customHeight="1" x14ac:dyDescent="0.25">
      <c r="A158" s="33" t="s">
        <v>198</v>
      </c>
      <c r="C158" s="33" t="s">
        <v>199</v>
      </c>
      <c r="H158" s="33" t="s">
        <v>72</v>
      </c>
      <c r="K158" s="36">
        <v>486.46</v>
      </c>
    </row>
    <row r="159" spans="1:15" ht="12.75" customHeight="1" x14ac:dyDescent="0.25"/>
    <row r="160" spans="1:15" ht="12.75" customHeight="1" x14ac:dyDescent="0.25">
      <c r="A160" s="33" t="s">
        <v>200</v>
      </c>
      <c r="C160" s="33" t="s">
        <v>201</v>
      </c>
      <c r="H160" s="33" t="s">
        <v>72</v>
      </c>
      <c r="K160" s="36">
        <v>636.46</v>
      </c>
    </row>
    <row r="161" spans="1:18" ht="12.75" customHeight="1" x14ac:dyDescent="0.25"/>
    <row r="162" spans="1:18" ht="12.75" customHeight="1" x14ac:dyDescent="0.25">
      <c r="A162" s="33" t="s">
        <v>202</v>
      </c>
      <c r="C162" s="33" t="s">
        <v>203</v>
      </c>
      <c r="H162" s="33" t="s">
        <v>72</v>
      </c>
      <c r="K162" s="36">
        <v>536.46</v>
      </c>
    </row>
    <row r="163" spans="1:18" ht="12.75" customHeight="1" x14ac:dyDescent="0.25"/>
    <row r="164" spans="1:18" ht="12.75" customHeight="1" x14ac:dyDescent="0.25">
      <c r="A164" s="33" t="s">
        <v>204</v>
      </c>
      <c r="C164" s="33" t="s">
        <v>205</v>
      </c>
      <c r="H164" s="33" t="s">
        <v>185</v>
      </c>
      <c r="K164" s="36">
        <v>10.16</v>
      </c>
    </row>
    <row r="165" spans="1:18" ht="12.75" customHeight="1" x14ac:dyDescent="0.25"/>
    <row r="166" spans="1:18" ht="12.75" customHeight="1" x14ac:dyDescent="0.25">
      <c r="A166" s="33" t="s">
        <v>206</v>
      </c>
      <c r="C166" s="33" t="s">
        <v>207</v>
      </c>
      <c r="H166" s="33" t="s">
        <v>69</v>
      </c>
      <c r="I166" s="36">
        <v>12.5</v>
      </c>
      <c r="K166" s="36">
        <v>16.48</v>
      </c>
      <c r="O166" s="36">
        <v>206</v>
      </c>
    </row>
    <row r="167" spans="1:18" ht="12.75" customHeight="1" x14ac:dyDescent="0.25"/>
    <row r="168" spans="1:18" ht="12.75" customHeight="1" x14ac:dyDescent="0.25">
      <c r="A168" s="33" t="s">
        <v>208</v>
      </c>
      <c r="E168" s="34" t="s">
        <v>209</v>
      </c>
      <c r="R168" s="35">
        <v>2800.59</v>
      </c>
    </row>
    <row r="169" spans="1:18" ht="12.75" customHeight="1" x14ac:dyDescent="0.25"/>
    <row r="170" spans="1:18" ht="12.75" customHeight="1" x14ac:dyDescent="0.25">
      <c r="A170" s="33" t="s">
        <v>210</v>
      </c>
      <c r="C170" s="33" t="s">
        <v>211</v>
      </c>
      <c r="H170" s="33" t="s">
        <v>69</v>
      </c>
      <c r="I170" s="36">
        <v>600</v>
      </c>
      <c r="K170" s="36">
        <v>4.2</v>
      </c>
      <c r="O170" s="36">
        <v>2520</v>
      </c>
    </row>
    <row r="171" spans="1:18" ht="12.75" customHeight="1" x14ac:dyDescent="0.25"/>
    <row r="172" spans="1:18" ht="12.75" customHeight="1" x14ac:dyDescent="0.25">
      <c r="A172" s="33" t="s">
        <v>212</v>
      </c>
      <c r="C172" s="33" t="s">
        <v>213</v>
      </c>
      <c r="H172" s="33" t="s">
        <v>69</v>
      </c>
      <c r="I172" s="36">
        <v>18</v>
      </c>
      <c r="K172" s="36">
        <v>2.0099999999999998</v>
      </c>
      <c r="O172" s="36">
        <v>36.18</v>
      </c>
    </row>
    <row r="173" spans="1:18" ht="12.75" customHeight="1" x14ac:dyDescent="0.25"/>
    <row r="174" spans="1:18" ht="12.75" customHeight="1" x14ac:dyDescent="0.25">
      <c r="A174" s="33" t="s">
        <v>214</v>
      </c>
      <c r="E174" s="34" t="s">
        <v>215</v>
      </c>
      <c r="R174" s="35">
        <v>5000</v>
      </c>
    </row>
    <row r="175" spans="1:18" ht="12.75" customHeight="1" x14ac:dyDescent="0.25"/>
    <row r="176" spans="1:18" ht="12.75" customHeight="1" x14ac:dyDescent="0.25">
      <c r="A176" s="33" t="s">
        <v>216</v>
      </c>
      <c r="C176" s="33" t="s">
        <v>217</v>
      </c>
      <c r="H176" s="33" t="s">
        <v>72</v>
      </c>
      <c r="I176" s="36">
        <v>3</v>
      </c>
      <c r="K176" s="36">
        <v>1200</v>
      </c>
      <c r="O176" s="36">
        <v>3600</v>
      </c>
    </row>
    <row r="177" spans="1:18" ht="12.75" customHeight="1" x14ac:dyDescent="0.25"/>
    <row r="178" spans="1:18" ht="12.75" customHeight="1" x14ac:dyDescent="0.25">
      <c r="A178" s="33" t="s">
        <v>218</v>
      </c>
      <c r="C178" s="33" t="s">
        <v>219</v>
      </c>
      <c r="H178" s="33" t="s">
        <v>72</v>
      </c>
      <c r="I178" s="36">
        <v>1</v>
      </c>
      <c r="K178" s="36">
        <v>400</v>
      </c>
      <c r="O178" s="36">
        <v>400</v>
      </c>
    </row>
    <row r="179" spans="1:18" ht="12.75" customHeight="1" x14ac:dyDescent="0.25"/>
    <row r="180" spans="1:18" ht="12.75" customHeight="1" x14ac:dyDescent="0.25">
      <c r="A180" s="33" t="s">
        <v>220</v>
      </c>
      <c r="C180" s="33" t="s">
        <v>221</v>
      </c>
      <c r="H180" s="33" t="s">
        <v>72</v>
      </c>
      <c r="I180" s="36">
        <v>2</v>
      </c>
      <c r="K180" s="36">
        <v>500</v>
      </c>
      <c r="O180" s="36">
        <v>1000</v>
      </c>
    </row>
    <row r="181" spans="1:18" ht="12.75" customHeight="1" x14ac:dyDescent="0.25"/>
    <row r="182" spans="1:18" ht="12.75" customHeight="1" x14ac:dyDescent="0.25">
      <c r="A182" s="33" t="s">
        <v>222</v>
      </c>
      <c r="E182" s="34" t="s">
        <v>223</v>
      </c>
      <c r="R182" s="35">
        <v>26167.200000000001</v>
      </c>
    </row>
    <row r="183" spans="1:18" ht="12.75" customHeight="1" x14ac:dyDescent="0.25"/>
    <row r="184" spans="1:18" ht="12.75" customHeight="1" x14ac:dyDescent="0.25">
      <c r="A184" s="33" t="s">
        <v>224</v>
      </c>
      <c r="C184" s="33" t="s">
        <v>225</v>
      </c>
      <c r="H184" s="33" t="s">
        <v>226</v>
      </c>
      <c r="I184" s="36">
        <v>218.06</v>
      </c>
      <c r="K184" s="36">
        <v>120</v>
      </c>
      <c r="O184" s="36">
        <v>26167.200000000001</v>
      </c>
    </row>
    <row r="185" spans="1:18" ht="12.75" customHeight="1" x14ac:dyDescent="0.25"/>
    <row r="186" spans="1:18" ht="12.75" customHeight="1" x14ac:dyDescent="0.25">
      <c r="I186" s="37" t="s">
        <v>227</v>
      </c>
      <c r="J186" s="38">
        <v>41254.838900462964</v>
      </c>
    </row>
    <row r="187" spans="1:18" ht="12.75" customHeight="1" x14ac:dyDescent="0.25"/>
    <row r="188" spans="1:18" ht="12.75" customHeight="1" x14ac:dyDescent="0.25"/>
    <row r="189" spans="1:18" ht="12.75" customHeight="1" x14ac:dyDescent="0.25"/>
    <row r="190" spans="1:18" ht="12.75" customHeight="1" x14ac:dyDescent="0.25"/>
    <row r="191" spans="1:18" ht="12.75" customHeight="1" x14ac:dyDescent="0.25"/>
    <row r="192" spans="1:18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" right="0.7" top="0.75" bottom="0.75" header="0" footer="0"/>
  <pageSetup orientation="landscape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Metrado Estructuras</vt:lpstr>
      <vt:lpstr>METRADO</vt:lpstr>
      <vt:lpstr>Hoja2</vt:lpstr>
      <vt:lpstr>Hoja1</vt:lpstr>
      <vt:lpstr>KR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2026-03-11T04:21:51Z</dcterms:created>
  <dcterms:modified xsi:type="dcterms:W3CDTF">2026-04-06T19:10:41Z</dcterms:modified>
</cp:coreProperties>
</file>