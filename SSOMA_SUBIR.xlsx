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00_OFI_PRESUPUESTOS_progra\3_Entregable_web_buscador_de_metrados\"/>
    </mc:Choice>
  </mc:AlternateContent>
  <xr:revisionPtr revIDLastSave="0" documentId="8_{1C933FEF-21F9-48C3-9116-BECA97B2502D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Metrado Estructuras" sheetId="2" state="hidden" r:id="rId1"/>
    <sheet name="Metrado" sheetId="5" r:id="rId2"/>
    <sheet name="Hoja1" sheetId="7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</externalReferences>
  <definedNames>
    <definedName name="_">'[1]F-05'!#REF!</definedName>
    <definedName name="___">'[1]F-05'!#REF!</definedName>
    <definedName name="_____">#REF!</definedName>
    <definedName name="___________________PAG1">#REF!</definedName>
    <definedName name="__________________PAG1">#REF!</definedName>
    <definedName name="_________________PAG1">#REF!</definedName>
    <definedName name="________________PAG1">#REF!</definedName>
    <definedName name="_______________PAG1">#REF!</definedName>
    <definedName name="______________PAG1">#REF!</definedName>
    <definedName name="_____________PAG1">#REF!</definedName>
    <definedName name="____________PAG1">#REF!</definedName>
    <definedName name="___________PAG1">#REF!</definedName>
    <definedName name="__________PAG1">#REF!</definedName>
    <definedName name="_________HOJ1">#REF!</definedName>
    <definedName name="_________HOJ2">#REF!</definedName>
    <definedName name="_________HOJ3">#REF!</definedName>
    <definedName name="_________PAG1">#REF!</definedName>
    <definedName name="________HOJ1">#REF!</definedName>
    <definedName name="________HOJ2">#REF!</definedName>
    <definedName name="________HOJ3">#REF!</definedName>
    <definedName name="________HOJ4">#REF!</definedName>
    <definedName name="________PAG1">#REF!</definedName>
    <definedName name="_______HOJ4">#REF!</definedName>
    <definedName name="_______PAG1">#REF!</definedName>
    <definedName name="______HOJ1">#REF!</definedName>
    <definedName name="______HOJ2">#REF!</definedName>
    <definedName name="______HOJ3">#REF!</definedName>
    <definedName name="______HOJ4">#REF!</definedName>
    <definedName name="______PAG1">#REF!</definedName>
    <definedName name="_____A1">#REF!</definedName>
    <definedName name="_____A2">#REF!</definedName>
    <definedName name="_____A3">#REF!</definedName>
    <definedName name="_____A5">#REF!</definedName>
    <definedName name="_____HOJ1">#REF!</definedName>
    <definedName name="_____HOJ2">#REF!</definedName>
    <definedName name="_____HOJ3">#REF!</definedName>
    <definedName name="_____HOJ4">#REF!</definedName>
    <definedName name="_____n1">#REF!</definedName>
    <definedName name="_____n2">#REF!</definedName>
    <definedName name="_____PAG1">#REF!</definedName>
    <definedName name="_____S1">#REF!</definedName>
    <definedName name="____A1">'[2]F-05'!#REF!</definedName>
    <definedName name="____A2">'[2]F-05'!#REF!</definedName>
    <definedName name="____A3">'[2]F-05'!#REF!</definedName>
    <definedName name="____A4">#REF!</definedName>
    <definedName name="____A5">'[2]F-05'!#REF!</definedName>
    <definedName name="____h1">#REF!</definedName>
    <definedName name="____h2">#REF!</definedName>
    <definedName name="____HOJ1">#REF!</definedName>
    <definedName name="____HOJ2">#REF!</definedName>
    <definedName name="____HOJ3">#REF!</definedName>
    <definedName name="____HOJ4">#REF!</definedName>
    <definedName name="____n1">'[2]F-05'!#REF!</definedName>
    <definedName name="____n2">'[2]F-05'!#REF!</definedName>
    <definedName name="____PAG1">#REF!</definedName>
    <definedName name="____S1">'[2]F-05'!#REF!</definedName>
    <definedName name="___h1">#REF!</definedName>
    <definedName name="___h2">#REF!</definedName>
    <definedName name="___HOJ1">#REF!</definedName>
    <definedName name="___HOJ2">#REF!</definedName>
    <definedName name="___HOJ3">#REF!</definedName>
    <definedName name="___HOJ4">#REF!</definedName>
    <definedName name="___PAG1">#REF!</definedName>
    <definedName name="__123">[3]EXP!#REF!</definedName>
    <definedName name="__123Graph_A">#REF!</definedName>
    <definedName name="__123Graph_AGraph10">#REF!</definedName>
    <definedName name="__123Graph_AGraph11">#REF!</definedName>
    <definedName name="__123Graph_AGraph12">#REF!</definedName>
    <definedName name="__123Graph_AGraph13">#REF!</definedName>
    <definedName name="__123Graph_AGraph14">#REF!</definedName>
    <definedName name="__123Graph_AGraph15">#REF!</definedName>
    <definedName name="__123Graph_AGraph16">#REF!</definedName>
    <definedName name="__123Graph_AGraph17">#REF!</definedName>
    <definedName name="__123Graph_AGraph18">#REF!</definedName>
    <definedName name="__123Graph_AGraph2">#REF!</definedName>
    <definedName name="__123Graph_AGraph3">#REF!</definedName>
    <definedName name="__123Graph_AGraph4">#REF!</definedName>
    <definedName name="__123Graph_AGraph5">#REF!</definedName>
    <definedName name="__123Graph_AGraph6">#REF!</definedName>
    <definedName name="__123Graph_AGraph7">#REF!</definedName>
    <definedName name="__123Graph_AGraph8">#REF!</definedName>
    <definedName name="__123Graph_AGraph9">#REF!</definedName>
    <definedName name="__123Graph_B">[4]caratula!#REF!</definedName>
    <definedName name="__123Graph_X">#REF!</definedName>
    <definedName name="__123Graph_XGRA1">#REF!</definedName>
    <definedName name="__123Graph_XGRA2">#REF!</definedName>
    <definedName name="__123Graph_XGraph_13">[3]EXP!#REF!</definedName>
    <definedName name="__123Graph_XGraph10">#REF!</definedName>
    <definedName name="__123Graph_XGraph101">[3]EXP!#REF!</definedName>
    <definedName name="__123Graph_XGraph11">#REF!</definedName>
    <definedName name="__123Graph_XGraph12">#REF!</definedName>
    <definedName name="__123Graph_XGraph13">#REF!</definedName>
    <definedName name="__123Graph_XGraph132">[3]EXP!#REF!</definedName>
    <definedName name="__123Graph_XGraph133">[3]EXP!#REF!</definedName>
    <definedName name="__123Graph_XGraph14">#REF!</definedName>
    <definedName name="__123Graph_XGraph15">#REF!</definedName>
    <definedName name="__123Graph_XGraph16">#REF!</definedName>
    <definedName name="__123Graph_XGraph17">#REF!</definedName>
    <definedName name="__123Graph_XGraph18">#REF!</definedName>
    <definedName name="__123Graph_XGraph22">[3]EXP!#REF!</definedName>
    <definedName name="__123Graph_XGraph3">#REF!</definedName>
    <definedName name="__123Graph_XGraph4">#REF!</definedName>
    <definedName name="__123Graph_XGraph5">#REF!</definedName>
    <definedName name="__123Graph_XGraph6">#REF!</definedName>
    <definedName name="__123Graph_XGraph7">#REF!</definedName>
    <definedName name="__123Graph_XGraph8">#REF!</definedName>
    <definedName name="__123Graph_XGraph9">#REF!</definedName>
    <definedName name="__A1">'[2]F-05'!#REF!</definedName>
    <definedName name="__A2">'[2]F-05'!#REF!</definedName>
    <definedName name="__A3">'[2]F-05'!#REF!</definedName>
    <definedName name="__A4">'[5]F-05'!#REF!</definedName>
    <definedName name="__A5">'[2]F-05'!#REF!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AO7">#REF!</definedName>
    <definedName name="__CAO8">#REF!</definedName>
    <definedName name="__DAT03">#REF!</definedName>
    <definedName name="__DAT1">#REF!</definedName>
    <definedName name="__DAT2">#REF!</definedName>
    <definedName name="__Del26">#REF!</definedName>
    <definedName name="__del27">#REF!</definedName>
    <definedName name="__del29">#REF!</definedName>
    <definedName name="__del33">#REF!</definedName>
    <definedName name="__Del38">#REF!</definedName>
    <definedName name="__del42">#REF!</definedName>
    <definedName name="__del43">#REF!</definedName>
    <definedName name="__del9">#REF!</definedName>
    <definedName name="__h1">#REF!</definedName>
    <definedName name="__h2">#REF!</definedName>
    <definedName name="__HOJ1">#REF!</definedName>
    <definedName name="__HOJ2">#REF!</definedName>
    <definedName name="__HOJ3">#REF!</definedName>
    <definedName name="__HOJ4">#REF!</definedName>
    <definedName name="__MAY94">#REF!</definedName>
    <definedName name="__MET1">#REF!</definedName>
    <definedName name="__n1">'[2]F-05'!#REF!</definedName>
    <definedName name="__n2">'[2]F-05'!#REF!</definedName>
    <definedName name="__OP1">#REF!</definedName>
    <definedName name="__PA1">#REF!</definedName>
    <definedName name="__PAG1">#REF!</definedName>
    <definedName name="__PAG2">#REF!</definedName>
    <definedName name="__PAG3">'[6]PRES. PRINC.'!$A$89:$AA$95</definedName>
    <definedName name="__S1">'[2]F-05'!#REF!</definedName>
    <definedName name="_01_SECTORES_GNGRGL">[7]listaDesplegableUE!$A$3:$C$34</definedName>
    <definedName name="_1">[3]EXP!#REF!</definedName>
    <definedName name="_1_3_WEEK_SCHEDULE">#REF!</definedName>
    <definedName name="_1Sin_nombre">'[8]384.02'!#REF!</definedName>
    <definedName name="_2">#REF!</definedName>
    <definedName name="_2._GASTO_CAPITAL_F12">'[7]Lista desplegableGeneral'!#REF!</definedName>
    <definedName name="_2._ORDEN_DE_SERVICIO">'[7]Lista desplegableGeneral'!#REF!</definedName>
    <definedName name="_211">#REF!</definedName>
    <definedName name="_211ProgFFSantoato">#REF!</definedName>
    <definedName name="_21212353">[3]EXP!#REF!</definedName>
    <definedName name="_21326">#REF!</definedName>
    <definedName name="_2ACTION_REQUIRED">#REF!</definedName>
    <definedName name="_3._CONTRATO">'[7]Lista desplegableGeneral'!#REF!</definedName>
    <definedName name="_52132">#REF!</definedName>
    <definedName name="_A1">#REF!</definedName>
    <definedName name="_A2">'[2]F-05'!#REF!</definedName>
    <definedName name="_A3">'[2]F-05'!#REF!</definedName>
    <definedName name="_A4">'[5]F-05'!#REF!</definedName>
    <definedName name="_A5">'[2]F-05'!#REF!</definedName>
    <definedName name="_ABANCAY">#REF!</definedName>
    <definedName name="_ACM1">#REF!</definedName>
    <definedName name="_ACM2">#REF!</definedName>
    <definedName name="_ACM3">#REF!</definedName>
    <definedName name="_ACM4">#REF!</definedName>
    <definedName name="_ACOBAMBA">#REF!</definedName>
    <definedName name="_ACOMAYO">#REF!</definedName>
    <definedName name="_Ago1">#REF!</definedName>
    <definedName name="_Ago2">#REF!</definedName>
    <definedName name="_AIJA">#REF!</definedName>
    <definedName name="_ALTO_AMAZONAS">#REF!</definedName>
    <definedName name="_AMAZONAS">#REF!</definedName>
    <definedName name="_AMBO">#REF!</definedName>
    <definedName name="_ANCASH">#REF!</definedName>
    <definedName name="_ANDAHUAYLAS">#REF!</definedName>
    <definedName name="_ANGARAES">#REF!</definedName>
    <definedName name="_ANTA">#REF!</definedName>
    <definedName name="_ANTABAMBA">#REF!</definedName>
    <definedName name="_ANTONIO_RAYMONDI">#REF!</definedName>
    <definedName name="_APURIMAC">#REF!</definedName>
    <definedName name="_AREQUIPA">#REF!</definedName>
    <definedName name="_AREQUIPA_">#REF!</definedName>
    <definedName name="_ASCOPE">#REF!</definedName>
    <definedName name="_ASUNCION">#REF!</definedName>
    <definedName name="_ATALAYA">#REF!</definedName>
    <definedName name="_AYABACA">#REF!</definedName>
    <definedName name="_AYACUCHO">#REF!</definedName>
    <definedName name="_AYMARAES">#REF!</definedName>
    <definedName name="_AZANGARO">#REF!</definedName>
    <definedName name="_BAGUA">#REF!</definedName>
    <definedName name="_BARRANCA">#REF!</definedName>
    <definedName name="_BELLAVISTA">#REF!</definedName>
    <definedName name="_BOLIVAR">#REF!</definedName>
    <definedName name="_BOLOGNESI">#REF!</definedName>
    <definedName name="_BONGARA">#REF!</definedName>
    <definedName name="_C0001">#REF!</definedName>
    <definedName name="_C002">#REF!</definedName>
    <definedName name="_CAJABAMBA">#REF!</definedName>
    <definedName name="_CAJAMARCA">#REF!</definedName>
    <definedName name="_CAJAMARCA_">#REF!</definedName>
    <definedName name="_CAJATAMBO">#REF!</definedName>
    <definedName name="_CALCA">#REF!</definedName>
    <definedName name="_CALLAO">#REF!</definedName>
    <definedName name="_CAMANA">#REF!</definedName>
    <definedName name="_CANAS">#REF!</definedName>
    <definedName name="_CANCHIS">#REF!</definedName>
    <definedName name="_CANDARAVE">#REF!</definedName>
    <definedName name="_CANGALLO">#REF!</definedName>
    <definedName name="_CANTA">#REF!</definedName>
    <definedName name="_CAÑETE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AO7">#REF!</definedName>
    <definedName name="_CAO8">#REF!</definedName>
    <definedName name="_CARABAYA">#REF!</definedName>
    <definedName name="_CARAVELI">#REF!</definedName>
    <definedName name="_CARHUAZ">#REF!</definedName>
    <definedName name="_CARLOS_FERMIN_FITZCARRALD">#REF!</definedName>
    <definedName name="_CASMA">#REF!</definedName>
    <definedName name="_CASTILLA">#REF!</definedName>
    <definedName name="_CASTROVIRREYNA">#REF!</definedName>
    <definedName name="_CAYLLOMA">#REF!</definedName>
    <definedName name="_CELENDIN">#REF!</definedName>
    <definedName name="_CHACHAPOYAS">#REF!</definedName>
    <definedName name="_CHANCHAMAYO">#REF!</definedName>
    <definedName name="_CHEPEN">#REF!</definedName>
    <definedName name="_CHICLAYO">#REF!</definedName>
    <definedName name="_CHINCHA">#REF!</definedName>
    <definedName name="_CHINCHEROS">#REF!</definedName>
    <definedName name="_CHOTA">#REF!</definedName>
    <definedName name="_CHUCUITO">#REF!</definedName>
    <definedName name="_CHUMBIVILCAS">#REF!</definedName>
    <definedName name="_CHUPACA">#REF!</definedName>
    <definedName name="_CHURCAMPA">#REF!</definedName>
    <definedName name="_CONCEPCION">#REF!</definedName>
    <definedName name="_CONDESUYOS">#REF!</definedName>
    <definedName name="_CONDORCANQUI">#REF!</definedName>
    <definedName name="_CONTRALMIRANTE_VILLAR">#REF!</definedName>
    <definedName name="_CONTUMAZA">#REF!</definedName>
    <definedName name="_CORONEL_PORTILLO">#REF!</definedName>
    <definedName name="_CORONGO">#REF!</definedName>
    <definedName name="_COTABAMBAS">#REF!</definedName>
    <definedName name="_CSC1">#REF!</definedName>
    <definedName name="_CTZ1">#REF!</definedName>
    <definedName name="_CTZ2">#REF!</definedName>
    <definedName name="_CTZ3">#REF!</definedName>
    <definedName name="_CUSCO">#REF!</definedName>
    <definedName name="_CUSCO_">#REF!</definedName>
    <definedName name="_CUTERVO">#REF!</definedName>
    <definedName name="_DANIEL_ALCIDES_CARRION">#REF!</definedName>
    <definedName name="_DATEM_DEL_MARAÑON">#REF!</definedName>
    <definedName name="_Dist_Bin">#REF!</definedName>
    <definedName name="_Dist_Values">#REF!</definedName>
    <definedName name="_DOS_DE_MAYO">#REF!</definedName>
    <definedName name="_e.g">#REF!</definedName>
    <definedName name="_E1">#REF!</definedName>
    <definedName name="_EL_DORADO">#REF!</definedName>
    <definedName name="_ESPINAR">#REF!</definedName>
    <definedName name="_FERREÑAFE">#REF!</definedName>
    <definedName name="_Fill">#REF!</definedName>
    <definedName name="_fjtjdtyj">#REF!</definedName>
    <definedName name="_fs">#REF!</definedName>
    <definedName name="_fsd">#REF!</definedName>
    <definedName name="_Fsdf">#REF!</definedName>
    <definedName name="_GENERAL_SANCHEZ_CARRION">#REF!</definedName>
    <definedName name="_GRAN_CHIMU">#REF!</definedName>
    <definedName name="_GRAU">#REF!</definedName>
    <definedName name="_h1">#REF!</definedName>
    <definedName name="_h2">#REF!</definedName>
    <definedName name="_HOJ1">#REF!</definedName>
    <definedName name="_HOJ2">#REF!</definedName>
    <definedName name="_HOJ3">#REF!</definedName>
    <definedName name="_HOJ32">#REF!</definedName>
    <definedName name="_HOJ4">#REF!</definedName>
    <definedName name="_HOJ5">#REF!</definedName>
    <definedName name="_HUACAYBAMBA">#REF!</definedName>
    <definedName name="_HUALGAYOC">#REF!</definedName>
    <definedName name="_HUALLAGA">#REF!</definedName>
    <definedName name="_HUAMALIES">#REF!</definedName>
    <definedName name="_HUAMANGA">#REF!</definedName>
    <definedName name="_HUANCA_SANCOS">#REF!</definedName>
    <definedName name="_HUANCABAMBA">#REF!</definedName>
    <definedName name="_HUANCANE">#REF!</definedName>
    <definedName name="_HUANCAVELICA">#REF!</definedName>
    <definedName name="_HUANCAVELICA_">#REF!</definedName>
    <definedName name="_HUANCAYO_">#REF!</definedName>
    <definedName name="_HUANTA">#REF!</definedName>
    <definedName name="_HUANUCO">#REF!</definedName>
    <definedName name="_HUANUCO_">#REF!</definedName>
    <definedName name="_HUARAL">#REF!</definedName>
    <definedName name="_HUARAZ">#REF!</definedName>
    <definedName name="_HUARI">#REF!</definedName>
    <definedName name="_HUARMEY">#REF!</definedName>
    <definedName name="_HUAROCHIRI">#REF!</definedName>
    <definedName name="_HUAURA">#REF!</definedName>
    <definedName name="_HUAYLAS">#REF!</definedName>
    <definedName name="_HUAYTARA">#REF!</definedName>
    <definedName name="_ICA">#REF!</definedName>
    <definedName name="_ICA_">#REF!</definedName>
    <definedName name="_ILO">#REF!</definedName>
    <definedName name="_INS05">#REF!</definedName>
    <definedName name="_INS06">#REF!</definedName>
    <definedName name="_INS07">#REF!</definedName>
    <definedName name="_INS1">#REF!</definedName>
    <definedName name="_INS2">#REF!</definedName>
    <definedName name="_ISLAY">#REF!</definedName>
    <definedName name="_JAEN">#REF!</definedName>
    <definedName name="_JAUJA">#REF!</definedName>
    <definedName name="_jkfdsnf">#REF!</definedName>
    <definedName name="_JORGE_BASADRE">#REF!</definedName>
    <definedName name="_JULCAN">#REF!</definedName>
    <definedName name="_JUNIN">#REF!</definedName>
    <definedName name="_JUNIN_">#REF!</definedName>
    <definedName name="_Key1">#REF!</definedName>
    <definedName name="_Key2">#REF!</definedName>
    <definedName name="_kjdkw7">#REF!</definedName>
    <definedName name="_LA_CONVENCION">#REF!</definedName>
    <definedName name="_LA_LIBERTAD">#REF!</definedName>
    <definedName name="_LA_MAR">#REF!</definedName>
    <definedName name="_LA_UNION">#REF!</definedName>
    <definedName name="_LAMAS">#REF!</definedName>
    <definedName name="_LAMBAYEQUE">#REF!</definedName>
    <definedName name="_LAMBAYEQUE_">#REF!</definedName>
    <definedName name="_LAMPA">#REF!</definedName>
    <definedName name="_LAURICOCHA">#REF!</definedName>
    <definedName name="_LEONCIO_PRADO">#REF!</definedName>
    <definedName name="_LIMA">#REF!</definedName>
    <definedName name="_LIMA_">#REF!</definedName>
    <definedName name="_LORETO">#REF!</definedName>
    <definedName name="_LORETO_">#REF!</definedName>
    <definedName name="_LP01">#REF!</definedName>
    <definedName name="_LP02">#REF!</definedName>
    <definedName name="_LUCANAS">#REF!</definedName>
    <definedName name="_LUYA">#REF!</definedName>
    <definedName name="_MADRE_DE_DIOS">#REF!</definedName>
    <definedName name="_MANU">#REF!</definedName>
    <definedName name="_MARAÑON">#REF!</definedName>
    <definedName name="_MARISCAL_CACERES">#REF!</definedName>
    <definedName name="_MARISCAL_LUZURIAGA">#REF!</definedName>
    <definedName name="_MARISCAL_NIETO">#REF!</definedName>
    <definedName name="_MARISCAL_RAMON_CASTILLA">#REF!</definedName>
    <definedName name="_MAY94">#REF!</definedName>
    <definedName name="_MAYNAS">#REF!</definedName>
    <definedName name="_MELGAR">#REF!</definedName>
    <definedName name="_MET1">#REF!</definedName>
    <definedName name="_MET2">#REF!</definedName>
    <definedName name="_MOHO">#REF!</definedName>
    <definedName name="_MOQUEGUA">#REF!</definedName>
    <definedName name="_MORROPON">#REF!</definedName>
    <definedName name="_MOYOBAMBA">#REF!</definedName>
    <definedName name="_MULTIDEPARTAMENTAL">#REF!</definedName>
    <definedName name="_n1">'[2]F-05'!#REF!</definedName>
    <definedName name="_n2">'[2]F-05'!#REF!</definedName>
    <definedName name="_NASCA">#REF!</definedName>
    <definedName name="_OCROS">#REF!</definedName>
    <definedName name="_OP1">#REF!</definedName>
    <definedName name="_Order1">255</definedName>
    <definedName name="_Order2">255</definedName>
    <definedName name="_OTUZCO">#REF!</definedName>
    <definedName name="_OXAPAMPA">#REF!</definedName>
    <definedName name="_OYON">#REF!</definedName>
    <definedName name="_PA1">#REF!</definedName>
    <definedName name="_PACASMAYO">#REF!</definedName>
    <definedName name="_PACHITEA">#REF!</definedName>
    <definedName name="_PADRE_ABAD">#REF!</definedName>
    <definedName name="_PAG1">#REF!</definedName>
    <definedName name="_PAG2">#REF!</definedName>
    <definedName name="_PAG3">'[6]PRES. PRINC.'!$A$89:$AA$95</definedName>
    <definedName name="_PAITA">#REF!</definedName>
    <definedName name="_PALLASCA">#REF!</definedName>
    <definedName name="_PALPA">#REF!</definedName>
    <definedName name="_PARINACOCHAS">#REF!</definedName>
    <definedName name="_Parse_In">#REF!</definedName>
    <definedName name="_Parse_Out">#REF!</definedName>
    <definedName name="_PARURO">#REF!</definedName>
    <definedName name="_PASCO">#REF!</definedName>
    <definedName name="_PASCO_">#REF!</definedName>
    <definedName name="_PATAZ">#REF!</definedName>
    <definedName name="_PAUCAR_DEL_SARA_SARA">#REF!</definedName>
    <definedName name="_PAUCARTAMBO">#REF!</definedName>
    <definedName name="_PICOTA">#REF!</definedName>
    <definedName name="_PISCO">#REF!</definedName>
    <definedName name="_PIURA">#REF!</definedName>
    <definedName name="_PIURA_">#REF!</definedName>
    <definedName name="_plpk">#REF!</definedName>
    <definedName name="_POMABAMBA">#REF!</definedName>
    <definedName name="_pre03">#REF!</definedName>
    <definedName name="_PROVINCIA_CONSTITUCIONAL_DEL_CALLAO">#REF!</definedName>
    <definedName name="_PUERTO_INCA">#REF!</definedName>
    <definedName name="_PUNO">#REF!</definedName>
    <definedName name="_PUNO_">#REF!</definedName>
    <definedName name="_PURUS">#REF!</definedName>
    <definedName name="_PUTUMAYO">#REF!</definedName>
    <definedName name="_QUISPICANCHI">#REF!</definedName>
    <definedName name="_R">[9]MEMBRETE!$E$11</definedName>
    <definedName name="_rc">#REF!</definedName>
    <definedName name="_RECUAY">#REF!</definedName>
    <definedName name="_Regression_Out">#REF!</definedName>
    <definedName name="_Regression_X">#REF!</definedName>
    <definedName name="_Regression_Y">#REF!</definedName>
    <definedName name="_REQUENA">#REF!</definedName>
    <definedName name="_reyryr">#REF!</definedName>
    <definedName name="_RIOJA">#REF!</definedName>
    <definedName name="_RODRIGUEZ_DE_MENDOZA">#REF!</definedName>
    <definedName name="_RP01">#REF!</definedName>
    <definedName name="_RP02">#REF!</definedName>
    <definedName name="_S1">'[2]F-05'!#REF!</definedName>
    <definedName name="_SAN_ANTONIO_DE_PUTINA">#REF!</definedName>
    <definedName name="_SAN_IGNACIO">#REF!</definedName>
    <definedName name="_SAN_MARCOS">#REF!</definedName>
    <definedName name="_SAN_MARTIN">#REF!</definedName>
    <definedName name="_SAN_MARTIN_">#REF!</definedName>
    <definedName name="_SAN_MIGUEL">#REF!</definedName>
    <definedName name="_SAN_PABLO">#REF!</definedName>
    <definedName name="_SAN_ROMAN">#REF!</definedName>
    <definedName name="_SANCHEZ_CARRION">#REF!</definedName>
    <definedName name="_SANDIA">#REF!</definedName>
    <definedName name="_SANTA">#REF!</definedName>
    <definedName name="_SANTA_CRUZ">#REF!</definedName>
    <definedName name="_SANTIAGO_DE_CHUCO">#REF!</definedName>
    <definedName name="_SATIPO">#REF!</definedName>
    <definedName name="_SD_F">#REF!</definedName>
    <definedName name="_SECHURA">#REF!</definedName>
    <definedName name="_Sep1">#REF!</definedName>
    <definedName name="_Sep11">#REF!</definedName>
    <definedName name="_Sep2">#REF!</definedName>
    <definedName name="_SIHUAS">#REF!</definedName>
    <definedName name="_Sort">#REF!</definedName>
    <definedName name="_SUCRE">#REF!</definedName>
    <definedName name="_SULLANA">#REF!</definedName>
    <definedName name="_TACNA">#REF!</definedName>
    <definedName name="_TACNA_">#REF!</definedName>
    <definedName name="_TAHUAMANU">#REF!</definedName>
    <definedName name="_TALARA">#REF!</definedName>
    <definedName name="_TAMBOPATA">#REF!</definedName>
    <definedName name="_TARATA">#REF!</definedName>
    <definedName name="_TARMA">#REF!</definedName>
    <definedName name="_TAYACAJA">#REF!</definedName>
    <definedName name="_TOCACHE">#REF!</definedName>
    <definedName name="_TODOS">#REF!</definedName>
    <definedName name="_TRUJILLO">#REF!</definedName>
    <definedName name="_TUMBES">#REF!</definedName>
    <definedName name="_TUMBES_">#REF!</definedName>
    <definedName name="_UCAYALI">#REF!</definedName>
    <definedName name="_UCAYALI_">#REF!</definedName>
    <definedName name="_URUBAMBA">#REF!</definedName>
    <definedName name="_UTCUBAMBA">#REF!</definedName>
    <definedName name="_VICTOR_FAJARDO">#REF!</definedName>
    <definedName name="_VILCAS_HUAMAN">#REF!</definedName>
    <definedName name="_VIRU">#REF!</definedName>
    <definedName name="_YAROWILCA">#REF!</definedName>
    <definedName name="_YAULI">#REF!</definedName>
    <definedName name="_YAUYOS">#REF!</definedName>
    <definedName name="_YUNGAY">#REF!</definedName>
    <definedName name="_YUNGUYO">#REF!</definedName>
    <definedName name="_ZARUMILLA">#REF!</definedName>
    <definedName name="A">#REF!</definedName>
    <definedName name="A_1">#REF!</definedName>
    <definedName name="A_10">#REF!</definedName>
    <definedName name="A_11">#REF!</definedName>
    <definedName name="A_12">#REF!</definedName>
    <definedName name="A_13">#REF!</definedName>
    <definedName name="A_14">#REF!</definedName>
    <definedName name="A_15">#REF!</definedName>
    <definedName name="A_16">#REF!</definedName>
    <definedName name="A_17">#REF!</definedName>
    <definedName name="A_18">#REF!</definedName>
    <definedName name="A_19">#REF!</definedName>
    <definedName name="A_2">#REF!</definedName>
    <definedName name="A_20">#REF!</definedName>
    <definedName name="A_21">#REF!</definedName>
    <definedName name="A_22">#REF!</definedName>
    <definedName name="A_3">#REF!</definedName>
    <definedName name="A_4">#REF!</definedName>
    <definedName name="A_5">#REF!</definedName>
    <definedName name="A_6">#REF!</definedName>
    <definedName name="A_7">#REF!</definedName>
    <definedName name="A_8">#REF!</definedName>
    <definedName name="A_9">#REF!</definedName>
    <definedName name="A_ENC">#REF!</definedName>
    <definedName name="A_IMPRESI_N_IM">#REF!</definedName>
    <definedName name="A_impresión_IM">#REF!</definedName>
    <definedName name="AA">#REF!</definedName>
    <definedName name="aaa">#REF!</definedName>
    <definedName name="AAAA">#REF!</definedName>
    <definedName name="AAAAA">#REF!</definedName>
    <definedName name="aaaaaa">#REF!</definedName>
    <definedName name="aaaaaaa">#REF!</definedName>
    <definedName name="AAAAAAAA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aaa">#REF!</definedName>
    <definedName name="aaaaaaaaaaaaaaaaaaa">#REF!</definedName>
    <definedName name="aaaaasdxs341">#REF!</definedName>
    <definedName name="AAAASSS">#REF!</definedName>
    <definedName name="aaab">#REF!</definedName>
    <definedName name="AADM">[10]BD!$C$10</definedName>
    <definedName name="aas">#REF!</definedName>
    <definedName name="AASASAS">#REF!</definedName>
    <definedName name="AASDFASDFASD">#REF!</definedName>
    <definedName name="aB">#REF!</definedName>
    <definedName name="abc">#REF!</definedName>
    <definedName name="ABCD">#REF!</definedName>
    <definedName name="abcdef">#REF!</definedName>
    <definedName name="ABR">#REF!</definedName>
    <definedName name="ABRIEL">#REF!</definedName>
    <definedName name="abril">#REF!</definedName>
    <definedName name="ABRILL">#REF!</definedName>
    <definedName name="abrilllll">#REF!</definedName>
    <definedName name="aC">#REF!</definedName>
    <definedName name="Acarreo">#REF!</definedName>
    <definedName name="ACE">#REF!</definedName>
    <definedName name="ACERO">#REF!</definedName>
    <definedName name="ACM">#REF!</definedName>
    <definedName name="ACOM_CC">#REF!</definedName>
    <definedName name="ACOM_SC">#REF!</definedName>
    <definedName name="acosta">#REF!</definedName>
    <definedName name="ACT">#REF!</definedName>
    <definedName name="ACTIVIDADES">'[11]DESCRIPCION PROCESO'!$C$8:$C$10</definedName>
    <definedName name="Acumul03">#REF!</definedName>
    <definedName name="ACUMULADO">[12]DATOS!$G$13:$G$135</definedName>
    <definedName name="aD">#REF!</definedName>
    <definedName name="ADAD">#REF!</definedName>
    <definedName name="ADDDDDDDDDD">#REF!</definedName>
    <definedName name="adelanto">#REF!</definedName>
    <definedName name="adelanto_con_igv">#REF!</definedName>
    <definedName name="adg">#REF!</definedName>
    <definedName name="ADS">#REF!</definedName>
    <definedName name="adsAAAAA">#REF!</definedName>
    <definedName name="adsdfas">#REF!</definedName>
    <definedName name="adswaerae">#REF!</definedName>
    <definedName name="adwdasd">#REF!</definedName>
    <definedName name="adyt">#REF!</definedName>
    <definedName name="aeyfgbiwa">#REF!</definedName>
    <definedName name="AFA">#REF!</definedName>
    <definedName name="AFASDFASD">#REF!</definedName>
    <definedName name="afasdfasf">#REF!</definedName>
    <definedName name="AFP">#REF!</definedName>
    <definedName name="AG">#REF!</definedName>
    <definedName name="ago">#REF!</definedName>
    <definedName name="AGREGADO">#REF!</definedName>
    <definedName name="AGUA">#REF!</definedName>
    <definedName name="ahahahah">#REF!</definedName>
    <definedName name="ajk">#REF!</definedName>
    <definedName name="al22calle4">#REF!</definedName>
    <definedName name="al24izq">#REF!</definedName>
    <definedName name="al24pje6">#REF!</definedName>
    <definedName name="ALBER">#REF!</definedName>
    <definedName name="alc">#REF!</definedName>
    <definedName name="alCATORCE">#REF!</definedName>
    <definedName name="alCINCO">#REF!</definedName>
    <definedName name="alCINCUENTA">#REF!</definedName>
    <definedName name="alCuarentaiuno">#REF!</definedName>
    <definedName name="alCUATRO">#REF!</definedName>
    <definedName name="ALDICECINUEVEDEABRIL">#REF!</definedName>
    <definedName name="alDIECIOCHO">#REF!</definedName>
    <definedName name="ALEX">'[13]no tocar'!$I$8:$I$17</definedName>
    <definedName name="ALMACEERO">[14]BD!$C$11</definedName>
    <definedName name="almacen">#REF!</definedName>
    <definedName name="ALMACENERO">[10]BD!$C$11</definedName>
    <definedName name="almcen">#REF!</definedName>
    <definedName name="ALMUERZO_FAENA">#REF!</definedName>
    <definedName name="alOCHO">#REF!</definedName>
    <definedName name="alONCE">#REF!</definedName>
    <definedName name="AlQuince">#REF!</definedName>
    <definedName name="alSEIS">#REF!</definedName>
    <definedName name="ALTO">'[15]F-9-B Valoriz Progr'!$C$12:$S$400</definedName>
    <definedName name="ALTO2">#REF!</definedName>
    <definedName name="alTRECE">#REF!</definedName>
    <definedName name="alTREINTA">#REF!</definedName>
    <definedName name="Altreintaicuatro">#REF!</definedName>
    <definedName name="altreintaitres">#REF!</definedName>
    <definedName name="alTREINTIDOS">#REF!</definedName>
    <definedName name="alTREINTITRES">#REF!</definedName>
    <definedName name="alTREITICINCO">#REF!</definedName>
    <definedName name="alturamuro">#REF!</definedName>
    <definedName name="alVEINTICINCO">#REF!</definedName>
    <definedName name="alVEINTICUATRO">#REF!</definedName>
    <definedName name="alVEINTIDOS">#REF!</definedName>
    <definedName name="alVEINTIOCHO">#REF!</definedName>
    <definedName name="alVEINTITRES">#REF!</definedName>
    <definedName name="AMBIENTE">#REF!</definedName>
    <definedName name="AMBIENTEANT">#REF!</definedName>
    <definedName name="amer">#REF!</definedName>
    <definedName name="AMORTIZ">'[16]Amort. Adel. en Efectivo'!#REF!</definedName>
    <definedName name="amortiza_01">'[17]Plant. Mens'!#REF!</definedName>
    <definedName name="amortiza_02">'[17]Plant. Mens'!#REF!</definedName>
    <definedName name="amortiza_03">'[17]Plant. Mens'!#REF!</definedName>
    <definedName name="amortiza_04">'[17]Plant. Mens'!#REF!</definedName>
    <definedName name="amortiza_05">'[17]Plant. Mens'!#REF!</definedName>
    <definedName name="AMORTIZA01_01">'[17]Plant. Mens'!#REF!</definedName>
    <definedName name="AMORTIZA01_02">'[17]Plant. Mens'!#REF!</definedName>
    <definedName name="AMORTIZA01_03">'[17]Plant. Mens'!#REF!</definedName>
    <definedName name="AMORTIZA01_04">'[17]Plant. Mens'!#REF!</definedName>
    <definedName name="AMORTIZA01_05">'[17]Plant. Mens'!#REF!</definedName>
    <definedName name="AMORTIZA02_01">'[17]Plant. Mens'!#REF!</definedName>
    <definedName name="AMORTIZA02_02">'[17]Plant. Mens'!#REF!</definedName>
    <definedName name="AMORTIZA02_03">'[17]Plant. Mens'!#REF!</definedName>
    <definedName name="AMORTIZA02_04">'[17]Plant. Mens'!#REF!</definedName>
    <definedName name="AMORTIZA02_05">'[17]Plant. Mens'!#REF!</definedName>
    <definedName name="AMORTIZA03_01">'[17]Plant. Mens'!#REF!</definedName>
    <definedName name="AMORTIZA03_02">'[17]Plant. Mens'!#REF!</definedName>
    <definedName name="AMORTIZA03_03">'[17]Plant. Mens'!#REF!</definedName>
    <definedName name="AMORTIZA03_04">'[17]Plant. Mens'!#REF!</definedName>
    <definedName name="AMORTIZA03_05">'[17]Plant. Mens'!#REF!</definedName>
    <definedName name="AMORTIZACION">'[18]Amort. Adel. en Efectivo'!#REF!</definedName>
    <definedName name="An">#REF!</definedName>
    <definedName name="An_puen">#REF!</definedName>
    <definedName name="an_sar">#REF!</definedName>
    <definedName name="ana">#REF!</definedName>
    <definedName name="ANC_CAJA_ALC">#REF!</definedName>
    <definedName name="ANCHO">'[19]SUST.METR. 4.01 AL 4.04'!$AN$8:$AN$12,'[19]SUST.METR. 4.01 AL 4.04'!$AQ$8:$AQ$12</definedName>
    <definedName name="ANCHO2">#REF!</definedName>
    <definedName name="anchomuro">#REF!</definedName>
    <definedName name="ANCHOS">#REF!</definedName>
    <definedName name="ANEXO">#REF!</definedName>
    <definedName name="anexo2">#REF!</definedName>
    <definedName name="ANEXO31">#REF!</definedName>
    <definedName name="ANGH">#REF!</definedName>
    <definedName name="Anticipo">#REF!</definedName>
    <definedName name="año">#REF!</definedName>
    <definedName name="AporComu">#REF!</definedName>
    <definedName name="aportes">#REF!</definedName>
    <definedName name="AQAQAQAQAQ">#REF!</definedName>
    <definedName name="AQWEDS">#REF!</definedName>
    <definedName name="AR">#REF!</definedName>
    <definedName name="ARASCELLY">#REF!</definedName>
    <definedName name="AREA">#REF!</definedName>
    <definedName name="Area124">'[19]AREA  COR.Y RELL. TMC'!$B$2:$C$208</definedName>
    <definedName name="AREA2124">'[19]AREA  COR.Y RELL. TMC'!$E$2:$F$208</definedName>
    <definedName name="AREAS">#REF!</definedName>
    <definedName name="ARENA">#REF!</definedName>
    <definedName name="ARLI">#REF!</definedName>
    <definedName name="ARMADO">#REF!</definedName>
    <definedName name="ARMADOS">#REF!</definedName>
    <definedName name="arreglo">#REF!</definedName>
    <definedName name="art">#REF!</definedName>
    <definedName name="ARTE">#REF!</definedName>
    <definedName name="ARTEANT">#REF!</definedName>
    <definedName name="AS">#REF!</definedName>
    <definedName name="AS142HJNDR">#REF!</definedName>
    <definedName name="ASA">#REF!</definedName>
    <definedName name="asadsfdgfhgjhkl">#REF!</definedName>
    <definedName name="asadsfsdfs">#REF!</definedName>
    <definedName name="ASAS">#REF!</definedName>
    <definedName name="asasa">#REF!</definedName>
    <definedName name="ASASAS">#REF!</definedName>
    <definedName name="ASASASD">#REF!</definedName>
    <definedName name="ASBFHAS">#REF!</definedName>
    <definedName name="ASD">#REF!</definedName>
    <definedName name="asdads">#REF!</definedName>
    <definedName name="ASDAFAS">#REF!</definedName>
    <definedName name="ASDAS">#REF!</definedName>
    <definedName name="ASDASD">#REF!</definedName>
    <definedName name="ASDASDAS">#REF!</definedName>
    <definedName name="ASDASDASDA">#REF!</definedName>
    <definedName name="ASDDDD">#REF!</definedName>
    <definedName name="ASDDSD">#REF!</definedName>
    <definedName name="asdecsdrfed">#REF!</definedName>
    <definedName name="ASDFASDFDS">#REF!</definedName>
    <definedName name="ASDFGHHJUBJKLLPOI">#REF!</definedName>
    <definedName name="ASDSD">#REF!</definedName>
    <definedName name="ased">#REF!</definedName>
    <definedName name="ASFA">#REF!</definedName>
    <definedName name="ASIST.PERSONALS4">#REF!</definedName>
    <definedName name="ASS">#REF!</definedName>
    <definedName name="AssC_A">#REF!</definedName>
    <definedName name="AssC_B">#REF!</definedName>
    <definedName name="AssZ_A">#REF!</definedName>
    <definedName name="AssZ_B">#REF!</definedName>
    <definedName name="AssZAPATA">#REF!</definedName>
    <definedName name="ASUS">#REF!</definedName>
    <definedName name="ASXASX">#REF!</definedName>
    <definedName name="ATEC">#REF!</definedName>
    <definedName name="AUX">#REF!</definedName>
    <definedName name="avance">{"MO(BASE)",#N/A,FALSE,"MO(BASE)";"MO(BASE)1",#N/A,FALSE,"MO(BASE)";"MO(BASE)2",#N/A,FALSE,"MO(BASE)"}</definedName>
    <definedName name="avance1">{"MO(BASE)",#N/A,FALSE,"MO(BASE)";"MO(BASE)1",#N/A,FALSE,"MO(BASE)";"MO(BASE)2",#N/A,FALSE,"MO(BASE)"}</definedName>
    <definedName name="AvFiMes">#REF!</definedName>
    <definedName name="AXEL">#REF!</definedName>
    <definedName name="Ayudante_Montaje">#REF!</definedName>
    <definedName name="Ayudante_Obras_Civiles">#REF!</definedName>
    <definedName name="AZAZAZAZ">#REF!</definedName>
    <definedName name="AZU">#REF!</definedName>
    <definedName name="azxsdc">#REF!</definedName>
    <definedName name="B">#REF!</definedName>
    <definedName name="BAJO_URUBAMBA">#REF!</definedName>
    <definedName name="BASE">#REF!</definedName>
    <definedName name="Base_datos_IM">#REF!</definedName>
    <definedName name="BASE03">#REF!</definedName>
    <definedName name="BBB">#REF!</definedName>
    <definedName name="bbbbb">#REF!</definedName>
    <definedName name="bbbbbbb">#REF!</definedName>
    <definedName name="bbcbchh">#REF!</definedName>
    <definedName name="bbvcbvcbc">#REF!</definedName>
    <definedName name="bcv">#REF!</definedName>
    <definedName name="bcvb">#REF!</definedName>
    <definedName name="bebe">#REF!</definedName>
    <definedName name="BFBF">#REF!</definedName>
    <definedName name="BGBB">#REF!</definedName>
    <definedName name="BGFDBDF">#REF!</definedName>
    <definedName name="BJ">#REF!</definedName>
    <definedName name="bloq1">#REF!</definedName>
    <definedName name="bloq2">#REF!</definedName>
    <definedName name="BLOQUE">[20]Bloques!$B$16:$B$36</definedName>
    <definedName name="bloque1">#REF!</definedName>
    <definedName name="bloque2">#REF!</definedName>
    <definedName name="bloque3">#REF!</definedName>
    <definedName name="bloque4">#REF!</definedName>
    <definedName name="bnmnbm">#REF!</definedName>
    <definedName name="bnvbchdgftrudmjfhgtt">#REF!</definedName>
    <definedName name="BO_ACERO">#REF!</definedName>
    <definedName name="BO_ARENA">#REF!</definedName>
    <definedName name="BO_CEMENTO">#REF!</definedName>
    <definedName name="BO_FORMALETA">#REF!</definedName>
    <definedName name="BO_GRAVA">#REF!</definedName>
    <definedName name="BO_OTROS">#REF!</definedName>
    <definedName name="BO_SUMINISTRO">#REF!</definedName>
    <definedName name="BOTADERO">#REF!</definedName>
    <definedName name="Botaderos1">#REF!</definedName>
    <definedName name="BQ">#REF!</definedName>
    <definedName name="BUILDINGS">#REF!</definedName>
    <definedName name="BuiltIn_Print_Area">#REF!</definedName>
    <definedName name="BuiltIn_Print_Area___0">#REF!</definedName>
    <definedName name="BuiltIn_Print_Area___0___0">#REF!</definedName>
    <definedName name="BuiltIn_Print_Titles">#REF!</definedName>
    <definedName name="BuiltIn_Print_Titles___0">#REF!</definedName>
    <definedName name="bvb">#REF!</definedName>
    <definedName name="BVBCVBVC">#REF!</definedName>
    <definedName name="bvbvbvbvbv">#REF!</definedName>
    <definedName name="BVBVVBV">#REF!</definedName>
    <definedName name="bvc">#REF!</definedName>
    <definedName name="bvcb">#REF!</definedName>
    <definedName name="bvcvcxvcc">#REF!</definedName>
    <definedName name="bxfsd">#REF!</definedName>
    <definedName name="C_">#REF!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BEC_1">#REF!</definedName>
    <definedName name="CABEC_2">#REF!</definedName>
    <definedName name="cabezalentrada">#REF!</definedName>
    <definedName name="cabezalsalida">#REF!</definedName>
    <definedName name="CACHORRO">#REF!</definedName>
    <definedName name="CALEN">#REF!</definedName>
    <definedName name="CALENDARIO">#REF!</definedName>
    <definedName name="cALS">#REF!</definedName>
    <definedName name="cam">#REF!</definedName>
    <definedName name="Cambio">#REF!</definedName>
    <definedName name="Canales1">#REF!</definedName>
    <definedName name="CANCURP">#REF!</definedName>
    <definedName name="CANCURS">#REF!</definedName>
    <definedName name="CANMONCRP">#REF!</definedName>
    <definedName name="CANMONCRS">#REF!</definedName>
    <definedName name="CANMRP">#REF!</definedName>
    <definedName name="CANMRS">#REF!</definedName>
    <definedName name="CANNRP">#REF!</definedName>
    <definedName name="CANNRS">#REF!</definedName>
    <definedName name="CANRP">#REF!</definedName>
    <definedName name="CANRS">#REF!</definedName>
    <definedName name="CANTIDAD">'[21]ARMA S.E 01'!$D$158:$D$217</definedName>
    <definedName name="CANTIDADCU">'[21]PRE.C.MERCADO'!$G$221:$G$244</definedName>
    <definedName name="CANTIDADES">#REF!</definedName>
    <definedName name="CANTIDADM">'[21]ARMA S.E 01'!$D$12:$D$154</definedName>
    <definedName name="CANTIDADMONC">'[21]C.Unitario'!$F$686:$F$721</definedName>
    <definedName name="CANTIDADN">'[21]C.Unitario'!$E$686:$E$721</definedName>
    <definedName name="CAP">#REF!</definedName>
    <definedName name="capa">#REF!</definedName>
    <definedName name="Capataz_Montaje">#REF!</definedName>
    <definedName name="Capataz_Obras_Civiles">#REF!</definedName>
    <definedName name="Capt">#REF!</definedName>
    <definedName name="CAR">#REF!</definedName>
    <definedName name="cara">#REF!</definedName>
    <definedName name="carajo">#REF!</definedName>
    <definedName name="CARGO">#REF!</definedName>
    <definedName name="CARGO1">#REF!</definedName>
    <definedName name="Carlosalvarez">#REF!</definedName>
    <definedName name="cba">#REF!</definedName>
    <definedName name="CC">#REF!</definedName>
    <definedName name="ccc">#REF!</definedName>
    <definedName name="CCCC">#REF!</definedName>
    <definedName name="ccccc">#REF!</definedName>
    <definedName name="cccccc">#REF!</definedName>
    <definedName name="CCCCCCCCC">#REF!</definedName>
    <definedName name="CCH">#REF!</definedName>
    <definedName name="ccxcxxcxcxcx">#REF!</definedName>
    <definedName name="CD">#REF!</definedName>
    <definedName name="CD.ACTUAL">'[22]Val. mensual '!$L$357</definedName>
    <definedName name="CD.ACUMULADO">'[22]Val. mensual '!$O$357</definedName>
    <definedName name="CD.ANTERIOR">'[22]Val. mensual '!$I$357</definedName>
    <definedName name="CD_03">#REF!</definedName>
    <definedName name="CDATE">#REF!</definedName>
    <definedName name="cdevfrbgtyhnmjyukjlaq">#REF!</definedName>
    <definedName name="CDIRECTO">#REF!</definedName>
    <definedName name="CDO_03">#REF!</definedName>
    <definedName name="CEMENTO">#REF!</definedName>
    <definedName name="CERCE">#REF!</definedName>
    <definedName name="CERCO_AES">#REF!</definedName>
    <definedName name="CERCO_EST">#REF!</definedName>
    <definedName name="cesar">#REF!</definedName>
    <definedName name="cf">#REF!</definedName>
    <definedName name="Choca">#REF!</definedName>
    <definedName name="CIMENT">#REF!</definedName>
    <definedName name="cinco">'[23]Comple Julio'!$B$20:$D$25</definedName>
    <definedName name="CIRO">#REF!</definedName>
    <definedName name="CIVIL">#REF!</definedName>
    <definedName name="Clase">#REF!</definedName>
    <definedName name="Clasificación">#REF!</definedName>
    <definedName name="clial">#REF!</definedName>
    <definedName name="clicu">#REF!</definedName>
    <definedName name="clige">#REF!</definedName>
    <definedName name="Cmd">#REF!</definedName>
    <definedName name="cmh">#REF!</definedName>
    <definedName name="cmuse">#REF!</definedName>
    <definedName name="cndhfbfgctrpb21654cvvv">#REF!</definedName>
    <definedName name="cndhfgvnlfpwbsjvkv12584665122">#REF!</definedName>
    <definedName name="CNFBVGSRED4567VJFHRTYDNVLPF">#REF!</definedName>
    <definedName name="cnfgcbetsrdhfkevpofv4416868">#REF!</definedName>
    <definedName name="cnfiedformginswplasdeicndfghrplkhdgfjgkh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LEGIO">#REF!</definedName>
    <definedName name="COLUM">#REF!</definedName>
    <definedName name="COM">#REF!</definedName>
    <definedName name="COMO">[24]ACERO!#REF!</definedName>
    <definedName name="COMPEN_POR_TENSION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componentes">#REF!</definedName>
    <definedName name="COMPROVANTES">#REF!</definedName>
    <definedName name="con">#REF!</definedName>
    <definedName name="CON_D2">#REF!</definedName>
    <definedName name="CONCHAN">#REF!</definedName>
    <definedName name="CONCL">#REF!</definedName>
    <definedName name="CONCLD">#REF!</definedName>
    <definedName name="CONCLU">#REF!</definedName>
    <definedName name="CONCLUSI">#REF!</definedName>
    <definedName name="CONCLUSIONES">#REF!</definedName>
    <definedName name="CONCQTY">#REF!</definedName>
    <definedName name="CONCRETE">#REF!</definedName>
    <definedName name="Concretero">#REF!</definedName>
    <definedName name="COND">#REF!</definedName>
    <definedName name="CONDICION">#REF!</definedName>
    <definedName name="CONDUC">#REF!</definedName>
    <definedName name="CONNY">#REF!</definedName>
    <definedName name="connyyyyy">#REF!</definedName>
    <definedName name="CONSOLIDADOF3">#REF!</definedName>
    <definedName name="CONSTRUCTOR">#REF!</definedName>
    <definedName name="CONSTRUCTORA_GARDILCIC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TINUIDAD">#REF!</definedName>
    <definedName name="CONTRATISTA">#REF!</definedName>
    <definedName name="CONTRO">#REF!</definedName>
    <definedName name="control">#REF!</definedName>
    <definedName name="copia">#REF!</definedName>
    <definedName name="copiar">[25]flotas!$O$2:$Y$37</definedName>
    <definedName name="CORONA">#REF!</definedName>
    <definedName name="Corte">#REF!</definedName>
    <definedName name="COST1">#REF!</definedName>
    <definedName name="COSTO_COMBUSTIBLE_STEP_02">#REF!</definedName>
    <definedName name="costo_directo">#REF!</definedName>
    <definedName name="costo_directo_contratado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OP_H">#REF!</definedName>
    <definedName name="COSTO_POSESION">#REF!</definedName>
    <definedName name="COSTO_POSESION1">#REF!</definedName>
    <definedName name="COSTO_SUBCONTRATOS_STEP_02">#REF!</definedName>
    <definedName name="Costos">#REF!</definedName>
    <definedName name="costx">#REF!</definedName>
    <definedName name="COSUMO_D2_2">#REF!</definedName>
    <definedName name="COTI">#REF!</definedName>
    <definedName name="CP">#REF!</definedName>
    <definedName name="Cr">#REF!</definedName>
    <definedName name="CREW">#REF!</definedName>
    <definedName name="Criteria">#REF!</definedName>
    <definedName name="Criterio">#REF!</definedName>
    <definedName name="Criterios_IM">#REF!</definedName>
    <definedName name="Cro">#REF!</definedName>
    <definedName name="crono">#REF!</definedName>
    <definedName name="Cronog">[26]Plla_Pers!#REF!</definedName>
    <definedName name="CRONOGRAMA">#REF!</definedName>
    <definedName name="CRONOGRAMALINEAL">#REF!</definedName>
    <definedName name="cronoin">#REF!</definedName>
    <definedName name="crooooo">#REF!</definedName>
    <definedName name="CST">#REF!</definedName>
    <definedName name="CT">#REF!</definedName>
    <definedName name="CT_CAM">#REF!</definedName>
    <definedName name="cu_agr">#REF!</definedName>
    <definedName name="cu_fam">#REF!</definedName>
    <definedName name="cu_pec">#REF!</definedName>
    <definedName name="cu_pilet">#REF!</definedName>
    <definedName name="CUADERNO">#REF!</definedName>
    <definedName name="CUADRILLA">[27]CUADRILLA!$A$9:$D$209</definedName>
    <definedName name="CUADRILLA2T">'[28]METRADO-RENDIMIENTOS-MAYO'!$AG$4:$BK$4</definedName>
    <definedName name="CUADRILLAS">#REF!</definedName>
    <definedName name="CUADRO">#REF!</definedName>
    <definedName name="CUADRO_RESUMEN_DEL_MOVIMIENTO_DE_ALMACEN">#REF!</definedName>
    <definedName name="cuadro01">#REF!</definedName>
    <definedName name="cuadro02">#REF!</definedName>
    <definedName name="Cucharón">#REF!</definedName>
    <definedName name="CUCHILLAS">#REF!</definedName>
    <definedName name="CUI">#REF!</definedName>
    <definedName name="CURVA">#REF!</definedName>
    <definedName name="CURVAS">#REF!</definedName>
    <definedName name="CURVASSSSXX">#REF!</definedName>
    <definedName name="cv">#REF!</definedName>
    <definedName name="cvb">#REF!</definedName>
    <definedName name="cvcxvxcv">#REF!</definedName>
    <definedName name="CVCXVXVC">#REF!</definedName>
    <definedName name="CVHE">#REF!</definedName>
    <definedName name="CVO">#REF!</definedName>
    <definedName name="CVXVC">#REF!</definedName>
    <definedName name="cx">#REF!</definedName>
    <definedName name="CXCVXCX">#REF!</definedName>
    <definedName name="CXCX">#REF!</definedName>
    <definedName name="cxcxc">#REF!</definedName>
    <definedName name="cxcxcxc">#REF!</definedName>
    <definedName name="cxcxcxcxccxcx">#REF!</definedName>
    <definedName name="cxcxcxcxcxcxcxxxx">#REF!</definedName>
    <definedName name="cxcxvcvc">#REF!</definedName>
    <definedName name="cxcxzczczzzzzz">#REF!</definedName>
    <definedName name="cxcxzczxczc">#REF!</definedName>
    <definedName name="cxv">#REF!</definedName>
    <definedName name="cxxcxcx">#REF!</definedName>
    <definedName name="cxxczxczxc">#REF!</definedName>
    <definedName name="CXZCCXCXCZCZX">#REF!</definedName>
    <definedName name="CXZCXZCCZC">#REF!</definedName>
    <definedName name="CXZCXZCXZC">#REF!</definedName>
    <definedName name="cxzczxcz">#REF!</definedName>
    <definedName name="czcxczc">#REF!</definedName>
    <definedName name="czczzc">#REF!</definedName>
    <definedName name="czx">#REF!</definedName>
    <definedName name="CZXCXZCZCZX">#REF!</definedName>
    <definedName name="czxczxczxcz">#REF!</definedName>
    <definedName name="czxv">#REF!</definedName>
    <definedName name="D">#REF!</definedName>
    <definedName name="DA">#REF!</definedName>
    <definedName name="DADA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n">#REF!</definedName>
    <definedName name="DAS">#REF!</definedName>
    <definedName name="dasd">#REF!</definedName>
    <definedName name="dasdafdas">#REF!</definedName>
    <definedName name="dasdasass">#REF!</definedName>
    <definedName name="dasdfef">#REF!</definedName>
    <definedName name="DATA">#REF!</definedName>
    <definedName name="Database">#REF!</definedName>
    <definedName name="DATE">#REF!</definedName>
    <definedName name="DATO">#REF!</definedName>
    <definedName name="DATOS">#REF!</definedName>
    <definedName name="DAVID">#REF!</definedName>
    <definedName name="DC">#REF!</definedName>
    <definedName name="DC_1">#REF!</definedName>
    <definedName name="DC_1T">#REF!</definedName>
    <definedName name="DC_2">#REF!</definedName>
    <definedName name="DC_2T">#REF!</definedName>
    <definedName name="dcfvgbhnjutykop">#REF!</definedName>
    <definedName name="DCV">#REF!</definedName>
    <definedName name="DD">!#REF!</definedName>
    <definedName name="ddcdz">#REF!</definedName>
    <definedName name="DDD">#REF!</definedName>
    <definedName name="dddd">#REF!</definedName>
    <definedName name="DDDDDDD">#REF!</definedName>
    <definedName name="DDDDDDDD">#REF!</definedName>
    <definedName name="DDDDDDDDDDDD">#REF!</definedName>
    <definedName name="ddf">#REF!</definedName>
    <definedName name="ddgf">#REF!</definedName>
    <definedName name="ddsdsdsds">#REF!</definedName>
    <definedName name="de">#REF!</definedName>
    <definedName name="dedewdew">#REF!</definedName>
    <definedName name="dedsdedd">#REF!</definedName>
    <definedName name="DEDUCC">'[16]Deducc. que no Corresp.'!#REF!</definedName>
    <definedName name="DEDUCCION">'[18]Deducc. que no Corresp.'!#REF!</definedName>
    <definedName name="delCINCO">#REF!</definedName>
    <definedName name="delDIEZ">#REF!</definedName>
    <definedName name="delDOCE">#REF!</definedName>
    <definedName name="delUNO">#REF!</definedName>
    <definedName name="der">#REF!</definedName>
    <definedName name="Desarrollo">{"MO(BASE)",#N/A,FALSE,"MO(BASE)";"MO(BASE)1",#N/A,FALSE,"MO(BASE)";"MO(BASE)2",#N/A,FALSE,"MO(BASE)"}</definedName>
    <definedName name="desarrollo1">{"MO(BASE)",#N/A,FALSE,"MO(BASE)";"MO(BASE)1",#N/A,FALSE,"MO(BASE)";"MO(BASE)2",#N/A,FALSE,"MO(BASE)"}</definedName>
    <definedName name="DESCRIPCION">[29]Tablas!$B$5:$B$368</definedName>
    <definedName name="Descuento_Especial">#REF!</definedName>
    <definedName name="Descuento_Especial_Anticipo">#REF!</definedName>
    <definedName name="Descuento_Movim.Tierras">#REF!</definedName>
    <definedName name="DESGGHUKKOPLKJHH">#REF!</definedName>
    <definedName name="DETALLE">#REF!</definedName>
    <definedName name="Detalle_de_la__Obra">#REF!</definedName>
    <definedName name="df">#REF!</definedName>
    <definedName name="DFCS">#REF!</definedName>
    <definedName name="DFD">#REF!</definedName>
    <definedName name="DFDFD">#REF!</definedName>
    <definedName name="DFDFDDF">#REF!</definedName>
    <definedName name="DFDFDFDFDF">#REF!</definedName>
    <definedName name="dfdfdfdfdfdfdfdfd">#REF!</definedName>
    <definedName name="dfdfdfdsfds">#REF!</definedName>
    <definedName name="DFDGFGF">#REF!</definedName>
    <definedName name="dfdsfdsfds">#REF!</definedName>
    <definedName name="dfdsfdsfsdfsdfsd">#REF!</definedName>
    <definedName name="DFG">[3]EXP!#REF!</definedName>
    <definedName name="dfgfdg">#REF!</definedName>
    <definedName name="DFGG">#REF!</definedName>
    <definedName name="dfggf">#REF!</definedName>
    <definedName name="dfghjklpoiuyybnm">#REF!</definedName>
    <definedName name="DFGTRTRETRETERT">#REF!</definedName>
    <definedName name="dfhryftgnvmcndhfgsklljhhgdf">#REF!</definedName>
    <definedName name="dfsadfasd">#REF!</definedName>
    <definedName name="DFSD">#REF!</definedName>
    <definedName name="DFSDF">#REF!</definedName>
    <definedName name="DFSDFDSFDSFDFDS">#REF!</definedName>
    <definedName name="DFSDS">#REF!</definedName>
    <definedName name="dg">'[30]Tareo Abril'!#REF!</definedName>
    <definedName name="DGDFGDDDD">#REF!</definedName>
    <definedName name="dgdfgdfgdfgdfg">#REF!</definedName>
    <definedName name="dgfrtsreawlku4561">#REF!</definedName>
    <definedName name="DIA">'[31]Tareo Abril'!#REF!</definedName>
    <definedName name="DIAMETR">'[32]METRADO-RENDIMIENTOS-AGOSTO'!$AC$1:$AC$7</definedName>
    <definedName name="DIAMETROS">#REF!</definedName>
    <definedName name="DIAMETROS2">[33]DATOS!$B$4:$B$12</definedName>
    <definedName name="DIANA">#REF!</definedName>
    <definedName name="dIAS">'[34]Tareo Abril'!#REF!</definedName>
    <definedName name="DIAS_EN_FAENA">#REF!</definedName>
    <definedName name="DieciNueve">'[23]Comple Julio'!$B$112:$D$120</definedName>
    <definedName name="dieciseis">'[23]Comple Julio'!$B$83:$D$89</definedName>
    <definedName name="dieciSiete">'[23]Comple Julio'!$B$91:$D$98</definedName>
    <definedName name="dies">'[23]Comple Julio'!$B$51:$D$57</definedName>
    <definedName name="DiesiOcho">'[23]Comple Julio'!$B$102:$D$108</definedName>
    <definedName name="DIL">[35]Plla_Pers!$AO$15:$AQ$19</definedName>
    <definedName name="DIRECTO">#REF!</definedName>
    <definedName name="DIS">#REF!</definedName>
    <definedName name="DISTRITO">#REF!</definedName>
    <definedName name="djfhrgtsferdkvlfvmnbkjf">#REF!</definedName>
    <definedName name="DMC">#REF!</definedName>
    <definedName name="DMS">#REF!</definedName>
    <definedName name="dnc">[36]Ded_no_corres!$A$1:$M$44</definedName>
    <definedName name="doce">'[23]Comple Julio'!$B$70:$D$77</definedName>
    <definedName name="DOCUMENTO">#REF!</definedName>
    <definedName name="dolar">#REF!</definedName>
    <definedName name="dos">'[23]Comple Julio'!$B$8:$D$9</definedName>
    <definedName name="DP">#REF!</definedName>
    <definedName name="DQWDQ">#REF!</definedName>
    <definedName name="dr">#REF!</definedName>
    <definedName name="DRA_PIURA___2">#REF!</definedName>
    <definedName name="DRA_PIURA___3">#REF!</definedName>
    <definedName name="DRA_PIURA___4">#REF!</definedName>
    <definedName name="DRA_PIURA___5">#REF!</definedName>
    <definedName name="DRA_PIURA__2">#REF!</definedName>
    <definedName name="DRA_PIURA__5">#REF!</definedName>
    <definedName name="DRA_PIURA1">#REF!</definedName>
    <definedName name="ds">#REF!</definedName>
    <definedName name="DS_2">#REF!</definedName>
    <definedName name="DS_3">#REF!</definedName>
    <definedName name="dsa">#REF!</definedName>
    <definedName name="DSAD">#REF!</definedName>
    <definedName name="DSADA">#REF!</definedName>
    <definedName name="dsadas">#REF!</definedName>
    <definedName name="dsadasdasd">#REF!</definedName>
    <definedName name="dsadasdsada">#REF!</definedName>
    <definedName name="dsadsads">#REF!</definedName>
    <definedName name="DSC">#REF!</definedName>
    <definedName name="DSD">#REF!</definedName>
    <definedName name="DSDS">#REF!</definedName>
    <definedName name="dsdsadsdsa">#REF!</definedName>
    <definedName name="dsdsds">#REF!</definedName>
    <definedName name="dsdsdsadsaxzxs">#REF!</definedName>
    <definedName name="dsdsdsds">#REF!</definedName>
    <definedName name="dsdsdsdsd">#REF!</definedName>
    <definedName name="DSDSDSDSDS">#REF!</definedName>
    <definedName name="dsdsdsdsdsd">#REF!</definedName>
    <definedName name="dsdsdsdsdsds">#REF!</definedName>
    <definedName name="dsdsdss">#REF!</definedName>
    <definedName name="dsdss">#REF!</definedName>
    <definedName name="dsdssssssssss">#REF!</definedName>
    <definedName name="dsf">#REF!</definedName>
    <definedName name="dsfds">'[30]Tareo Abril'!#REF!</definedName>
    <definedName name="DSFSDF">#REF!</definedName>
    <definedName name="dsfsdffsdf">#REF!</definedName>
    <definedName name="dssd">#REF!</definedName>
    <definedName name="dssdfsdc">#REF!</definedName>
    <definedName name="DT_0">#REF!</definedName>
    <definedName name="DT_2">#REF!</definedName>
    <definedName name="DTO">#REF!</definedName>
    <definedName name="DUDA">#REF!</definedName>
    <definedName name="DUDAS">#REF!</definedName>
    <definedName name="DWDW">#REF!</definedName>
    <definedName name="dxp">#REF!</definedName>
    <definedName name="dxscdxfcdvfcgbcvh">#REF!</definedName>
    <definedName name="DZ">#REF!</definedName>
    <definedName name="E">#REF!</definedName>
    <definedName name="E_1">#REF!</definedName>
    <definedName name="E_1_1">#REF!</definedName>
    <definedName name="E_1_1S">#REF!</definedName>
    <definedName name="E_1S">#REF!</definedName>
    <definedName name="E_2">#REF!</definedName>
    <definedName name="E_2_1">#REF!</definedName>
    <definedName name="E_2_1S">#REF!</definedName>
    <definedName name="E_2S">#REF!</definedName>
    <definedName name="E_3">#REF!</definedName>
    <definedName name="E_3_1">#REF!</definedName>
    <definedName name="E_3_1S">#REF!</definedName>
    <definedName name="E_3S">#REF!</definedName>
    <definedName name="E_4">#REF!</definedName>
    <definedName name="E_4_1">#REF!</definedName>
    <definedName name="E_4_1S">#REF!</definedName>
    <definedName name="E_4S">#REF!</definedName>
    <definedName name="E_5">#REF!</definedName>
    <definedName name="E_5_1">#REF!</definedName>
    <definedName name="E_5_1S">#REF!</definedName>
    <definedName name="E_5S">#REF!</definedName>
    <definedName name="E_6">#REF!</definedName>
    <definedName name="E_6_1">#REF!</definedName>
    <definedName name="E_6_1S">#REF!</definedName>
    <definedName name="E_6S">#REF!</definedName>
    <definedName name="EA">#REF!</definedName>
    <definedName name="ECHARATI">#REF!</definedName>
    <definedName name="ed">#REF!</definedName>
    <definedName name="EDADCDZFFE">#REF!</definedName>
    <definedName name="EDGAR">#REF!</definedName>
    <definedName name="EDGAR1">#REF!</definedName>
    <definedName name="EDSESAXZ234212222222222222222">#REF!</definedName>
    <definedName name="EDW">#REF!</definedName>
    <definedName name="EE">#REF!</definedName>
    <definedName name="eedsfervfr">#REF!</definedName>
    <definedName name="EEE">#REF!</definedName>
    <definedName name="eeee345">#REF!</definedName>
    <definedName name="eeeeee">#REF!</definedName>
    <definedName name="eeeeeeeeeeee">#REF!</definedName>
    <definedName name="eeeeeeeeeeeee">#REF!</definedName>
    <definedName name="EEEEEEEEEEEEEEEEEEEEEEEEE">#REF!</definedName>
    <definedName name="eeerrrrrrrwww">#REF!</definedName>
    <definedName name="EF">#REF!</definedName>
    <definedName name="EFA">#REF!</definedName>
    <definedName name="EFADF">#REF!</definedName>
    <definedName name="EFDFDFDFD">#REF!</definedName>
    <definedName name="efeag">'[2]F-05'!#REF!</definedName>
    <definedName name="EFRG">#REF!</definedName>
    <definedName name="EFWEF">#REF!</definedName>
    <definedName name="EGV">#REF!</definedName>
    <definedName name="EJE_T">[37]DATOS!$K$17:$K$60</definedName>
    <definedName name="EL_COLLAO">#REF!</definedName>
    <definedName name="ELECTRICAL">#REF!</definedName>
    <definedName name="Elementos_de_Seguridad">#REF!</definedName>
    <definedName name="ELEMENTS">#REF!</definedName>
    <definedName name="Elgar01">#REF!</definedName>
    <definedName name="EMILIO">#REF!</definedName>
    <definedName name="empal">[38]DATOS!$A$2:$B$10</definedName>
    <definedName name="ENTIDAD">#REF!</definedName>
    <definedName name="EQ">#REF!</definedName>
    <definedName name="EQQ">#REF!</definedName>
    <definedName name="Equipo">#REF!</definedName>
    <definedName name="Equipos">#REF!</definedName>
    <definedName name="ER">[24]ACERO!#REF!</definedName>
    <definedName name="ere">#REF!</definedName>
    <definedName name="ererer">#REF!</definedName>
    <definedName name="erererererere">#REF!</definedName>
    <definedName name="ERET">#REF!</definedName>
    <definedName name="es">#REF!</definedName>
    <definedName name="ESA">#REF!</definedName>
    <definedName name="escaleras">#REF!</definedName>
    <definedName name="escaleras2">#REF!</definedName>
    <definedName name="ESE">#REF!</definedName>
    <definedName name="ESEST">#REF!</definedName>
    <definedName name="ESPECIALIDAD">#REF!</definedName>
    <definedName name="EST">#REF!</definedName>
    <definedName name="ESTAADO">#REF!</definedName>
    <definedName name="ETA">[24]ACERO!#REF!</definedName>
    <definedName name="ETE">#REF!</definedName>
    <definedName name="ETW">#REF!</definedName>
    <definedName name="EVALUADOR_______________Ing__Juan_B._Sota_Huaman">#REF!</definedName>
    <definedName name="EW">#REF!</definedName>
    <definedName name="EWQ">#REF!</definedName>
    <definedName name="EX">#REF!</definedName>
    <definedName name="EX_UNI_CAB">#REF!</definedName>
    <definedName name="EXC">#REF!</definedName>
    <definedName name="exca">#REF!</definedName>
    <definedName name="excavacio">#REF!</definedName>
    <definedName name="EXCAVACION">#REF!</definedName>
    <definedName name="EXCAVACION.">#REF!</definedName>
    <definedName name="EXCAVACIONANT">#REF!</definedName>
    <definedName name="EXCAVACIONNANT1">#REF!</definedName>
    <definedName name="EXCEL">#REF!</definedName>
    <definedName name="Excel_BuiltIn__FilterDatabase_1">#REF!</definedName>
    <definedName name="Excel_BuiltIn_Print_Area_1">#REF!</definedName>
    <definedName name="exped">#REF!</definedName>
    <definedName name="EXPORT">#REF!</definedName>
    <definedName name="Extracción_IM">#REF!</definedName>
    <definedName name="Extract">#REF!</definedName>
    <definedName name="FAAAA">#REF!</definedName>
    <definedName name="FAAAAA">#REF!</definedName>
    <definedName name="FAASFAFA">#REF!</definedName>
    <definedName name="fac">#REF!</definedName>
    <definedName name="facr">[39]NTM!#REF!</definedName>
    <definedName name="Factor">#REF!</definedName>
    <definedName name="FACTRELACION">#REF!</definedName>
    <definedName name="FACTURACIONES_SALDO_DE_OBRA_IPC_Lista">#REF!</definedName>
    <definedName name="fafdas">#REF!</definedName>
    <definedName name="fasdfasaw">#REF!</definedName>
    <definedName name="FASDFSA">#REF!</definedName>
    <definedName name="fasdfsadfsd">#REF!</definedName>
    <definedName name="FASFAS_CCV">#REF!</definedName>
    <definedName name="fconc">[39]NTM!$E$82:$E$85</definedName>
    <definedName name="FCXCXCXCX">#REF!</definedName>
    <definedName name="fczxcz">#REF!</definedName>
    <definedName name="fd">#REF!</definedName>
    <definedName name="FDB">#REF!</definedName>
    <definedName name="fddsfdsfsd">#REF!</definedName>
    <definedName name="FDFDFDFDF">#REF!</definedName>
    <definedName name="fdfdfdfdfdffff">#REF!</definedName>
    <definedName name="fdfdsfds">#REF!</definedName>
    <definedName name="fdfdsfdsfdsfd">#REF!</definedName>
    <definedName name="fdg">#REF!</definedName>
    <definedName name="FDGDFGDFGFG">#REF!</definedName>
    <definedName name="fdgdfgfdd">#REF!</definedName>
    <definedName name="FDGDFGFDGFDG">#REF!</definedName>
    <definedName name="fdgfdgfgfd">#REF!</definedName>
    <definedName name="fdsfds">'[40]Tareo Abril'!#REF!</definedName>
    <definedName name="fdsfdsf">#REF!</definedName>
    <definedName name="FDSFDSFDS">#REF!</definedName>
    <definedName name="FDSFSDFDSFDSFDS">#REF!</definedName>
    <definedName name="fdsfsfsd">#REF!</definedName>
    <definedName name="FDSGS">#REF!</definedName>
    <definedName name="fdzg">#REF!</definedName>
    <definedName name="FE">#REF!</definedName>
    <definedName name="FECHA">#REF!</definedName>
    <definedName name="FECHA_VAL">[41]DATOS!$B$12</definedName>
    <definedName name="FEF">#REF!</definedName>
    <definedName name="FEFE">#REF!</definedName>
    <definedName name="FEGRG">#REF!</definedName>
    <definedName name="FER">#REF!</definedName>
    <definedName name="ferrrrrrr">#REF!</definedName>
    <definedName name="FEWFEWF">#REF!</definedName>
    <definedName name="FF">#REF!</definedName>
    <definedName name="FFDFDFD">#REF!</definedName>
    <definedName name="FFDFDFDF">#REF!</definedName>
    <definedName name="FFF">#REF!</definedName>
    <definedName name="FFFD">#REF!</definedName>
    <definedName name="FFFDFDF">#REF!</definedName>
    <definedName name="FFFF">#REF!</definedName>
    <definedName name="FFFFF">#REF!</definedName>
    <definedName name="FFFFFF">#REF!</definedName>
    <definedName name="FFFFFFF">#REF!</definedName>
    <definedName name="ffffffff">#REF!</definedName>
    <definedName name="fffffffffff">#REF!</definedName>
    <definedName name="ffffffffffff">#REF!</definedName>
    <definedName name="FFFFFFFFFFFFFFFFF">#REF!</definedName>
    <definedName name="FFFFFFFFFFFFFFFFFFFFF">#REF!</definedName>
    <definedName name="fffghfjkjhkjk">#REF!</definedName>
    <definedName name="FFinal">#REF!</definedName>
    <definedName name="FFRF">#REF!</definedName>
    <definedName name="ffv">#REF!</definedName>
    <definedName name="fg">#REF!</definedName>
    <definedName name="fg.10">#REF!</definedName>
    <definedName name="fg.5">#REF!</definedName>
    <definedName name="FGD">#REF!</definedName>
    <definedName name="FGDGFDGDFGDFGFD">#REF!</definedName>
    <definedName name="FGF">#REF!</definedName>
    <definedName name="FGFBFB">#REF!</definedName>
    <definedName name="fgfdgdfd">#REF!</definedName>
    <definedName name="FGFDGFD">#REF!</definedName>
    <definedName name="fgfdgrfdg">#REF!</definedName>
    <definedName name="fgfgfgfg">#REF!</definedName>
    <definedName name="fggdf">#REF!</definedName>
    <definedName name="FGHGF">#REF!</definedName>
    <definedName name="fgrgf">#REF!</definedName>
    <definedName name="FGYGYH">#REF!</definedName>
    <definedName name="FH">#REF!</definedName>
    <definedName name="FHGH">#REF!</definedName>
    <definedName name="FICHA">#REF!</definedName>
    <definedName name="Ficha_15">#REF!</definedName>
    <definedName name="FICHAAAA">#REF!</definedName>
    <definedName name="FIELD_STAFF">#REF!</definedName>
    <definedName name="FIERRO">#REF!</definedName>
    <definedName name="FINAL">#REF!</definedName>
    <definedName name="FINANCIERO">#REF!</definedName>
    <definedName name="FInicio">#REF!</definedName>
    <definedName name="fisico">#REF!</definedName>
    <definedName name="FJGUD">[24]ACERO!#REF!</definedName>
    <definedName name="fnvkdnklgtrmtrlñ">#REF!</definedName>
    <definedName name="fondo_de_garantia">#REF!</definedName>
    <definedName name="for_2">#REF!</definedName>
    <definedName name="Forma_Pago">#REF!</definedName>
    <definedName name="FORMALETA">#REF!</definedName>
    <definedName name="formato_1">#REF!</definedName>
    <definedName name="formato01">#REF!</definedName>
    <definedName name="formato03">#REF!</definedName>
    <definedName name="formato04">#REF!</definedName>
    <definedName name="formato05">#REF!</definedName>
    <definedName name="formato06">#REF!</definedName>
    <definedName name="formato07">#REF!</definedName>
    <definedName name="formato08">#REF!</definedName>
    <definedName name="formato10">#REF!</definedName>
    <definedName name="formato11">#REF!</definedName>
    <definedName name="formato12">#REF!</definedName>
    <definedName name="formato12A">#REF!</definedName>
    <definedName name="formato13">#REF!</definedName>
    <definedName name="formato14">#REF!</definedName>
    <definedName name="formato15">#REF!</definedName>
    <definedName name="formato16">#REF!</definedName>
    <definedName name="formato17">#REF!</definedName>
    <definedName name="formato18">#REF!</definedName>
    <definedName name="formato201">#REF!</definedName>
    <definedName name="formato202">#REF!</definedName>
    <definedName name="formato21">#REF!</definedName>
    <definedName name="formato23">#REF!</definedName>
    <definedName name="formato26">#REF!</definedName>
    <definedName name="formato28">#REF!</definedName>
    <definedName name="formato29">#REF!</definedName>
    <definedName name="formato30">#REF!</definedName>
    <definedName name="formato31">#REF!</definedName>
    <definedName name="FORMULA">#REF!</definedName>
    <definedName name="fotos">#REF!</definedName>
    <definedName name="FOTOSS">#REF!</definedName>
    <definedName name="fotosssss">#REF!</definedName>
    <definedName name="FR">#REF!</definedName>
    <definedName name="freddy">#REF!</definedName>
    <definedName name="FREIGHT">#REF!</definedName>
    <definedName name="FRF">#REF!</definedName>
    <definedName name="FRFR">#REF!</definedName>
    <definedName name="FRGR">#REF!</definedName>
    <definedName name="frodo">#REF!</definedName>
    <definedName name="FRR">#REF!</definedName>
    <definedName name="FSA">[42]Mensual!#REF!</definedName>
    <definedName name="FSDF">#REF!</definedName>
    <definedName name="FSDFASDFS">#REF!</definedName>
    <definedName name="fsdfd">#REF!</definedName>
    <definedName name="fsdfsdsd">#REF!</definedName>
    <definedName name="fsdfsgsgs">#REF!</definedName>
    <definedName name="FSFASFD">#REF!</definedName>
    <definedName name="fsfdfdsfsdfdsfdsfdfdf">#REF!</definedName>
    <definedName name="fsfsfwf">#REF!</definedName>
    <definedName name="FT">#REF!</definedName>
    <definedName name="fte.fto">[43]Datos!$D$13</definedName>
    <definedName name="fvfrvbgtbt">#REF!</definedName>
    <definedName name="FWEF">#REF!</definedName>
    <definedName name="FWEFEW">#REF!</definedName>
    <definedName name="FWEFW">#REF!</definedName>
    <definedName name="FXCXCDD">#REF!</definedName>
    <definedName name="G">#REF!</definedName>
    <definedName name="GABINETE">#REF!</definedName>
    <definedName name="GAM">#REF!</definedName>
    <definedName name="GAMK">#REF!</definedName>
    <definedName name="GAMM">#REF!</definedName>
    <definedName name="GAN">#REF!</definedName>
    <definedName name="GANADAS">#REF!</definedName>
    <definedName name="GANSEM">#REF!</definedName>
    <definedName name="GASSEM">#REF!</definedName>
    <definedName name="GASTADAS">#REF!</definedName>
    <definedName name="gbgbgbgbg">#REF!</definedName>
    <definedName name="gcvbb">#REF!</definedName>
    <definedName name="gdf">#REF!</definedName>
    <definedName name="gdfg">'[40]Tareo Abril'!#REF!</definedName>
    <definedName name="gdfgfd">#REF!</definedName>
    <definedName name="gdfgfdgd">#REF!</definedName>
    <definedName name="gdfgfdgdf">#REF!</definedName>
    <definedName name="GDFGFDGDFFDGFDGFD">#REF!</definedName>
    <definedName name="GDFGFDGDFGGGG">#REF!</definedName>
    <definedName name="gdfgfdgfd">#REF!</definedName>
    <definedName name="GDGFDGFDGFGFGFDGF">#REF!</definedName>
    <definedName name="ge">#REF!</definedName>
    <definedName name="GEGE">[24]ACERO!#REF!</definedName>
    <definedName name="GenDetail">#REF!</definedName>
    <definedName name="GESTION">#REF!</definedName>
    <definedName name="gfcgc">#REF!</definedName>
    <definedName name="GFDFDDFGFGDFGDFGDFGFDGF">#REF!</definedName>
    <definedName name="gfdg">#REF!</definedName>
    <definedName name="gfdgdfgdfdd">#REF!</definedName>
    <definedName name="gfdgfd">#REF!</definedName>
    <definedName name="GFDGFDDDDDFGDFGDFGDFGFD">#REF!</definedName>
    <definedName name="GFDGFDGDGFGFGFGFGFG">#REF!</definedName>
    <definedName name="gfdgfdgfdg">#REF!</definedName>
    <definedName name="GFG">#REF!</definedName>
    <definedName name="gfgfdgfdgdfgf">#REF!</definedName>
    <definedName name="GFGFDGFDGFD">#REF!</definedName>
    <definedName name="GFGFG">#REF!</definedName>
    <definedName name="gfgfgf">#REF!</definedName>
    <definedName name="gfgfgff">#REF!</definedName>
    <definedName name="gfh">#REF!</definedName>
    <definedName name="gfhfghgh">#REF!</definedName>
    <definedName name="GFHGFH">#REF!</definedName>
    <definedName name="GG">#REF!</definedName>
    <definedName name="GGD">#REF!</definedName>
    <definedName name="GGF">#REF!</definedName>
    <definedName name="GGG">#REF!</definedName>
    <definedName name="gggg">#REF!</definedName>
    <definedName name="GGGGGGG">#REF!</definedName>
    <definedName name="gggggggg">#REF!</definedName>
    <definedName name="GGGGR">#REF!</definedName>
    <definedName name="GGHGGGGGG">#REF!</definedName>
    <definedName name="GGM">#REF!</definedName>
    <definedName name="GGR">#REF!</definedName>
    <definedName name="GGS">'[19]SUST.METR. 4.01 AL 4.04'!#REF!</definedName>
    <definedName name="GGSFSF">#REF!</definedName>
    <definedName name="GGT">#REF!</definedName>
    <definedName name="GGV">#REF!</definedName>
    <definedName name="gh">#REF!</definedName>
    <definedName name="GHFGBDF">#REF!</definedName>
    <definedName name="ghh">#REF!</definedName>
    <definedName name="GHHGHGHG">#REF!</definedName>
    <definedName name="ghjk">#REF!</definedName>
    <definedName name="ghy">#REF!</definedName>
    <definedName name="GHYJYUKGWEGERH">#REF!</definedName>
    <definedName name="GJunio">#REF!</definedName>
    <definedName name="GL">#REF!</definedName>
    <definedName name="GLIQ">#REF!</definedName>
    <definedName name="GPP">#REF!</definedName>
    <definedName name="Graf">#REF!</definedName>
    <definedName name="grafico">#REF!</definedName>
    <definedName name="Graficos">#REF!</definedName>
    <definedName name="graph0">#REF!</definedName>
    <definedName name="Graph1">#REF!</definedName>
    <definedName name="GRAVA">#REF!</definedName>
    <definedName name="GRG">#REF!</definedName>
    <definedName name="GRGR">#REF!</definedName>
    <definedName name="GRGRG">#REF!</definedName>
    <definedName name="grtret">#REF!</definedName>
    <definedName name="GS">#REF!</definedName>
    <definedName name="GTG">#REF!</definedName>
    <definedName name="gtt">#REF!</definedName>
    <definedName name="GTTJU">#REF!</definedName>
    <definedName name="GTTY">#REF!</definedName>
    <definedName name="GUAR">#REF!</definedName>
    <definedName name="GUIAAG">#REF!</definedName>
    <definedName name="GUIAMAT">#REF!</definedName>
    <definedName name="guido">#REF!</definedName>
    <definedName name="GVEFEW">#REF!</definedName>
    <definedName name="H">#REF!</definedName>
    <definedName name="hbokoklkl">#REF!</definedName>
    <definedName name="hbvbvbvbvbv">#REF!</definedName>
    <definedName name="hcsjdhibhv">#REF!</definedName>
    <definedName name="he">#REF!</definedName>
    <definedName name="HERNAN">#REF!</definedName>
    <definedName name="hgfhf">#REF!</definedName>
    <definedName name="HGFHFGHGF">#REF!</definedName>
    <definedName name="hgfhgfhfgh">#REF!</definedName>
    <definedName name="HGGHGGGGGG">#REF!</definedName>
    <definedName name="HGGHGHG">#REF!</definedName>
    <definedName name="hgh">#REF!</definedName>
    <definedName name="hghfghgfhgf">#REF!</definedName>
    <definedName name="hghggggggggggg">#REF!</definedName>
    <definedName name="hghgggggggggggggggggggggggg">#REF!</definedName>
    <definedName name="HGHGHG">#REF!</definedName>
    <definedName name="hghghghghg">#REF!</definedName>
    <definedName name="hghghghghgh">#REF!</definedName>
    <definedName name="hghghghghghghg">#REF!</definedName>
    <definedName name="hghghhhhhhhhhhhh">#REF!</definedName>
    <definedName name="hghhhhhhh">#REF!</definedName>
    <definedName name="hgjhg">#REF!</definedName>
    <definedName name="hgjhgjhg">#REF!</definedName>
    <definedName name="hh">#REF!</definedName>
    <definedName name="HHC">#REF!</definedName>
    <definedName name="hhghghghgggggg">#REF!</definedName>
    <definedName name="HHH">#REF!</definedName>
    <definedName name="HHHHH">#REF!</definedName>
    <definedName name="HHHHHH">#REF!</definedName>
    <definedName name="hhhhhhhhhh">#REF!</definedName>
    <definedName name="hhhhhhhhhhh">#REF!</definedName>
    <definedName name="hhhhhhhhhhhhhhhh">#REF!</definedName>
    <definedName name="HHHHHHHHHHHHHHHHHHH">#REF!</definedName>
    <definedName name="HHME">#REF!</definedName>
    <definedName name="HHT">#REF!</definedName>
    <definedName name="HJ">#REF!</definedName>
    <definedName name="hjgfhjfghf">#REF!</definedName>
    <definedName name="hjghj">#REF!</definedName>
    <definedName name="hjh">#REF!</definedName>
    <definedName name="hjhh">#REF!</definedName>
    <definedName name="hjhj">#REF!</definedName>
    <definedName name="hjhjhg">#REF!</definedName>
    <definedName name="HJHJHJHJH">#REF!</definedName>
    <definedName name="HJUJUJUJU">#REF!</definedName>
    <definedName name="HJUYYYYY">#REF!</definedName>
    <definedName name="hmhmhgmgh">#REF!</definedName>
    <definedName name="hn">#REF!</definedName>
    <definedName name="Hoja">#REF!</definedName>
    <definedName name="HOJA1">#REF!</definedName>
    <definedName name="hoja2">#REF!</definedName>
    <definedName name="Hoja3">#REF!</definedName>
    <definedName name="hoja4">#REF!</definedName>
    <definedName name="HOKZA">#REF!</definedName>
    <definedName name="hola">#REF!</definedName>
    <definedName name="HOLYDAYS">#REF!</definedName>
    <definedName name="holydays1">#REF!</definedName>
    <definedName name="HOME_OFFICE">#REF!</definedName>
    <definedName name="HOR">#REF!</definedName>
    <definedName name="HORAS_MES">#REF!</definedName>
    <definedName name="Horas_Semana">#REF!</definedName>
    <definedName name="HORAS1">#REF!</definedName>
    <definedName name="hshfdhdhhdf">#REF!</definedName>
    <definedName name="HTHT">#REF!</definedName>
    <definedName name="HTHTT">#REF!</definedName>
    <definedName name="HTML_CodePage">1252</definedName>
    <definedName name="HTML_Control">{"'consolidado'!$A$2:$AA$2"}</definedName>
    <definedName name="HTML_Description">""</definedName>
    <definedName name="HTML_Email">""</definedName>
    <definedName name="HTML_Header">"consolidado"</definedName>
    <definedName name="HTML_LastUpdate">"13/02/2001"</definedName>
    <definedName name="HTML_LineAfter">FALSE</definedName>
    <definedName name="HTML_LineBefore">FALSE</definedName>
    <definedName name="HTML_Name">"Oficina de Sistemas"</definedName>
    <definedName name="HTML_OBDlg2">TRUE</definedName>
    <definedName name="HTML_OBDlg4">TRUE</definedName>
    <definedName name="HTML_OS">0</definedName>
    <definedName name="HTML_PathFile">"C:\logistica\consolidado\html\consolidado.htm"</definedName>
    <definedName name="HTML_Title">"consolidado"</definedName>
    <definedName name="hty76878uyth">#REF!</definedName>
    <definedName name="hvf">#REF!</definedName>
    <definedName name="HVGJF">#REF!</definedName>
    <definedName name="HYH">#REF!</definedName>
    <definedName name="HYHT">#REF!</definedName>
    <definedName name="I">#REF!</definedName>
    <definedName name="igv">#REF!</definedName>
    <definedName name="II">#REF!</definedName>
    <definedName name="IIII">#REF!</definedName>
    <definedName name="IIIO">#REF!</definedName>
    <definedName name="iiuiuiuiuiuiu">#REF!</definedName>
    <definedName name="IKIKIKIKI">#REF!</definedName>
    <definedName name="Imprimir_área_IM">#REF!</definedName>
    <definedName name="impuestos">#REF!</definedName>
    <definedName name="INCID">#REF!</definedName>
    <definedName name="INCIDENCIA">[44]POLINOMICA!$C$97:$D$176</definedName>
    <definedName name="INDICES">'[45]Relacion de INSUMOS'!$A$12:$F$284</definedName>
    <definedName name="INFmes">#REF!</definedName>
    <definedName name="INFnro">#REF!</definedName>
    <definedName name="INFRA">#REF!</definedName>
    <definedName name="INFSOSEM">#REF!</definedName>
    <definedName name="inftredgfcbvfgtrde">#REF!</definedName>
    <definedName name="INGENIERO">#REF!</definedName>
    <definedName name="INI_CEMENTO">#REF!</definedName>
    <definedName name="INI_CONCRETOS">#REF!</definedName>
    <definedName name="INI_FORMALETA">#REF!</definedName>
    <definedName name="INI_GRAVA">#REF!</definedName>
    <definedName name="INI_OTROS">#REF!</definedName>
    <definedName name="INICIAL">#REF!</definedName>
    <definedName name="INICIO">#REF!</definedName>
    <definedName name="Inicio16">'[46]Met. F-001'!$A$1</definedName>
    <definedName name="Inicio21">#REF!</definedName>
    <definedName name="Inicio25">#REF!</definedName>
    <definedName name="Inicio26">'[47]Tareo P.T.'!#REF!</definedName>
    <definedName name="Inicio39">#REF!</definedName>
    <definedName name="Inicio40">#REF!</definedName>
    <definedName name="Inicio56">#REF!</definedName>
    <definedName name="Inicio57">#REF!</definedName>
    <definedName name="Inicio58">#REF!</definedName>
    <definedName name="Inicio59">#REF!</definedName>
    <definedName name="Inicio60">#REF!</definedName>
    <definedName name="Inicio61">#REF!</definedName>
    <definedName name="Inicio62">#REF!</definedName>
    <definedName name="Inicio63">#REF!</definedName>
    <definedName name="INS">#REF!</definedName>
    <definedName name="INSET">#REF!</definedName>
    <definedName name="INSPECTOR">#REF!</definedName>
    <definedName name="INSTRUMENTATION">#REF!</definedName>
    <definedName name="INSU">#REF!</definedName>
    <definedName name="INSULATION">#REF!</definedName>
    <definedName name="INSUMO">'[48]Relacion de INSUMOS'!$A$12:$E$269</definedName>
    <definedName name="INSUMOS">#REF!</definedName>
    <definedName name="INTERRUPTORES">#REF!</definedName>
    <definedName name="InvInc_Equ">#REF!</definedName>
    <definedName name="InvInc_Mat">#REF!</definedName>
    <definedName name="IÑOÑIOÑ">#REF!</definedName>
    <definedName name="IOIIOÑ">#REF!</definedName>
    <definedName name="IOÑIOÑ">#REF!</definedName>
    <definedName name="iopoiop">#REF!</definedName>
    <definedName name="IP_EQUIPOS_STEP_01">#REF!</definedName>
    <definedName name="IP_EQUIPOS_STEP_01B">#REF!</definedName>
    <definedName name="IP_EQUIPOS_STEP_01C">#REF!</definedName>
    <definedName name="IP_MANO_DE_OBRA_STEP_02">#REF!</definedName>
    <definedName name="IP_MANO_DE_OBRA_STEP_02B">#REF!</definedName>
    <definedName name="IPC">#REF!</definedName>
    <definedName name="IS">#REF!</definedName>
    <definedName name="ITEM">#REF!</definedName>
    <definedName name="ITEMS">#REF!</definedName>
    <definedName name="IU">#REF!</definedName>
    <definedName name="IUIUI">#REF!</definedName>
    <definedName name="iuiuiuiuiuiu">#REF!</definedName>
    <definedName name="IUJKHNMJTGFLPO90">#REF!</definedName>
    <definedName name="IUN">#REF!</definedName>
    <definedName name="IUU">[49]ANACU!#REF!</definedName>
    <definedName name="IUUUU">#REF!</definedName>
    <definedName name="J">#REF!</definedName>
    <definedName name="JEJE">'[50]F-9 VAL OBR'!$C$13:$S$134</definedName>
    <definedName name="jghj">#REF!</definedName>
    <definedName name="JGHJGHJ">#REF!</definedName>
    <definedName name="JGHJHGJGHJHGJHGJHG">#REF!</definedName>
    <definedName name="JGHJHGJHGJGHJGHHGJGH">#REF!</definedName>
    <definedName name="JGHJHGJHGJHGJHGJGHJGHJHG">#REF!</definedName>
    <definedName name="JGYUGKHUKGYU">#REF!</definedName>
    <definedName name="JH">#REF!</definedName>
    <definedName name="jhg">#REF!</definedName>
    <definedName name="JHGHJHGHGHGJGHJHG">#REF!</definedName>
    <definedName name="jhgj">#REF!</definedName>
    <definedName name="JHGJGHJHGJHGJHGJ">#REF!</definedName>
    <definedName name="jhgjhg">#REF!</definedName>
    <definedName name="jhgjhgj">#REF!</definedName>
    <definedName name="jhgk">#REF!</definedName>
    <definedName name="jhhjghjhg">#REF!</definedName>
    <definedName name="jhjhgjhg">#REF!</definedName>
    <definedName name="jhjhhjj">#REF!</definedName>
    <definedName name="jhjhj">#REF!</definedName>
    <definedName name="JHJHJHJHHHHHHH">#REF!</definedName>
    <definedName name="JHJHJHJHJHH">#REF!</definedName>
    <definedName name="JHJHJHJHJHJ">#REF!</definedName>
    <definedName name="jhjhjhjhjhjhj">#REF!</definedName>
    <definedName name="JHJJHJH">#REF!</definedName>
    <definedName name="jhjujkjkkkk">#REF!</definedName>
    <definedName name="JHYUHY">#REF!</definedName>
    <definedName name="JJ">#REF!</definedName>
    <definedName name="JJHFDSD">#REF!</definedName>
    <definedName name="JJJ">#REF!</definedName>
    <definedName name="JJJJ">'[34]Tareo Abril'!#REF!</definedName>
    <definedName name="jjjjhjhjh">#REF!</definedName>
    <definedName name="jjjjjjjjjjj">#REF!</definedName>
    <definedName name="JJJJJJJJJJJJJJJJJJJ">#REF!</definedName>
    <definedName name="JK">#REF!</definedName>
    <definedName name="JKBCJEH">#REF!</definedName>
    <definedName name="jkhgjhgjg">#REF!</definedName>
    <definedName name="jkhjkhj">#REF!</definedName>
    <definedName name="JKJHKJHKH">#REF!</definedName>
    <definedName name="JKJKJKJKJKJ">#REF!</definedName>
    <definedName name="Jornalero">#REF!</definedName>
    <definedName name="JTJGHJGHJHGJGHJHGJHGHJGHJ">#REF!</definedName>
    <definedName name="JUAN">#REF!</definedName>
    <definedName name="JUAN1">#REF!</definedName>
    <definedName name="jui">#REF!</definedName>
    <definedName name="JUJ">#REF!</definedName>
    <definedName name="JUJU">#REF!</definedName>
    <definedName name="JUK">#REF!</definedName>
    <definedName name="jul">#REF!</definedName>
    <definedName name="JULIO">[51]CUADRO3!$L$16</definedName>
    <definedName name="JUNIO">#REF!</definedName>
    <definedName name="JUNIP">#REF!</definedName>
    <definedName name="JVYFLLGJ">#REF!</definedName>
    <definedName name="JY">#REF!</definedName>
    <definedName name="jytuhyjg">#REF!</definedName>
    <definedName name="K">#REF!</definedName>
    <definedName name="K01_0103">#REF!</definedName>
    <definedName name="k01_0104">#REF!</definedName>
    <definedName name="K01_0199">#REF!</definedName>
    <definedName name="K01_0203">#REF!</definedName>
    <definedName name="k01_0204">#REF!</definedName>
    <definedName name="K01_0299">#REF!</definedName>
    <definedName name="K01_0303">#REF!</definedName>
    <definedName name="k01_0304">#REF!</definedName>
    <definedName name="K01_0399">#REF!</definedName>
    <definedName name="K01_0403">#REF!</definedName>
    <definedName name="K01_0499">#REF!</definedName>
    <definedName name="K01_0503">#REF!</definedName>
    <definedName name="K01_0599">#REF!</definedName>
    <definedName name="K01_0603">#REF!</definedName>
    <definedName name="k01_0703">#REF!</definedName>
    <definedName name="k01_0803">#REF!</definedName>
    <definedName name="k01_0903">#REF!</definedName>
    <definedName name="K01_0998">#REF!</definedName>
    <definedName name="k01_1003">#REF!</definedName>
    <definedName name="K01_1098">#REF!</definedName>
    <definedName name="K01_1103">#REF!</definedName>
    <definedName name="K01_1198">#REF!</definedName>
    <definedName name="k01_1202">#REF!</definedName>
    <definedName name="K01_1203">#REF!</definedName>
    <definedName name="K01_1298">#REF!</definedName>
    <definedName name="K02_0103">#REF!</definedName>
    <definedName name="k02_0104">#REF!</definedName>
    <definedName name="K02_0199">#REF!</definedName>
    <definedName name="K02_0203">#REF!</definedName>
    <definedName name="k02_0204">#REF!</definedName>
    <definedName name="K02_0299">#REF!</definedName>
    <definedName name="K02_0303">#REF!</definedName>
    <definedName name="k02_0304">#REF!</definedName>
    <definedName name="K02_0399">#REF!</definedName>
    <definedName name="K02_0403">#REF!</definedName>
    <definedName name="K02_0499">#REF!</definedName>
    <definedName name="K02_0503">#REF!</definedName>
    <definedName name="K02_0599">#REF!</definedName>
    <definedName name="k02_0603">#REF!</definedName>
    <definedName name="k02_0703">#REF!</definedName>
    <definedName name="k02_0803">#REF!</definedName>
    <definedName name="k02_0903">#REF!</definedName>
    <definedName name="K02_0998">#REF!</definedName>
    <definedName name="k02_1003">#REF!</definedName>
    <definedName name="K02_1098">#REF!</definedName>
    <definedName name="k02_1103">#REF!</definedName>
    <definedName name="K02_1198">#REF!</definedName>
    <definedName name="k02_1202">#REF!</definedName>
    <definedName name="k02_1203">#REF!</definedName>
    <definedName name="K02_1298">#REF!</definedName>
    <definedName name="K03_0199">#REF!</definedName>
    <definedName name="K03_0299">#REF!</definedName>
    <definedName name="K03_0399">#REF!</definedName>
    <definedName name="K03_0499">#REF!</definedName>
    <definedName name="K03_0599">#REF!</definedName>
    <definedName name="K03_0998">#REF!</definedName>
    <definedName name="K03_1098">#REF!</definedName>
    <definedName name="K03_1198">#REF!</definedName>
    <definedName name="K03_1298">#REF!</definedName>
    <definedName name="KARLA">#REF!</definedName>
    <definedName name="KES">#REF!</definedName>
    <definedName name="KHBK">#REF!</definedName>
    <definedName name="KHIKHIKIKIKIK">#REF!</definedName>
    <definedName name="KI">#REF!</definedName>
    <definedName name="KIK">#REF!</definedName>
    <definedName name="KIKI">#REF!</definedName>
    <definedName name="KITENI">#REF!</definedName>
    <definedName name="kj">#REF!</definedName>
    <definedName name="kjghjhgjhg">#REF!</definedName>
    <definedName name="KJHJH">#REF!</definedName>
    <definedName name="kjj">#REF!</definedName>
    <definedName name="kjkjh">#REF!</definedName>
    <definedName name="KJKJKJKJ">#REF!</definedName>
    <definedName name="KJKJKJKJKJ">#REF!</definedName>
    <definedName name="kjkjkjkjkjkjk">#REF!</definedName>
    <definedName name="kjkjkjkjkjkjkjkjk">#REF!</definedName>
    <definedName name="kjkjkjkjkjkjkkkkkk">#REF!</definedName>
    <definedName name="KJKKJKJ">#REF!</definedName>
    <definedName name="kjnvfjkc">#REF!</definedName>
    <definedName name="kjp">#REF!</definedName>
    <definedName name="kjtrt">#REF!</definedName>
    <definedName name="kk">#REF!</definedName>
    <definedName name="KKIIKH">#REF!</definedName>
    <definedName name="KKK">#REF!</definedName>
    <definedName name="KKKK">#REF!</definedName>
    <definedName name="KKKKKK">#REF!</definedName>
    <definedName name="KKKKKKKKKKKKKKKK">#REF!</definedName>
    <definedName name="kkkkksdsdsds">#REF!</definedName>
    <definedName name="KL">#REF!</definedName>
    <definedName name="kljkjkjkjkjkjkjjjj">#REF!</definedName>
    <definedName name="KLK">#REF!</definedName>
    <definedName name="KLKLK">#REF!</definedName>
    <definedName name="KR">Hoja1!$AV$35:$BN$36</definedName>
    <definedName name="KUKUK">#REF!</definedName>
    <definedName name="l">#REF!</definedName>
    <definedName name="L.Sociales">#REF!</definedName>
    <definedName name="lalalala">#REF!</definedName>
    <definedName name="LANTAS_C_H">#REF!</definedName>
    <definedName name="lecassda">#REF!</definedName>
    <definedName name="lega16">#REF!</definedName>
    <definedName name="LEVEL">#REF!</definedName>
    <definedName name="LEVELS">#REF!</definedName>
    <definedName name="Leyes_Sociales">#REF!</definedName>
    <definedName name="li">#REF!</definedName>
    <definedName name="LIL">!#REF!</definedName>
    <definedName name="LILI">#REF!</definedName>
    <definedName name="LILIL">#REF!</definedName>
    <definedName name="LILILIL">#REF!</definedName>
    <definedName name="LIMA">#REF!</definedName>
    <definedName name="LINEA23">#REF!</definedName>
    <definedName name="LineaInversion">#REF!</definedName>
    <definedName name="LIQU">#REF!</definedName>
    <definedName name="LISTA">#REF!</definedName>
    <definedName name="LISTA01">#REF!</definedName>
    <definedName name="LISTA02">#REF!</definedName>
    <definedName name="LISTA03">#REF!</definedName>
    <definedName name="lista2">#REF!</definedName>
    <definedName name="LISTADO">#REF!</definedName>
    <definedName name="LISTADO_PLIEGOS_F1">[7]listaDesplegableUE!$A$39:$BF$94</definedName>
    <definedName name="ljaBO">#REF!</definedName>
    <definedName name="lk">#REF!</definedName>
    <definedName name="LKILK">#REF!</definedName>
    <definedName name="LKJLKLKLK">#REF!</definedName>
    <definedName name="LKL">#REF!</definedName>
    <definedName name="LKLK">#REF!</definedName>
    <definedName name="lklkjlj">#REF!</definedName>
    <definedName name="LKLKKKKKKKKK">#REF!</definedName>
    <definedName name="LKLKLKL">#REF!</definedName>
    <definedName name="lklkllk">#REF!</definedName>
    <definedName name="LL">#REF!</definedName>
    <definedName name="LL_1">#REF!</definedName>
    <definedName name="LL_2">#REF!</definedName>
    <definedName name="Llega11">#REF!</definedName>
    <definedName name="lLEGA13">#REF!</definedName>
    <definedName name="Llega16">#REF!</definedName>
    <definedName name="Llega18">#REF!</definedName>
    <definedName name="Llega21">#REF!</definedName>
    <definedName name="Llega22a21">#REF!</definedName>
    <definedName name="Llega22a23">#REF!</definedName>
    <definedName name="Llega22a24">#REF!</definedName>
    <definedName name="Llega22a30">#REF!</definedName>
    <definedName name="Llega24">#REF!</definedName>
    <definedName name="Llega26">#REF!</definedName>
    <definedName name="Llega28">#REF!</definedName>
    <definedName name="Llega41">#REF!</definedName>
    <definedName name="llega5">#REF!</definedName>
    <definedName name="Llega5150">#REF!</definedName>
    <definedName name="LLEGA8">#REF!</definedName>
    <definedName name="LlegaB2">#REF!</definedName>
    <definedName name="LLegal5">#REF!</definedName>
    <definedName name="llklklklklklk">#REF!</definedName>
    <definedName name="llklklklklklklklk">#REF!</definedName>
    <definedName name="lll">#REF!</definedName>
    <definedName name="llll">#REF!</definedName>
    <definedName name="lnjlk">#REF!</definedName>
    <definedName name="LOCN">#REF!</definedName>
    <definedName name="LOCO">#REF!</definedName>
    <definedName name="LOCT">#REF!</definedName>
    <definedName name="loiñlololio">#REF!</definedName>
    <definedName name="LOLO">#REF!</definedName>
    <definedName name="LOLO2">#REF!</definedName>
    <definedName name="LOLOL">#REF!</definedName>
    <definedName name="LOLOLOL">#REF!</definedName>
    <definedName name="long">#REF!</definedName>
    <definedName name="longitudmuro">#REF!</definedName>
    <definedName name="LOQUE">#REF!</definedName>
    <definedName name="LORI">#REF!</definedName>
    <definedName name="LUG">#REF!</definedName>
    <definedName name="LUGAR">#REF!</definedName>
    <definedName name="LUM_70">#REF!</definedName>
    <definedName name="LUZ">#REF!</definedName>
    <definedName name="m">#REF!</definedName>
    <definedName name="MA">#REF!</definedName>
    <definedName name="MACII">#REF!</definedName>
    <definedName name="MADERA">#REF!</definedName>
    <definedName name="MAESTRO">#REF!</definedName>
    <definedName name="Maestro_1__Estructuras">#REF!</definedName>
    <definedName name="Maestro_2">#REF!</definedName>
    <definedName name="Maestro_Mayor_Estructuras">#REF!</definedName>
    <definedName name="Maestro_Obra_Gruesa">#REF!</definedName>
    <definedName name="Maestro_Terminación">#REF!</definedName>
    <definedName name="Maestro1__Cañerías_Piping">#REF!</definedName>
    <definedName name="MaestroMayor_Cañerías_Mecánica">#REF!</definedName>
    <definedName name="MAFG">#REF!</definedName>
    <definedName name="MAmbiente1">#REF!</definedName>
    <definedName name="mantilla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Q">#REF!</definedName>
    <definedName name="MARCA">#REF!</definedName>
    <definedName name="marco">#REF!</definedName>
    <definedName name="MARTES">#REF!</definedName>
    <definedName name="MARZO">#REF!</definedName>
    <definedName name="MATEX">#REF!</definedName>
    <definedName name="MAY">#REF!</definedName>
    <definedName name="MAYO">[12]DATOS!$H$14:$H$135</definedName>
    <definedName name="MAYOR">[52]Partidas!$AP$2:$AQ$13</definedName>
    <definedName name="mayra">#REF!</definedName>
    <definedName name="mb">#REF!</definedName>
    <definedName name="MC">#REF!</definedName>
    <definedName name="mcjrnfhgipacneki">#REF!</definedName>
    <definedName name="MD">#REF!</definedName>
    <definedName name="MDMARZO">#REF!</definedName>
    <definedName name="MECHANICAL">#REF!</definedName>
    <definedName name="MEDIA">#REF!</definedName>
    <definedName name="MENU">#REF!</definedName>
    <definedName name="mes">#REF!</definedName>
    <definedName name="mesess">#REF!</definedName>
    <definedName name="MET">#REF!</definedName>
    <definedName name="META">#REF!</definedName>
    <definedName name="Metas_2012">'[53]METAS 2013'!$C$1:$R$13</definedName>
    <definedName name="Metas2013">#REF!</definedName>
    <definedName name="metmes">#REF!</definedName>
    <definedName name="METR">#REF!</definedName>
    <definedName name="METRADO">#REF!</definedName>
    <definedName name="METRADOS">#REF!</definedName>
    <definedName name="metramm">#REF!</definedName>
    <definedName name="METRE">#REF!</definedName>
    <definedName name="MF">#REF!</definedName>
    <definedName name="MHMGHMHJ">#REF!</definedName>
    <definedName name="MI">#REF!</definedName>
    <definedName name="MIERCOLES">#REF!</definedName>
    <definedName name="MILE">#REF!</definedName>
    <definedName name="milestone">#REF!</definedName>
    <definedName name="Milestones">#REF!</definedName>
    <definedName name="Milestones1">#REF!</definedName>
    <definedName name="miriam">#REF!</definedName>
    <definedName name="ML">#REF!</definedName>
    <definedName name="mloljlj">#REF!</definedName>
    <definedName name="mm">#REF!</definedName>
    <definedName name="mmagosto">#REF!</definedName>
    <definedName name="mmdiciembre">#REF!</definedName>
    <definedName name="mmenero">#REF!</definedName>
    <definedName name="mmfebrero">#REF!</definedName>
    <definedName name="mmjulio">#REF!</definedName>
    <definedName name="mmjunio">#REF!</definedName>
    <definedName name="mmm">#REF!</definedName>
    <definedName name="mmmayo">#REF!</definedName>
    <definedName name="mmmdesague">#REF!</definedName>
    <definedName name="mmmm">#REF!</definedName>
    <definedName name="mmmmm">#REF!</definedName>
    <definedName name="MMMMMM">#REF!</definedName>
    <definedName name="mmmmmmmmm">#REF!</definedName>
    <definedName name="mmnoviembre">#REF!</definedName>
    <definedName name="mmnovirmbre">#REF!</definedName>
    <definedName name="mmoctubre">#REF!</definedName>
    <definedName name="mmseptiembre">#REF!</definedName>
    <definedName name="MMUL">#REF!</definedName>
    <definedName name="MN">#REF!</definedName>
    <definedName name="MNBNKM">#REF!</definedName>
    <definedName name="MNMBMBMNM">#REF!</definedName>
    <definedName name="mnmjhmb">#REF!</definedName>
    <definedName name="mnmnbmj">#REF!</definedName>
    <definedName name="mnn">#REF!</definedName>
    <definedName name="MO">#REF!</definedName>
    <definedName name="MO.">#REF!</definedName>
    <definedName name="MOCHE">#REF!</definedName>
    <definedName name="modalidad">[43]Datos!$D$9</definedName>
    <definedName name="MODELO">#REF!</definedName>
    <definedName name="MODEO">#REF!</definedName>
    <definedName name="modificado">#REF!</definedName>
    <definedName name="Moneda">#REF!</definedName>
    <definedName name="monitor">#REF!</definedName>
    <definedName name="MONTAJE">#REF!</definedName>
    <definedName name="MONTO">#REF!</definedName>
    <definedName name="Monto_Anticipo">#REF!</definedName>
    <definedName name="MOTOB_">#REF!</definedName>
    <definedName name="Mov_Faena">#REF!</definedName>
    <definedName name="msm">#REF!</definedName>
    <definedName name="MT">#REF!</definedName>
    <definedName name="Mu">#REF!</definedName>
    <definedName name="municipalidad">[43]Datos!$D$5</definedName>
    <definedName name="MUNO">#REF!</definedName>
    <definedName name="mvnfghcbdfrtfgyug">#REF!</definedName>
    <definedName name="n">#REF!</definedName>
    <definedName name="nalaitioc">#REF!</definedName>
    <definedName name="nb">#REF!</definedName>
    <definedName name="nbnbnb">#REF!</definedName>
    <definedName name="nbnbnbn">#REF!</definedName>
    <definedName name="nbnbnbnb">#REF!</definedName>
    <definedName name="nbnbnbnbnbnbnbn">#REF!</definedName>
    <definedName name="ncmvnfhgrtsudpgkvmd">#REF!</definedName>
    <definedName name="ncvdgr153">#REF!</definedName>
    <definedName name="NE">#REF!</definedName>
    <definedName name="NERY">[4]caratula!#REF!</definedName>
    <definedName name="ngndfjg">#REF!</definedName>
    <definedName name="NGNGHHG">#REF!</definedName>
    <definedName name="NHBNHG">#REF!</definedName>
    <definedName name="NIVEL">#REF!</definedName>
    <definedName name="NIVELES">[20]Bloques!$F$5:$F$14</definedName>
    <definedName name="NJJKJH">#REF!</definedName>
    <definedName name="NJKSDAH">[24]ACERO!#REF!</definedName>
    <definedName name="nmnbmnb">#REF!</definedName>
    <definedName name="NMVHJVJHVJHB">#REF!</definedName>
    <definedName name="nnk">#REF!</definedName>
    <definedName name="nnnn">#REF!</definedName>
    <definedName name="nnnnnnnn">#REF!</definedName>
    <definedName name="NNNNNNNNNN">#REF!</definedName>
    <definedName name="NOMB">#REF!</definedName>
    <definedName name="NOMBRE">#REF!</definedName>
    <definedName name="NOMBRECU">'[21]PRE.C.MERCADO'!$C$221:$C$244</definedName>
    <definedName name="NOMBREM">'[21]ARMA S.E 01'!$B$12:$B$154</definedName>
    <definedName name="NOMBREN">'[21]C.Unitario'!$B$686:$D$722</definedName>
    <definedName name="NOMCURP">#REF!</definedName>
    <definedName name="NOMCURS">#REF!</definedName>
    <definedName name="NOMMRP">#REF!</definedName>
    <definedName name="NOMMRS">#REF!</definedName>
    <definedName name="NOMNRP">#REF!</definedName>
    <definedName name="NOMNRS">#REF!</definedName>
    <definedName name="NOMRP">#REF!</definedName>
    <definedName name="NOMRS">#REF!</definedName>
    <definedName name="NOVI">#REF!</definedName>
    <definedName name="NOVIE">#REF!</definedName>
    <definedName name="NOVIEMBRE">#REF!</definedName>
    <definedName name="NRO">#REF!</definedName>
    <definedName name="nuevasenero">#REF!</definedName>
    <definedName name="nuevasfebrero">#REF!</definedName>
    <definedName name="nuevasjunio">#REF!</definedName>
    <definedName name="nuevasmayo">#REF!</definedName>
    <definedName name="nueve">'[23]Comple Julio'!$B$41:$D$47</definedName>
    <definedName name="NUEVO">#REF!</definedName>
    <definedName name="nuevo1">#REF!</definedName>
    <definedName name="nvoxcnhyfyve">#REF!</definedName>
    <definedName name="Ñ">#REF!</definedName>
    <definedName name="ñlklj">#REF!</definedName>
    <definedName name="ÑLÑLÑLÑ">#REF!</definedName>
    <definedName name="ÑÑÑAAS">#REF!</definedName>
    <definedName name="ÑP">#REF!</definedName>
    <definedName name="ÑPÑP">#REF!</definedName>
    <definedName name="o">#REF!</definedName>
    <definedName name="OBRA">#REF!</definedName>
    <definedName name="OBRAabrev">[54]BD!$C$9</definedName>
    <definedName name="OBRAabreviatura">#REF!</definedName>
    <definedName name="OBRAS">#REF!</definedName>
    <definedName name="OBRASANT">#REF!</definedName>
    <definedName name="OBRASS">#REF!</definedName>
    <definedName name="OBRASSSS">#REF!</definedName>
    <definedName name="ocho">'[23]Comple Julio'!$B$33:$D$39</definedName>
    <definedName name="OCTUBRE">#REF!,#REF!,#REF!,#REF!,#REF!,#REF!,#REF!,#REF!,#REF!,#REF!,#REF!,#REF!</definedName>
    <definedName name="OEI_03_GARANTIZAR_LA_CALIDAD_Y_COBERTURA_DE_LOS_SERVICIOS_EDUCATIVOS_CON_ENFOQUE_INCLUSIVO_PARA_LA_FORMACION_INTEGRAL_DE_LOS_ESTUDIANTES_DE_LA_REGION_DEL_CUSCO">#REF!</definedName>
    <definedName name="OF">#REF!</definedName>
    <definedName name="OFICINA_TOPOGRAFIA">#REF!</definedName>
    <definedName name="OIOIOIOI">#REF!</definedName>
    <definedName name="OIOIOIOIOIOIOI">#REF!</definedName>
    <definedName name="OK">#REF!</definedName>
    <definedName name="OLOL">#REF!</definedName>
    <definedName name="ololkl">#REF!</definedName>
    <definedName name="once">'[23]Comple Julio'!$B$61:$D$66</definedName>
    <definedName name="OÑIIY">#REF!</definedName>
    <definedName name="OO">#REF!</definedName>
    <definedName name="OOOOOOOO">#REF!</definedName>
    <definedName name="OP">#REF!</definedName>
    <definedName name="OP_1">#REF!</definedName>
    <definedName name="OP_2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">#REF!</definedName>
    <definedName name="Operador_Maquinaria_Liviana">#REF!</definedName>
    <definedName name="Operador_Maquinaria_Pesada">#REF!</definedName>
    <definedName name="OPERADORES">#REF!</definedName>
    <definedName name="OPOIOI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den_Cemento">#REF!</definedName>
    <definedName name="Orden_Concreto">#REF!</definedName>
    <definedName name="Orden_Fierro">#REF!</definedName>
    <definedName name="Orden_Ladrillo">#REF!</definedName>
    <definedName name="Orden_Perfil">#REF!</definedName>
    <definedName name="OTROS">#REF!</definedName>
    <definedName name="OUIOPOPOPO">#REF!</definedName>
    <definedName name="OUIOUIOIUOIU">#REF!</definedName>
    <definedName name="Oxiginista">#REF!</definedName>
    <definedName name="OZ">#REF!</definedName>
    <definedName name="P">#REF!</definedName>
    <definedName name="P.VENTA">#REF!</definedName>
    <definedName name="P_A">#REF!</definedName>
    <definedName name="P_A_1">#REF!</definedName>
    <definedName name="P_A_2">#REF!</definedName>
    <definedName name="P_EQUIP">#REF!</definedName>
    <definedName name="P_FORPU">#REF!</definedName>
    <definedName name="P_G">#REF!</definedName>
    <definedName name="P_G_1">#REF!</definedName>
    <definedName name="P_G_2">#REF!</definedName>
    <definedName name="P_MACRO">#REF!</definedName>
    <definedName name="P_RESUMEN">#REF!</definedName>
    <definedName name="pa">#REF!</definedName>
    <definedName name="PA1_0">#REF!</definedName>
    <definedName name="PA1_0_M">#REF!</definedName>
    <definedName name="PA1_1N">#REF!</definedName>
    <definedName name="PA1_1N_M">#REF!</definedName>
    <definedName name="PA1_1NT">#REF!</definedName>
    <definedName name="PA1_1NT_M">#REF!</definedName>
    <definedName name="PA1_2">#REF!</definedName>
    <definedName name="PA1_2N">#REF!</definedName>
    <definedName name="PA1_3">#REF!</definedName>
    <definedName name="PA1_3N">#REF!</definedName>
    <definedName name="PA1_3NT">#REF!</definedName>
    <definedName name="PA2_0">#REF!</definedName>
    <definedName name="PA2_0_M">#REF!</definedName>
    <definedName name="PA2_1N">#REF!</definedName>
    <definedName name="PA2_1N_M">#REF!</definedName>
    <definedName name="PA2_1NT">#REF!</definedName>
    <definedName name="PA2_1NT_M">#REF!</definedName>
    <definedName name="PA2_2">#REF!</definedName>
    <definedName name="PA2_2N">#REF!</definedName>
    <definedName name="PA2_3">#REF!</definedName>
    <definedName name="PA2_3N">#REF!</definedName>
    <definedName name="PA2_3NT">#REF!</definedName>
    <definedName name="PA3_0">#REF!</definedName>
    <definedName name="PA3_0_M">#REF!</definedName>
    <definedName name="PA3_1N">#REF!</definedName>
    <definedName name="PA3_1N_M">#REF!</definedName>
    <definedName name="PA3_1NT">#REF!</definedName>
    <definedName name="PA3_1NT_M">#REF!</definedName>
    <definedName name="PA3_2">#REF!</definedName>
    <definedName name="PA3_2N">#REF!</definedName>
    <definedName name="PA3_3">#REF!</definedName>
    <definedName name="PA3_3N">#REF!</definedName>
    <definedName name="PA3_3NT">#REF!</definedName>
    <definedName name="PAAAN">#REF!</definedName>
    <definedName name="paat_1">#REF!</definedName>
    <definedName name="PAAT_1_M">#REF!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G">#REF!</definedName>
    <definedName name="PAINTING">#REF!</definedName>
    <definedName name="PAPAPAPPAPA">#REF!</definedName>
    <definedName name="PARET">#REF!</definedName>
    <definedName name="part_101">#REF!</definedName>
    <definedName name="part502">#REF!</definedName>
    <definedName name="part504">#REF!</definedName>
    <definedName name="part505">#REF!</definedName>
    <definedName name="part506">#REF!</definedName>
    <definedName name="part507">#REF!</definedName>
    <definedName name="part508">#REF!</definedName>
    <definedName name="part509">#REF!</definedName>
    <definedName name="part509.A">#REF!</definedName>
    <definedName name="part510">#REF!</definedName>
    <definedName name="part511">#REF!</definedName>
    <definedName name="part512">#REF!</definedName>
    <definedName name="part518">#REF!</definedName>
    <definedName name="part519">#REF!</definedName>
    <definedName name="part520">#REF!</definedName>
    <definedName name="part521">#REF!</definedName>
    <definedName name="part521.A">#REF!</definedName>
    <definedName name="part523.A">#REF!</definedName>
    <definedName name="part525">#REF!</definedName>
    <definedName name="part526">#REF!</definedName>
    <definedName name="part534.A">#REF!</definedName>
    <definedName name="part536">#REF!</definedName>
    <definedName name="part537">#REF!</definedName>
    <definedName name="part539">#REF!</definedName>
    <definedName name="part539.A">#REF!</definedName>
    <definedName name="part540">#REF!</definedName>
    <definedName name="PARTIDA">#REF!</definedName>
    <definedName name="partidas">#REF!</definedName>
    <definedName name="Pasajes">#REF!</definedName>
    <definedName name="PAST_C">#REF!</definedName>
    <definedName name="PAST_C_BT">#REF!</definedName>
    <definedName name="PAST_C_MT">#REF!</definedName>
    <definedName name="PAST_M">#REF!</definedName>
    <definedName name="PAST_M_BT">#REF!</definedName>
    <definedName name="PAST_M_MT">#REF!</definedName>
    <definedName name="PAT">#REF!</definedName>
    <definedName name="PAT_1">#REF!</definedName>
    <definedName name="PAT_1_M">#REF!</definedName>
    <definedName name="PAT_2">#REF!</definedName>
    <definedName name="PAT_2_M">#REF!</definedName>
    <definedName name="PAT_2E">#REF!</definedName>
    <definedName name="PAT_2M">#REF!</definedName>
    <definedName name="pat_3">#REF!</definedName>
    <definedName name="PAT_3_M">#REF!</definedName>
    <definedName name="PAT_C">#REF!</definedName>
    <definedName name="PAT_M">#REF!</definedName>
    <definedName name="patah">#REF!</definedName>
    <definedName name="PAVI">#REF!</definedName>
    <definedName name="PAVIMENTOANT1">#REF!</definedName>
    <definedName name="PAVIMENTOS">#REF!</definedName>
    <definedName name="PAVIMENTOSANT">#REF!</definedName>
    <definedName name="PAVV">#REF!</definedName>
    <definedName name="PCV">#REF!</definedName>
    <definedName name="PE">#REF!</definedName>
    <definedName name="PED">#REF!</definedName>
    <definedName name="penetracion">#REF!</definedName>
    <definedName name="peon">#REF!</definedName>
    <definedName name="PERIODO">#REF!</definedName>
    <definedName name="Periodos">#REF!</definedName>
    <definedName name="PERSONAL">#REF!</definedName>
    <definedName name="Peso">#REF!</definedName>
    <definedName name="PESOS">#REF!</definedName>
    <definedName name="PID">#REF!</definedName>
    <definedName name="PIEDRA">#REF!</definedName>
    <definedName name="pileta">#REF!</definedName>
    <definedName name="PIURA">#REF!</definedName>
    <definedName name="pla">#REF!</definedName>
    <definedName name="Plan.met">#REF!</definedName>
    <definedName name="PLANCHA">#REF!</definedName>
    <definedName name="plani">#REF!</definedName>
    <definedName name="planilla">#REF!</definedName>
    <definedName name="plazo">#REF!</definedName>
    <definedName name="PN">'[15]F-9-C Adic MM,PN Y Ded'!$B$48:$M$67</definedName>
    <definedName name="podnfgrtevdeovifmchdgftr123546sc">#REF!</definedName>
    <definedName name="polinomica">#REF!</definedName>
    <definedName name="POPO">#REF!</definedName>
    <definedName name="POPOPOPO">#REF!</definedName>
    <definedName name="por">#REF!</definedName>
    <definedName name="PORCC">#REF!</definedName>
    <definedName name="PORTALINEA">#REF!</definedName>
    <definedName name="POSTES">#REF!</definedName>
    <definedName name="POTENCIA">#REF!</definedName>
    <definedName name="PP">#REF!</definedName>
    <definedName name="ppopopopopo">#REF!</definedName>
    <definedName name="ppp">#REF!</definedName>
    <definedName name="pppp">#REF!</definedName>
    <definedName name="PPPP1">#REF!</definedName>
    <definedName name="PPPPP">#REF!</definedName>
    <definedName name="PPTOANAL">#REF!</definedName>
    <definedName name="PR">#REF!</definedName>
    <definedName name="PR3_0">#REF!</definedName>
    <definedName name="PR3_0_M">#REF!</definedName>
    <definedName name="PR3_1N">#REF!</definedName>
    <definedName name="PR3_1N_M">#REF!</definedName>
    <definedName name="PR3_1NT">#REF!</definedName>
    <definedName name="PR3_1NT_M">#REF!</definedName>
    <definedName name="PR3_2">#REF!</definedName>
    <definedName name="PR3_2N">#REF!</definedName>
    <definedName name="PR3_3">#REF!</definedName>
    <definedName name="PR3_3N">#REF!</definedName>
    <definedName name="PR3_3NT">#REF!</definedName>
    <definedName name="PRECI_COMB_2">#REF!</definedName>
    <definedName name="PRECIO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IOS">#REF!</definedName>
    <definedName name="PRECIOS_A">#REF!</definedName>
    <definedName name="Preminado1">#REF!</definedName>
    <definedName name="PRES">#REF!</definedName>
    <definedName name="PRESU1">#REF!</definedName>
    <definedName name="PRESUP">#REF!</definedName>
    <definedName name="PRESUP1">#REF!</definedName>
    <definedName name="PRESUPESTO">#REF!</definedName>
    <definedName name="presupuesto">[43]Datos!$D$15</definedName>
    <definedName name="presupuestoadicional">#REF!</definedName>
    <definedName name="PRESUPUESTOS">#REF!</definedName>
    <definedName name="Print_Area">#REF!</definedName>
    <definedName name="Print_Titles">#REF!</definedName>
    <definedName name="PRO">#REF!</definedName>
    <definedName name="procura">[55]CATALOGO!$B$7:$C$58</definedName>
    <definedName name="PROG">#REF!</definedName>
    <definedName name="Prog01_01">#REF!</definedName>
    <definedName name="Prog01_02">#REF!</definedName>
    <definedName name="Prog01_03">#REF!</definedName>
    <definedName name="Prog01_04">#REF!</definedName>
    <definedName name="Prog01_05">#REF!</definedName>
    <definedName name="Prog02_01">#REF!</definedName>
    <definedName name="Prog02_02">#REF!</definedName>
    <definedName name="Prog02_03">#REF!</definedName>
    <definedName name="Prog02_04">#REF!</definedName>
    <definedName name="Prog02_05">#REF!</definedName>
    <definedName name="Prog03_01">#REF!</definedName>
    <definedName name="Prog03_02">#REF!</definedName>
    <definedName name="Prog03_03">#REF!</definedName>
    <definedName name="Prog03_04">#REF!</definedName>
    <definedName name="Prog03_05">#REF!</definedName>
    <definedName name="ProgJulio">#REF!</definedName>
    <definedName name="Progr">!#REF!</definedName>
    <definedName name="PROGRAMADO">[56]!PRG[#All]</definedName>
    <definedName name="PROPIETARIO">#REF!</definedName>
    <definedName name="PROPIO">#REF!</definedName>
    <definedName name="PROV">#REF!</definedName>
    <definedName name="PROY">#REF!</definedName>
    <definedName name="PROY_INTERNO">#REF!</definedName>
    <definedName name="PROYECTO">#REF!</definedName>
    <definedName name="PROYECTOS2012">[57]RESOLUCIONES!$A$3:$N$253</definedName>
    <definedName name="PROYECTOSCODIGOSNIP">[57]RESOLUCIONES!$B$3:$N$253</definedName>
    <definedName name="PRV_3">#REF!</definedName>
    <definedName name="PS1_0">#REF!</definedName>
    <definedName name="PS1_0_M">#REF!</definedName>
    <definedName name="PS1_1N">#REF!</definedName>
    <definedName name="PS1_1N_M">#REF!</definedName>
    <definedName name="PS1_1N_T">#REF!</definedName>
    <definedName name="PS1_1NT">#REF!</definedName>
    <definedName name="PS1_1NT_M">#REF!</definedName>
    <definedName name="PS1_2">#REF!</definedName>
    <definedName name="PS1_2N">#REF!</definedName>
    <definedName name="PS1_3">#REF!</definedName>
    <definedName name="PS1_3N">#REF!</definedName>
    <definedName name="PS1_3NT">#REF!</definedName>
    <definedName name="PSEC_0">#REF!</definedName>
    <definedName name="PSEC_0_M">#REF!</definedName>
    <definedName name="PSEC_0P">#REF!</definedName>
    <definedName name="PSEC_0P_M">#REF!</definedName>
    <definedName name="PSEC_1N">#REF!</definedName>
    <definedName name="PSEC_1N_M">#REF!</definedName>
    <definedName name="PSEC_1NP">#REF!</definedName>
    <definedName name="PSEC_2">#REF!</definedName>
    <definedName name="PSEC_2N">#REF!</definedName>
    <definedName name="PSEC_2NP">#REF!</definedName>
    <definedName name="PSEC_2P">#REF!</definedName>
    <definedName name="PSEC_3">#REF!</definedName>
    <definedName name="PSEC_3N">#REF!</definedName>
    <definedName name="PSEC_3NP">#REF!</definedName>
    <definedName name="PSEC_3P">#REF!</definedName>
    <definedName name="PSER_0">#REF!</definedName>
    <definedName name="PSER_0_M">#REF!</definedName>
    <definedName name="PSER_0P">#REF!</definedName>
    <definedName name="PSER_0P_M">#REF!</definedName>
    <definedName name="PSV_2">#REF!</definedName>
    <definedName name="PSV_2N">#REF!</definedName>
    <definedName name="PSV_3">#REF!</definedName>
    <definedName name="PSV_3N">#REF!</definedName>
    <definedName name="PSVE_2">#REF!</definedName>
    <definedName name="PSVE_3">#REF!</definedName>
    <definedName name="PT.ACTUAL">'[22]Val. mensual '!$L$363</definedName>
    <definedName name="PT.ACUMULADO">'[22]Val. mensual '!$O$363</definedName>
    <definedName name="PT.ANTERIOR">'[22]Val. mensual '!$I$363</definedName>
    <definedName name="PTH_2">#REF!</definedName>
    <definedName name="PTH_2N">#REF!</definedName>
    <definedName name="PTH_3">#REF!</definedName>
    <definedName name="PTH_3N">#REF!</definedName>
    <definedName name="PTH_3NT">#REF!</definedName>
    <definedName name="ptm">#REF!</definedName>
    <definedName name="PTO">#REF!</definedName>
    <definedName name="PTV_0">#REF!</definedName>
    <definedName name="PTV_0_M">#REF!</definedName>
    <definedName name="PTV_1N">#REF!</definedName>
    <definedName name="PTV_1N_M">#REF!</definedName>
    <definedName name="PTV_1NT">#REF!</definedName>
    <definedName name="PTV_1NT_M">#REF!</definedName>
    <definedName name="PTV_2">#REF!</definedName>
    <definedName name="PTV_2N">#REF!</definedName>
    <definedName name="PTV_3">#REF!</definedName>
    <definedName name="PTV_3N">#REF!</definedName>
    <definedName name="PTV_3NT">#REF!</definedName>
    <definedName name="PU">#REF!</definedName>
    <definedName name="PUAG">#REF!</definedName>
    <definedName name="puente">#REF!</definedName>
    <definedName name="PUERTAS">#REF!</definedName>
    <definedName name="PV">#REF!</definedName>
    <definedName name="Q">#REF!</definedName>
    <definedName name="qa">#REF!</definedName>
    <definedName name="QAAASAQASQW">#REF!</definedName>
    <definedName name="QAQAQA">#REF!</definedName>
    <definedName name="qq">#REF!</definedName>
    <definedName name="qqq">#REF!</definedName>
    <definedName name="qqqq">#REF!</definedName>
    <definedName name="QQQQQ">#REF!</definedName>
    <definedName name="qqqqqq">#REF!</definedName>
    <definedName name="QQQQQQQ">#REF!</definedName>
    <definedName name="QQQQQQQQQQQQ">#REF!</definedName>
    <definedName name="qqqqqqqqqqqqq">#REF!</definedName>
    <definedName name="qqqqqqqqqqqqqq">#REF!</definedName>
    <definedName name="qqqqqqqqqqqqqqqq">#REF!</definedName>
    <definedName name="qqqqqqqqqqqqqqqqqq">#REF!</definedName>
    <definedName name="qqwwqwqwqw">#REF!</definedName>
    <definedName name="qtgfsht">#REF!</definedName>
    <definedName name="QTYBASE">#REF!</definedName>
    <definedName name="QTYFCT">#REF!</definedName>
    <definedName name="qw">[4]caratula!#REF!</definedName>
    <definedName name="qwasewsa">#REF!</definedName>
    <definedName name="qwasewsdrxcdsx">#REF!</definedName>
    <definedName name="qwaww">#REF!</definedName>
    <definedName name="QWD">#REF!</definedName>
    <definedName name="qwe">#REF!</definedName>
    <definedName name="qwer">#REF!</definedName>
    <definedName name="qwertesd">#REF!</definedName>
    <definedName name="QWQSA12SS">#REF!</definedName>
    <definedName name="QWQW">#REF!</definedName>
    <definedName name="QWWESDSFVXV">#REF!</definedName>
    <definedName name="QWWQ">#REF!</definedName>
    <definedName name="raf">#REF!</definedName>
    <definedName name="ram">#REF!</definedName>
    <definedName name="rango">#REF!</definedName>
    <definedName name="rango2">#REF!</definedName>
    <definedName name="rate">#REF!</definedName>
    <definedName name="RATE01">#REF!</definedName>
    <definedName name="RAYADDD">#REF!</definedName>
    <definedName name="RE">[24]ACERO!#REF!</definedName>
    <definedName name="REAJUSTE">#REF!</definedName>
    <definedName name="REAJUSTE01_01">'[58]Reaj. (CHAL.)'!#REF!</definedName>
    <definedName name="REAJUSTE01_02">'[58]Reaj. (CHAL.)'!#REF!</definedName>
    <definedName name="REAJUSTE01_03">'[58]Reaj. (CHAL.)'!#REF!</definedName>
    <definedName name="REAJUSTE01_04">'[58]Reaj. (CHAL.)'!#REF!</definedName>
    <definedName name="REAJUSTE01_05">'[58]Reaj. (CHAL.)'!#REF!</definedName>
    <definedName name="REAJUSTE01_06">'[58]Reaj. (CHAL.)'!#REF!</definedName>
    <definedName name="REAJUSTE02">'[58]Reaj. (CHAL.)'!#REF!</definedName>
    <definedName name="REAJUSTE02_01">'[58]Reaj. (CHAL.)'!#REF!</definedName>
    <definedName name="REAJUSTE02_02">'[58]Reaj. (CHAL.)'!#REF!</definedName>
    <definedName name="REAJUSTE02_03">'[58]Reaj. (CHAL.)'!#REF!</definedName>
    <definedName name="REAJUSTE02_04">'[58]Reaj. (CHAL.)'!#REF!</definedName>
    <definedName name="REAJUSTE02_05">'[58]Reaj. (CHAL.)'!#REF!</definedName>
    <definedName name="REAJUSTE02_06">'[58]Reaj. (CHAL.)'!#REF!</definedName>
    <definedName name="REAJUSTE03_01">'[58]Reaj. (CHAL.)'!#REF!</definedName>
    <definedName name="REAJUSTE03_02">'[58]Reaj. (CHAL.)'!#REF!</definedName>
    <definedName name="REAJUSTE03_03">'[58]Reaj. (CHAL.)'!#REF!</definedName>
    <definedName name="REAJUSTE03_04">'[58]Reaj. (CHAL.)'!#REF!</definedName>
    <definedName name="REAJUSTE03_05">'[58]Reaj. (CHAL.)'!#REF!</definedName>
    <definedName name="REAJUSTEVAL_02">'[58]Reaj. (CHAL.)'!#REF!</definedName>
    <definedName name="REBECA">#REF!</definedName>
    <definedName name="RECARGO">#REF!</definedName>
    <definedName name="RED">#REF!</definedName>
    <definedName name="REEEEE">#REF!</definedName>
    <definedName name="Reformulado">#REF!</definedName>
    <definedName name="REGRESION">#REF!</definedName>
    <definedName name="reintegro">[36]Reintegro!$B$1:$P$46</definedName>
    <definedName name="REL_PU">'[45]Relacion de PU'!$A$11:$F$81</definedName>
    <definedName name="REL_RECURSOS">'[45]Relacion de INSUMOS'!$A$12:$E$284</definedName>
    <definedName name="RELL_UNI_CAB">#REF!</definedName>
    <definedName name="RELLENO">#REF!</definedName>
    <definedName name="rem">#REF!</definedName>
    <definedName name="ren">#REF!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p">#REF!</definedName>
    <definedName name="REPORTE">#REF!</definedName>
    <definedName name="RES">#REF!</definedName>
    <definedName name="res_04">[36]Resumen!$B$131:$I$190</definedName>
    <definedName name="ResExpTec">#REF!</definedName>
    <definedName name="resi">#REF!</definedName>
    <definedName name="RESIDENTE">#REF!</definedName>
    <definedName name="RESP">#REF!</definedName>
    <definedName name="RESUMEN">#REF!</definedName>
    <definedName name="resumen1">#REF!</definedName>
    <definedName name="resumen12">#REF!</definedName>
    <definedName name="ret">#REF!</definedName>
    <definedName name="Retencion">#REF!</definedName>
    <definedName name="reto">#REF!</definedName>
    <definedName name="REY">#REF!</definedName>
    <definedName name="rf">#REF!</definedName>
    <definedName name="RFDG">#REF!</definedName>
    <definedName name="RGR">#REF!</definedName>
    <definedName name="RGRAL">#REF!</definedName>
    <definedName name="rgrg">#REF!</definedName>
    <definedName name="RGRL">#REF!</definedName>
    <definedName name="RI">#REF!</definedName>
    <definedName name="RI_A">#REF!</definedName>
    <definedName name="RI_S">#REF!</definedName>
    <definedName name="rl">#REF!</definedName>
    <definedName name="RMV">#REF!</definedName>
    <definedName name="RO">#REF!</definedName>
    <definedName name="ROCA">#REF!</definedName>
    <definedName name="rocio">#REF!</definedName>
    <definedName name="RR">#REF!</definedName>
    <definedName name="rrr">#REF!</definedName>
    <definedName name="RRRR">#REF!</definedName>
    <definedName name="rrrrr">#REF!</definedName>
    <definedName name="rrrrrr">#REF!</definedName>
    <definedName name="rrrrrrr">#REF!</definedName>
    <definedName name="RRTRTRT">#REF!</definedName>
    <definedName name="RRTT">#REF!</definedName>
    <definedName name="rryrt">#REF!</definedName>
    <definedName name="RRYYTUU">[26]Plla_Pers!#REF!</definedName>
    <definedName name="rt">#REF!</definedName>
    <definedName name="rte">#REF!</definedName>
    <definedName name="RTFYG">'[2]F-05'!#REF!</definedName>
    <definedName name="RTRETERTDGFDGFDGFD">#REF!</definedName>
    <definedName name="RTRRETERTRETRET">#REF!</definedName>
    <definedName name="rtrte">#REF!</definedName>
    <definedName name="rttt">#REF!</definedName>
    <definedName name="rtyy">#REF!</definedName>
    <definedName name="RV">#REF!</definedName>
    <definedName name="RV_A">#REF!</definedName>
    <definedName name="RV_S">#REF!</definedName>
    <definedName name="RYTHIKTIO">#REF!</definedName>
    <definedName name="s">#REF!</definedName>
    <definedName name="SA">#REF!</definedName>
    <definedName name="SAA">#REF!</definedName>
    <definedName name="SAAas">#REF!</definedName>
    <definedName name="SADASD">#REF!</definedName>
    <definedName name="SADFASEFDSDFSDFSDFSDFSDF">#REF!</definedName>
    <definedName name="SADSA">[3]EXP!#REF!</definedName>
    <definedName name="sadsaddaaa">#REF!</definedName>
    <definedName name="sadsadsa">#REF!</definedName>
    <definedName name="SAL">#REF!</definedName>
    <definedName name="Saldo_de_ENERO">#REF!</definedName>
    <definedName name="Saldo03">#REF!</definedName>
    <definedName name="Sale14">#REF!</definedName>
    <definedName name="Sale3">#REF!</definedName>
    <definedName name="Sale4">#REF!</definedName>
    <definedName name="SALE8">#REF!</definedName>
    <definedName name="salsa">#REF!</definedName>
    <definedName name="SAS">#REF!</definedName>
    <definedName name="SASAASA">#REF!</definedName>
    <definedName name="sasasa">#REF!</definedName>
    <definedName name="SBM">#REF!</definedName>
    <definedName name="SBM_1">#REF!</definedName>
    <definedName name="SBM_1P">#REF!</definedName>
    <definedName name="SBM_2">#REF!</definedName>
    <definedName name="SBM_2P">#REF!</definedName>
    <definedName name="SC">#REF!</definedName>
    <definedName name="SCAFFOLDING">#REF!</definedName>
    <definedName name="SCERFR">#REF!</definedName>
    <definedName name="SCXADSX1111111111111111111">#REF!</definedName>
    <definedName name="SD">#REF!</definedName>
    <definedName name="SDAS">#REF!</definedName>
    <definedName name="SDASD">#REF!</definedName>
    <definedName name="SDD">#REF!</definedName>
    <definedName name="sddddddddddddddd">#REF!</definedName>
    <definedName name="SDDFASFD">#REF!</definedName>
    <definedName name="sddsds">#REF!</definedName>
    <definedName name="sdeswwwwwwwwwwwwwwwww">#REF!</definedName>
    <definedName name="SDF">#REF!</definedName>
    <definedName name="sdfghjkcvbnrtyusldkfhgj">#REF!</definedName>
    <definedName name="sdfnhgnfgnfgbsdvsdcax">#REF!</definedName>
    <definedName name="SDFSDFDS">#REF!</definedName>
    <definedName name="sdfsdgfgbthgf">#REF!</definedName>
    <definedName name="SDGFSDGDFHTGFNFGNGFHFNH">#REF!</definedName>
    <definedName name="sdscszcz">#REF!</definedName>
    <definedName name="SDSD">#REF!</definedName>
    <definedName name="SDSDS">#REF!</definedName>
    <definedName name="SDSDSD">#REF!</definedName>
    <definedName name="SDSDSDDS">#REF!</definedName>
    <definedName name="sdsdsdsds">#REF!</definedName>
    <definedName name="sdssds">#REF!</definedName>
    <definedName name="SDVSFDVSFD">#REF!</definedName>
    <definedName name="sdzsdzs">#REF!</definedName>
    <definedName name="SE">#REF!</definedName>
    <definedName name="SECTOR">#REF!</definedName>
    <definedName name="sedrfgthyjuki">#REF!</definedName>
    <definedName name="SEF">#REF!</definedName>
    <definedName name="SEGF">#REF!</definedName>
    <definedName name="seis">'[23]Comple Julio'!$B$27:$D$31</definedName>
    <definedName name="SEM">#REF!</definedName>
    <definedName name="SENATI">#REF!</definedName>
    <definedName name="SEÑALIZACION">#REF!</definedName>
    <definedName name="SEÑALIZACIONANT">#REF!</definedName>
    <definedName name="señalizavion">#REF!</definedName>
    <definedName name="señora_k">#REF!</definedName>
    <definedName name="SERDEFT45">#REF!</definedName>
    <definedName name="SET">#REF!</definedName>
    <definedName name="SEY">#REF!</definedName>
    <definedName name="sf">#REF!</definedName>
    <definedName name="SFFFFF">#REF!</definedName>
    <definedName name="sfsd">#REF!</definedName>
    <definedName name="sfss">#REF!</definedName>
    <definedName name="SGD">#REF!</definedName>
    <definedName name="SHARED_FORMULA_0">#REF!</definedName>
    <definedName name="SHARED_FORMULA_1">#REF!</definedName>
    <definedName name="SHARED_FORMULA_2">#REF!</definedName>
    <definedName name="SHARED_FORMULA_3">#REF!</definedName>
    <definedName name="SHARED_FORMULA_4">#REF!</definedName>
    <definedName name="SHARED_FORMULA_5">#REF!</definedName>
    <definedName name="SI">#REF!</definedName>
    <definedName name="SIMBENI">#REF!,#REF!,#REF!,#REF!,#REF!,#REF!,#REF!,#REF!,#REF!,#REF!,#REF!,#REF!</definedName>
    <definedName name="SINO">#REF!</definedName>
    <definedName name="SL">#REF!</definedName>
    <definedName name="smcndgfritopf23584df4g51h2f">#REF!</definedName>
    <definedName name="SMM_1">#REF!</definedName>
    <definedName name="SMM_1N">#REF!</definedName>
    <definedName name="SMM_1P">#REF!</definedName>
    <definedName name="SMM_2">#REF!</definedName>
    <definedName name="SMM_2N">#REF!</definedName>
    <definedName name="SMM_2P">#REF!</definedName>
    <definedName name="SO">#REF!</definedName>
    <definedName name="sobremetas">#REF!</definedName>
    <definedName name="Sol">#REF!</definedName>
    <definedName name="Soldador_Calificado_6G">#REF!</definedName>
    <definedName name="Soldador_Plancha">#REF!</definedName>
    <definedName name="SOSEM">#REF!</definedName>
    <definedName name="SOSEMA">#REF!</definedName>
    <definedName name="sqws">#REF!</definedName>
    <definedName name="ss">#REF!</definedName>
    <definedName name="ssasasa">#REF!</definedName>
    <definedName name="ssi_marzo_2019">#REF!</definedName>
    <definedName name="SSS">#REF!</definedName>
    <definedName name="SSSS">#REF!</definedName>
    <definedName name="SSSSS">#REF!</definedName>
    <definedName name="SSSSSS">#REF!</definedName>
    <definedName name="SSSSSSS">#REF!</definedName>
    <definedName name="SSSSSSSSS">#REF!,#REF!,#REF!,#REF!,#REF!,#REF!,#REF!,#REF!,#REF!,#REF!,#REF!,#REF!</definedName>
    <definedName name="sssssssssss">#REF!</definedName>
    <definedName name="SSSSSSSSSSSSSS">#REF!</definedName>
    <definedName name="STB">#REF!</definedName>
    <definedName name="STEP">#REF!</definedName>
    <definedName name="STRUCTURAL">#REF!</definedName>
    <definedName name="su">#REF!</definedName>
    <definedName name="SUBCONTRATISTAS">[20]Codigos!$B$88:$B$116</definedName>
    <definedName name="SUMINISTRO">#REF!</definedName>
    <definedName name="SUMMARY">#REF!</definedName>
    <definedName name="SUP">#REF!</definedName>
    <definedName name="SUPERVICION">#REF!</definedName>
    <definedName name="SUPERVISION">#REF!</definedName>
    <definedName name="SUPERVISOR">[41]DATOS!$B$10</definedName>
    <definedName name="SUSTMETRADOS">#REF!</definedName>
    <definedName name="SW">#REF!</definedName>
    <definedName name="SWASSQSWSSASASASA">#REF!</definedName>
    <definedName name="swaswdefcd">#REF!</definedName>
    <definedName name="SWEDSSWQ12334322">#REF!</definedName>
    <definedName name="SWS">#REF!</definedName>
    <definedName name="SXAS">#REF!</definedName>
    <definedName name="SXASXX">#REF!</definedName>
    <definedName name="sxsxsx">#REF!</definedName>
    <definedName name="T">#REF!</definedName>
    <definedName name="T7879EE">#REF!</definedName>
    <definedName name="TABLA">#REF!</definedName>
    <definedName name="Tabla_asignación">#REF!</definedName>
    <definedName name="Tabla_Recursos">#REF!</definedName>
    <definedName name="Tabla_Tareas">#REF!</definedName>
    <definedName name="Taller_Moderniz.">#REF!</definedName>
    <definedName name="TAR">[59]Plla_Pers!$AO$15:$AQ$19</definedName>
    <definedName name="TARAY">#REF!</definedName>
    <definedName name="TARE">[59]Plla_Pers!$AO$15:$AQ$19</definedName>
    <definedName name="TAREA">#REF!</definedName>
    <definedName name="TARED">[24]ACERO!#REF!</definedName>
    <definedName name="TAREO">#REF!</definedName>
    <definedName name="TAREO2">#REF!</definedName>
    <definedName name="TAREOOCTUBRE">#REF!</definedName>
    <definedName name="TAREOZ">#REF!</definedName>
    <definedName name="TAREOZ1">#REF!</definedName>
    <definedName name="TarifasHorarias">#REF!</definedName>
    <definedName name="TAS">#REF!</definedName>
    <definedName name="Tasa">#REF!</definedName>
    <definedName name="TASKS">#REF!</definedName>
    <definedName name="tdfyfjhol">#REF!</definedName>
    <definedName name="TECNICA">[60]DATOS!$A$6:$M$71</definedName>
    <definedName name="TEE_DE_PVC___U_SN4_DE_200mm">'[61]R.BIENES'!#REF!</definedName>
    <definedName name="TEMPORARY_FACIL">#REF!</definedName>
    <definedName name="TEO">#REF!</definedName>
    <definedName name="terdfg">#REF!</definedName>
    <definedName name="TERMINO">#REF!</definedName>
    <definedName name="TF">#REF!</definedName>
    <definedName name="tfrdefgyuio9l">#REF!</definedName>
    <definedName name="TGH">#REF!</definedName>
    <definedName name="TH">#REF!</definedName>
    <definedName name="THONNY">#REF!</definedName>
    <definedName name="tipoc">#REF!</definedName>
    <definedName name="TITLE">#REF!</definedName>
    <definedName name="TITULO">#REF!</definedName>
    <definedName name="tn">#REF!</definedName>
    <definedName name="to">#REF!</definedName>
    <definedName name="TO_MAT">#REF!</definedName>
    <definedName name="TOMAS">#REF!</definedName>
    <definedName name="ton">#REF!</definedName>
    <definedName name="TONI">#REF!</definedName>
    <definedName name="TOT">#REF!</definedName>
    <definedName name="TOTAL">#REF!</definedName>
    <definedName name="TOTAL_ELEMENTOS_SEGURIDAD">#REF!</definedName>
    <definedName name="TOTAL_EQUIPO_SOLDADOR">#REF!</definedName>
    <definedName name="Total_Scheduled_Jobhours">#REF!</definedName>
    <definedName name="TOTO">#REF!</definedName>
    <definedName name="tox">#REF!</definedName>
    <definedName name="TP">#REF!</definedName>
    <definedName name="Tperdido">#REF!</definedName>
    <definedName name="tpor">#REF!</definedName>
    <definedName name="TProyectos">#REF!</definedName>
    <definedName name="TR">#REF!</definedName>
    <definedName name="TRAMPA">#REF!</definedName>
    <definedName name="TRANSPOR">#REF!</definedName>
    <definedName name="TRANSPORTE">#REF!</definedName>
    <definedName name="TRANSPORTEANT">#REF!</definedName>
    <definedName name="tre">#REF!</definedName>
    <definedName name="trece">'[23]Comple Julio'!$B$79:$D$81</definedName>
    <definedName name="TRemuneracion">#REF!</definedName>
    <definedName name="tres">'[23]Comple Julio'!$B$11:$D$12</definedName>
    <definedName name="Tri">#REF!</definedName>
    <definedName name="TRTRETERTRTERTRTE">#REF!</definedName>
    <definedName name="trttt">#REF!</definedName>
    <definedName name="TRUYENQUE">#REF!</definedName>
    <definedName name="TS_0">#REF!</definedName>
    <definedName name="TS_2">#REF!</definedName>
    <definedName name="TS_3">#REF!</definedName>
    <definedName name="TT">#REF!</definedName>
    <definedName name="TTH">#REF!</definedName>
    <definedName name="TTT">#REF!</definedName>
    <definedName name="TTTT">#REF!</definedName>
    <definedName name="ttttt">#REF!</definedName>
    <definedName name="TTYRTRTRTR">#REF!</definedName>
    <definedName name="TY">#REF!</definedName>
    <definedName name="tyutyu">#REF!,#REF!,#REF!,#REF!,#REF!,#REF!,#REF!,#REF!,#REF!,#REF!,#REF!,#REF!</definedName>
    <definedName name="u">#REF!</definedName>
    <definedName name="UBI">#REF!</definedName>
    <definedName name="UBICA_ACTUAL">#REF!</definedName>
    <definedName name="UBICACION">#REF!</definedName>
    <definedName name="uf">#REF!</definedName>
    <definedName name="UG">#REF!</definedName>
    <definedName name="UIUOIUOIU">#REF!</definedName>
    <definedName name="UIUUIUIU">#REF!</definedName>
    <definedName name="UJ">#REF!</definedName>
    <definedName name="ULTIMO">#REF!</definedName>
    <definedName name="UND">[62]Codigos!$G$3:$G$29</definedName>
    <definedName name="unid">[63]Datos!$F$17:$F$31</definedName>
    <definedName name="uno">'[23]Comple Julio'!$B$2:$D$6</definedName>
    <definedName name="UÑAS">#REF!</definedName>
    <definedName name="usd">#REF!</definedName>
    <definedName name="UT">#REF!</definedName>
    <definedName name="UTILIDAD">#REF!</definedName>
    <definedName name="UU">#REF!</definedName>
    <definedName name="uyuyuy">#REF!</definedName>
    <definedName name="v">#REF!</definedName>
    <definedName name="V.VENTA">#REF!</definedName>
    <definedName name="V.VENTA_1">#REF!</definedName>
    <definedName name="V.VENTA_2">#REF!</definedName>
    <definedName name="VA">#REF!</definedName>
    <definedName name="VAL">#REF!</definedName>
    <definedName name="Val._01">#REF!</definedName>
    <definedName name="Val.Adic.">#REF!</definedName>
    <definedName name="Val_dedcutivo">'[64]A-Al'!#REF!</definedName>
    <definedName name="VAL03_01">#REF!</definedName>
    <definedName name="VAL03_02">#REF!</definedName>
    <definedName name="VAL03_03">#REF!</definedName>
    <definedName name="VAL03_04">#REF!</definedName>
    <definedName name="VAL03_05">#REF!</definedName>
    <definedName name="VAL03_06">#REF!</definedName>
    <definedName name="VAL03_07">#REF!</definedName>
    <definedName name="vall">'[15]F-9-B Valoriz Progr'!$B$12:$S$400</definedName>
    <definedName name="VALLO">#REF!</definedName>
    <definedName name="valmes">#REF!</definedName>
    <definedName name="VALO">#REF!</definedName>
    <definedName name="Valor_afecto">#REF!</definedName>
    <definedName name="Valor_Contrato">#REF!</definedName>
    <definedName name="Valor_no_Afect.">#REF!</definedName>
    <definedName name="VALOREFERENCIAL">#REF!</definedName>
    <definedName name="VALORI">#REF!</definedName>
    <definedName name="VALORIZACION">#REF!</definedName>
    <definedName name="Valorización">#REF!</definedName>
    <definedName name="VALORIZACION03">#REF!</definedName>
    <definedName name="VALORIZADO">#REF!</definedName>
    <definedName name="VAR">#REF!</definedName>
    <definedName name="VARIOS">#REF!</definedName>
    <definedName name="VARIOSANT">#REF!</definedName>
    <definedName name="VARIOSANT.">#REF!</definedName>
    <definedName name="VAUL">'[65]VAL AUL'!$A$14:$R$135</definedName>
    <definedName name="VB">#REF!</definedName>
    <definedName name="VBB">#REF!</definedName>
    <definedName name="vbbbvv">#REF!</definedName>
    <definedName name="VBNTJHNN">#REF!</definedName>
    <definedName name="vbvbvbvbgbg">#REF!</definedName>
    <definedName name="vbvbvbvbvbvbb">#REF!</definedName>
    <definedName name="vc">#REF!</definedName>
    <definedName name="VCP">'[65]VAL CER P'!$A$14:$R$56</definedName>
    <definedName name="vcvc">#REF!</definedName>
    <definedName name="vcvcc">#REF!</definedName>
    <definedName name="vcvcvcvccc">#REF!</definedName>
    <definedName name="vcvcvcvcvc">#REF!</definedName>
    <definedName name="vcvcxvcxvcx">#REF!</definedName>
    <definedName name="vcvvcvc">#REF!</definedName>
    <definedName name="VCVXCVCVCXVX">#REF!</definedName>
    <definedName name="vcvxcvcxv">#REF!</definedName>
    <definedName name="vcxvcx">#REF!</definedName>
    <definedName name="VCXVCXVCXV">#REF!</definedName>
    <definedName name="vcxvxcvcx">#REF!</definedName>
    <definedName name="vcxvxcvxc">#REF!</definedName>
    <definedName name="vdsdsvds">#REF!</definedName>
    <definedName name="Veinte">'[23]Comple Julio'!$B$124:$D$131</definedName>
    <definedName name="VeintiCinco">'[23]Comple Julio'!$B$156:$D$157</definedName>
    <definedName name="VeintiCuatro">'[23]Comple Julio'!$B$150:$D$154</definedName>
    <definedName name="veintiDos">'[23]Comple Julio'!$B$140:$D$143</definedName>
    <definedName name="VeintiSeis">'[23]Comple Julio'!$B$159:$D$161</definedName>
    <definedName name="VeintiTres">'[23]Comple Julio'!$B$145:$D$148</definedName>
    <definedName name="Veintiuno">'[23]Comple Julio'!$B$135:$D$138</definedName>
    <definedName name="VENT">#REF!</definedName>
    <definedName name="VFGG">#REF!</definedName>
    <definedName name="vfvfdvd">#REF!</definedName>
    <definedName name="VG">#REF!</definedName>
    <definedName name="VGFGDFSFDSF">#REF!</definedName>
    <definedName name="Vías1">#REF!</definedName>
    <definedName name="VIGAS">#REF!</definedName>
    <definedName name="VINCAR">#REF!</definedName>
    <definedName name="VIO">#REF!</definedName>
    <definedName name="viuda">#REF!</definedName>
    <definedName name="VN">#REF!</definedName>
    <definedName name="VOL_TUB_DESC">#REF!</definedName>
    <definedName name="VOLVO">#REF!</definedName>
    <definedName name="VSHH">'[65]VAL SS-HH'!$A$14:$R$235</definedName>
    <definedName name="VV">#REF!</definedName>
    <definedName name="vxcv">'[30]Tareo Abril'!#REF!</definedName>
    <definedName name="vxcvcvcv">#REF!</definedName>
    <definedName name="vxcvxcvxcv">#REF!</definedName>
    <definedName name="vxvcxvcvcvcv">#REF!</definedName>
    <definedName name="vzxczxczxczx">#REF!</definedName>
    <definedName name="w">#REF!</definedName>
    <definedName name="walter">#REF!</definedName>
    <definedName name="walterquispecamona">#REF!</definedName>
    <definedName name="WDQW">#REF!</definedName>
    <definedName name="WDQWD">#REF!</definedName>
    <definedName name="WDWDWDW">#REF!</definedName>
    <definedName name="WDWQD">!#REF!</definedName>
    <definedName name="WEEK">#REF!</definedName>
    <definedName name="week1">#REF!</definedName>
    <definedName name="WEEWEW">#REF!</definedName>
    <definedName name="WEFWFE">#REF!</definedName>
    <definedName name="weqre">#REF!</definedName>
    <definedName name="WERT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erwewaer">#REF!</definedName>
    <definedName name="weswedgikolp">#REF!</definedName>
    <definedName name="wew">#REF!</definedName>
    <definedName name="WEWE">#REF!</definedName>
    <definedName name="WFEFW">#REF!</definedName>
    <definedName name="WFEFWE">#REF!</definedName>
    <definedName name="WFWEF">#REF!</definedName>
    <definedName name="WINS">#REF!</definedName>
    <definedName name="WK">#REF!</definedName>
    <definedName name="WQREQWR">#REF!</definedName>
    <definedName name="WQWQWQW">#REF!</definedName>
    <definedName name="WR">#REF!</definedName>
    <definedName name="wra">#REF!</definedName>
    <definedName name="wrmciG22">{"CI+GG(BASE)",#N/A,FALSE,"CI+GG(BASE)";"GG",#N/A,FALSE,"CI+GG(BASE)";"CI",#N/A,FALSE,"CI+GG(BASE)"}</definedName>
    <definedName name="wrn.CIGG.">{"CI+GG(BASE)",#N/A,FALSE,"CI+GG(BASE)";"GG",#N/A,FALSE,"CI+GG(BASE)";"CI",#N/A,FALSE,"CI+GG(BASE)"}</definedName>
    <definedName name="wrn.MO.">{"MO(BASE)",#N/A,FALSE,"MO(BASE)";"MO(BASE)1",#N/A,FALSE,"MO(BASE)";"MO(BASE)2",#N/A,FALSE,"MO(BASE)"}</definedName>
    <definedName name="wrn.precios.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wsf">#REF!</definedName>
    <definedName name="WSASW11111111111111111111111">#REF!</definedName>
    <definedName name="WSCDXA12">#REF!</definedName>
    <definedName name="wserdesfgtvd">#REF!</definedName>
    <definedName name="WW">#REF!</definedName>
    <definedName name="WWW">#REF!</definedName>
    <definedName name="WWWW">#REF!</definedName>
    <definedName name="WWWWQ">#REF!</definedName>
    <definedName name="wwwww">#REF!</definedName>
    <definedName name="WWWWWW">#REF!</definedName>
    <definedName name="WWWWWWW">#REF!</definedName>
    <definedName name="WWWWWWWWWWWWWW">#REF!</definedName>
    <definedName name="X">#REF!</definedName>
    <definedName name="XASXAS">#REF!</definedName>
    <definedName name="XASXASX">#REF!</definedName>
    <definedName name="XC">#REF!</definedName>
    <definedName name="XCBCZVWAEDWEWERDCVCXVBCVBNAAAAXX">#REF!</definedName>
    <definedName name="xcc">#REF!</definedName>
    <definedName name="XCCXZC">#REF!</definedName>
    <definedName name="xcvcvc">#REF!</definedName>
    <definedName name="xcvxcvcvcx">#REF!</definedName>
    <definedName name="xcxcxcx">#REF!</definedName>
    <definedName name="xcxcxcxc">#REF!</definedName>
    <definedName name="xcxzcxzczx">#REF!</definedName>
    <definedName name="xczczxczxcxzc">#REF!</definedName>
    <definedName name="xczxczczccc">#REF!</definedName>
    <definedName name="xGraph11">#REF!</definedName>
    <definedName name="XVCVCVVV">#REF!</definedName>
    <definedName name="XVCVCXVC">#REF!</definedName>
    <definedName name="XVCVCXVCX">#REF!</definedName>
    <definedName name="xvvxcfcx">#REF!</definedName>
    <definedName name="XX">#REF!</definedName>
    <definedName name="xxdonmvgfv">#REF!</definedName>
    <definedName name="XXX">#REF!</definedName>
    <definedName name="XXXX">#REF!</definedName>
    <definedName name="xxxxx">#REF!</definedName>
    <definedName name="xxxxxx">#REF!</definedName>
    <definedName name="xxxxxxxxxx">#REF!</definedName>
    <definedName name="xxxxxxxxxxxxxx">#REF!</definedName>
    <definedName name="xxzxzxzxz">#REF!</definedName>
    <definedName name="xzxzx">#REF!</definedName>
    <definedName name="xzxzxzxz">#REF!</definedName>
    <definedName name="xzxzxzxzx">#REF!</definedName>
    <definedName name="xzxzxzxzxzxz">#REF!</definedName>
    <definedName name="y">#REF!</definedName>
    <definedName name="ya">#REF!</definedName>
    <definedName name="YAA">#REF!</definedName>
    <definedName name="YDHH">#REF!</definedName>
    <definedName name="ydulfñiulh">#REF!</definedName>
    <definedName name="YEAT">#REF!</definedName>
    <definedName name="yhyhyhyhyhy">#REF!</definedName>
    <definedName name="yjghjhg">#REF!</definedName>
    <definedName name="YJGJGJ">#REF!</definedName>
    <definedName name="yjuhgj">#REF!</definedName>
    <definedName name="YJYJ">#REF!</definedName>
    <definedName name="yo">{"MO(BASE)",#N/A,FALSE,"MO(BASE)";"MO(BASE)1",#N/A,FALSE,"MO(BASE)";"MO(BASE)2",#N/A,FALSE,"MO(BASE)"}</definedName>
    <definedName name="YONI">#REF!</definedName>
    <definedName name="YOPPPP">#REF!</definedName>
    <definedName name="YOVAN">#REF!</definedName>
    <definedName name="yryrtytry">#REF!</definedName>
    <definedName name="YT">#REF!</definedName>
    <definedName name="ytryrty">#REF!</definedName>
    <definedName name="YTY">#REF!</definedName>
    <definedName name="ytyt">#REF!</definedName>
    <definedName name="ytytytytyt">#REF!</definedName>
    <definedName name="YUO">#REF!</definedName>
    <definedName name="YUYU">#REF!</definedName>
    <definedName name="YUYUYU">#REF!</definedName>
    <definedName name="yyjj">#REF!</definedName>
    <definedName name="YYY">#REF!</definedName>
    <definedName name="YYYY">#REF!</definedName>
    <definedName name="YYYYY">#REF!</definedName>
    <definedName name="YYYYYYYYYYY">#REF!</definedName>
    <definedName name="Z">#REF!</definedName>
    <definedName name="Z_56770540_A97A_11D1_870B_00002143DF72_.wvu.Rows">[66]PRESUPUESTO!#REF!,[66]PRESUPUESTO!#REF!,[66]PRESUPUESTO!#REF!,[66]PRESUPUESTO!#REF!,[66]PRESUPUESTO!#REF!,[66]PRESUPUESTO!#REF!,[66]PRESUPUESTO!#REF!,[66]PRESUPUESTO!#REF!,[66]PRESUPUESTO!#REF!,[66]PRESUPUESTO!#REF!,[66]PRESUPUESTO!#REF!,[66]PRESUPUESTO!$A$287:$IV$287,[66]PRESUPUESTO!$A$292:$IV$294</definedName>
    <definedName name="Z2W">#REF!</definedName>
    <definedName name="za">#REF!</definedName>
    <definedName name="ZAPAT">#REF!</definedName>
    <definedName name="ZCVXXC">#REF!</definedName>
    <definedName name="zcxzcxzc">#REF!</definedName>
    <definedName name="zd">#REF!</definedName>
    <definedName name="zi">#REF!</definedName>
    <definedName name="ZQAXWS">#REF!</definedName>
    <definedName name="ZSXD">#REF!</definedName>
    <definedName name="zxcxzcxzcxz">#REF!</definedName>
    <definedName name="zxczxczxczczxcz">#REF!</definedName>
    <definedName name="zxczxzs">#REF!</definedName>
    <definedName name="zxzxdadsa">#REF!</definedName>
    <definedName name="ZXZXZ">#REF!</definedName>
    <definedName name="zxzxzxz">#REF!</definedName>
    <definedName name="zxzxzxzxzxzx">#REF!</definedName>
    <definedName name="zxzzxxzxzxzxz">#REF!</definedName>
    <definedName name="ZZ">#REF!</definedName>
    <definedName name="ZZZZ">#REF!</definedName>
    <definedName name="zzzzzz">#REF!</definedName>
    <definedName name="zzzzzzz">#REF!</definedName>
    <definedName name="ZZZZZZZZZZZZZZZZZZZZZZ">#REF!</definedName>
    <definedName name="ZZZZZZZZZZZZZZZZZZZZZZZZ">#REF!</definedName>
    <definedName name="ZZZZZZZZZZZZZZZZZZZZZZZZZZZZZZZZZZZZZZZZZZZZZZZ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2" l="1"/>
  <c r="N21" i="2"/>
  <c r="M21" i="2"/>
  <c r="L21" i="2"/>
  <c r="K21" i="2"/>
  <c r="J21" i="2"/>
  <c r="O20" i="2"/>
  <c r="N20" i="2"/>
  <c r="M20" i="2"/>
  <c r="L20" i="2"/>
  <c r="K20" i="2"/>
  <c r="J20" i="2"/>
  <c r="O19" i="2"/>
  <c r="N19" i="2"/>
  <c r="M19" i="2"/>
  <c r="L19" i="2"/>
  <c r="K19" i="2"/>
  <c r="J19" i="2"/>
  <c r="O18" i="2"/>
  <c r="N18" i="2"/>
  <c r="M18" i="2"/>
  <c r="L18" i="2"/>
  <c r="K18" i="2"/>
  <c r="J18" i="2"/>
  <c r="O17" i="2"/>
  <c r="N17" i="2"/>
  <c r="M17" i="2"/>
  <c r="L17" i="2"/>
  <c r="K17" i="2"/>
  <c r="J17" i="2"/>
  <c r="O16" i="2"/>
  <c r="N16" i="2"/>
  <c r="M16" i="2"/>
  <c r="L16" i="2"/>
  <c r="K16" i="2"/>
  <c r="J16" i="2"/>
  <c r="O15" i="2"/>
  <c r="N15" i="2"/>
  <c r="M15" i="2"/>
  <c r="L15" i="2"/>
  <c r="K15" i="2"/>
  <c r="J15" i="2"/>
  <c r="O14" i="2"/>
  <c r="N14" i="2"/>
  <c r="M14" i="2"/>
  <c r="L14" i="2"/>
  <c r="K14" i="2"/>
  <c r="J14" i="2"/>
  <c r="O13" i="2"/>
  <c r="N13" i="2"/>
  <c r="M13" i="2"/>
  <c r="L13" i="2"/>
  <c r="K13" i="2"/>
  <c r="J13" i="2"/>
  <c r="O12" i="2"/>
  <c r="N12" i="2"/>
  <c r="M12" i="2"/>
  <c r="L12" i="2"/>
  <c r="K12" i="2"/>
  <c r="J12" i="2"/>
  <c r="O11" i="2"/>
  <c r="N11" i="2"/>
  <c r="M11" i="2"/>
  <c r="L11" i="2"/>
  <c r="K11" i="2"/>
  <c r="J11" i="2"/>
  <c r="O10" i="2"/>
  <c r="N10" i="2"/>
  <c r="M10" i="2"/>
  <c r="L10" i="2"/>
  <c r="K10" i="2"/>
  <c r="J10" i="2"/>
  <c r="R9" i="2"/>
  <c r="R7" i="2"/>
  <c r="P12" i="2" l="1"/>
  <c r="P11" i="2"/>
  <c r="P10" i="2"/>
  <c r="Q7" i="2" s="1"/>
  <c r="Q9" i="2" l="1"/>
</calcChain>
</file>

<file path=xl/sharedStrings.xml><?xml version="1.0" encoding="utf-8"?>
<sst xmlns="http://schemas.openxmlformats.org/spreadsheetml/2006/main" count="10240" uniqueCount="331">
  <si>
    <t>Item</t>
  </si>
  <si>
    <t>DESCRIPCION</t>
  </si>
  <si>
    <t>UND</t>
  </si>
  <si>
    <t>01</t>
  </si>
  <si>
    <t>01.01</t>
  </si>
  <si>
    <t>01.02</t>
  </si>
  <si>
    <t>TRABAJOS PRELIMINARES</t>
  </si>
  <si>
    <t>01.06</t>
  </si>
  <si>
    <t>01.03</t>
  </si>
  <si>
    <t>02</t>
  </si>
  <si>
    <t>02.01</t>
  </si>
  <si>
    <t>MOVIMIENTO DE TIERRAS</t>
  </si>
  <si>
    <t>02.02</t>
  </si>
  <si>
    <t>02.03</t>
  </si>
  <si>
    <t>02.04</t>
  </si>
  <si>
    <t>HOJA DE METRADOS DIARIOS DE PARTIDAS PROGRAMADAS SEGÚN EXPEDIENTE TECNICO</t>
  </si>
  <si>
    <t>OBRA</t>
  </si>
  <si>
    <t>PARTIDA</t>
  </si>
  <si>
    <t>CANTIDAD</t>
  </si>
  <si>
    <t>LONGITUD/AREA</t>
  </si>
  <si>
    <t>ANCHO</t>
  </si>
  <si>
    <t>ALTURA</t>
  </si>
  <si>
    <t>N° VECES</t>
  </si>
  <si>
    <t>Φ</t>
  </si>
  <si>
    <t>DIAMETRO DE REFUERZO DE ACERO</t>
  </si>
  <si>
    <t>1/4"</t>
  </si>
  <si>
    <t>3/8"</t>
  </si>
  <si>
    <t>1/2"</t>
  </si>
  <si>
    <t>|</t>
  </si>
  <si>
    <t>3/4"</t>
  </si>
  <si>
    <t>1"</t>
  </si>
  <si>
    <t>SUB-TOTAL</t>
  </si>
  <si>
    <t>TOTAL</t>
  </si>
  <si>
    <t>OE.2.3.7.3</t>
  </si>
  <si>
    <t>Columnas - acero f'y=4200 Kg/cm2</t>
  </si>
  <si>
    <t>bloque 5 2DO NIVEL</t>
  </si>
  <si>
    <t>COLUMNA</t>
  </si>
  <si>
    <t>ACERO LONGUTDINAL</t>
  </si>
  <si>
    <t>EMPALME</t>
  </si>
  <si>
    <t>FECHA</t>
  </si>
  <si>
    <t>BLOQUE</t>
  </si>
  <si>
    <t>IV</t>
  </si>
  <si>
    <t>ZZ</t>
  </si>
  <si>
    <t>II</t>
  </si>
  <si>
    <t>N1</t>
  </si>
  <si>
    <t>III</t>
  </si>
  <si>
    <t>N2</t>
  </si>
  <si>
    <t>N3</t>
  </si>
  <si>
    <t>VII</t>
  </si>
  <si>
    <t>Instalacion y reposicion de cinta de seguridad en andamios</t>
  </si>
  <si>
    <t>Instalacion y reposicion de malla de seguridad en ductos</t>
  </si>
  <si>
    <t>Instalacion y reposicion de cinta y malla de seguridad en obra</t>
  </si>
  <si>
    <t>Instalacion y reposicion de cinta de seguridad barandas rigidas</t>
  </si>
  <si>
    <t>I</t>
  </si>
  <si>
    <t>VI</t>
  </si>
  <si>
    <t>S10</t>
  </si>
  <si>
    <t>Página</t>
  </si>
  <si>
    <t>Presupuesto</t>
  </si>
  <si>
    <t>0305020</t>
  </si>
  <si>
    <t>DISEÑO INTEGRAL DEL NUEVO PUENTE DE PISAC</t>
  </si>
  <si>
    <t>Cliente</t>
  </si>
  <si>
    <t>UNIVERSIDAD NACIONAL SAN ANTONIO ABAD DEL CUSCO</t>
  </si>
  <si>
    <t>Costo al</t>
  </si>
  <si>
    <t>01/02/2012</t>
  </si>
  <si>
    <t>Lugar</t>
  </si>
  <si>
    <t>CUSCO - CALCA - PISAC</t>
  </si>
  <si>
    <t>Descripción</t>
  </si>
  <si>
    <t>Und.</t>
  </si>
  <si>
    <t>Metrado</t>
  </si>
  <si>
    <t>Precio S/.</t>
  </si>
  <si>
    <t>Parcial S/.</t>
  </si>
  <si>
    <t>CAMPAMENTO PROVISIONAL DE LA OBRA</t>
  </si>
  <si>
    <t>m2</t>
  </si>
  <si>
    <t>SUMINISTRO Y COLOCACION DE CARTEL DE OBRA DE 2.40x3.60mts</t>
  </si>
  <si>
    <t>und</t>
  </si>
  <si>
    <t>AGUA PARA LA CONSTRUCCION (Almacenamiento y Distribucion)</t>
  </si>
  <si>
    <t>mes</t>
  </si>
  <si>
    <t>ENERGIA ELECTRICA PROVISIONAL (Consumo y Mantenimiento)</t>
  </si>
  <si>
    <t>01.04</t>
  </si>
  <si>
    <t>MOVILIZACION Y DESMOVILIZACION DE MAQUINARIAS Y MATERIALES</t>
  </si>
  <si>
    <t>GLB</t>
  </si>
  <si>
    <t>01.05</t>
  </si>
  <si>
    <t>LIMPIEZA DE TERRENO MANUAL</t>
  </si>
  <si>
    <t>TRAZO Y REPLANTEO</t>
  </si>
  <si>
    <t>01.07</t>
  </si>
  <si>
    <t>TRAZO Y REPLANTEO DURANTE EL PROCESO</t>
  </si>
  <si>
    <t>ESTRIBOS</t>
  </si>
  <si>
    <t>EXCAVACION CON MAQUINARIA</t>
  </si>
  <si>
    <t>m3</t>
  </si>
  <si>
    <t>EXCAVACION CON MAQUINARIA BAJO AGUA</t>
  </si>
  <si>
    <t>ELIMINACION DE MATERIAL EXCEDENTE</t>
  </si>
  <si>
    <t>ENTIBADO DE ZANJAS</t>
  </si>
  <si>
    <t>RELLENO Y COMPACTACION CON MATERIAL PROPIO</t>
  </si>
  <si>
    <t>02.05</t>
  </si>
  <si>
    <t>SOLADO PARA ZAPATAS, e=10cm, MEZCLA C:H - 1:10</t>
  </si>
  <si>
    <t>02.06</t>
  </si>
  <si>
    <t>ENCOFRADO Y DESENCOFRADO DE ESTRIBOS</t>
  </si>
  <si>
    <t>02.07</t>
  </si>
  <si>
    <t>ACERO FY=4200 KG/CM2</t>
  </si>
  <si>
    <t>kg</t>
  </si>
  <si>
    <t>02.08</t>
  </si>
  <si>
    <t>CONCRETO FC=210 KG/CM2, PARA ESTRIBOS</t>
  </si>
  <si>
    <t>03</t>
  </si>
  <si>
    <t>FALSO PUENTE</t>
  </si>
  <si>
    <t>03.01</t>
  </si>
  <si>
    <t>DADO CONCRETO CICLOPEO f'c=140 kg/cm2 + 30%P.G</t>
  </si>
  <si>
    <t>03.02</t>
  </si>
  <si>
    <t>VIGAS PRINCIPALES  DE MADERA ROLLIZO</t>
  </si>
  <si>
    <t>03.03</t>
  </si>
  <si>
    <t>VIGAS TRANSVERSALES DE MADERA</t>
  </si>
  <si>
    <t>03.04</t>
  </si>
  <si>
    <t>PIES DERECHOS DE MADERA</t>
  </si>
  <si>
    <t>03.05</t>
  </si>
  <si>
    <t>DESMONTAJE DE FALSO PUENTE</t>
  </si>
  <si>
    <t>03.06</t>
  </si>
  <si>
    <t>DEMOLICION DE DADOS DE CONCRETO CICLOPEO</t>
  </si>
  <si>
    <t>04</t>
  </si>
  <si>
    <t>VIGAS POSTENSADAS</t>
  </si>
  <si>
    <t>04.01</t>
  </si>
  <si>
    <t>ENCOFRADO Y DESENCOFRADO</t>
  </si>
  <si>
    <t>04.02</t>
  </si>
  <si>
    <t>04.03</t>
  </si>
  <si>
    <t>ACERO PARA PRETENSADO</t>
  </si>
  <si>
    <t>ton-m</t>
  </si>
  <si>
    <t>04.04</t>
  </si>
  <si>
    <t>CONCRETO FC=350 KG/CM2</t>
  </si>
  <si>
    <t>05</t>
  </si>
  <si>
    <t>LOSA DE PUENTE</t>
  </si>
  <si>
    <t>05.01</t>
  </si>
  <si>
    <t>05.02</t>
  </si>
  <si>
    <t>05.03</t>
  </si>
  <si>
    <t>CONCRETO FC=280 KG/CM2</t>
  </si>
  <si>
    <t>06</t>
  </si>
  <si>
    <t>VEREDAS</t>
  </si>
  <si>
    <t>06.01</t>
  </si>
  <si>
    <t>06.02</t>
  </si>
  <si>
    <t>06.03</t>
  </si>
  <si>
    <t>07</t>
  </si>
  <si>
    <t>ACONDICIONAMIENTO DE ACCESOS</t>
  </si>
  <si>
    <t>07.01</t>
  </si>
  <si>
    <t>07.01.01</t>
  </si>
  <si>
    <t>07.02</t>
  </si>
  <si>
    <t>07.02.01</t>
  </si>
  <si>
    <t>EXTRACCION Y APILAMIENTO DE MATERIAL DE CANTERA</t>
  </si>
  <si>
    <t>07.02.02</t>
  </si>
  <si>
    <t>CARGUIO DE MATERIAL DE CANTERA</t>
  </si>
  <si>
    <t>07.02.03</t>
  </si>
  <si>
    <t>TRANSPORTE DE MATERIAL A OBRA</t>
  </si>
  <si>
    <t>07.02.04</t>
  </si>
  <si>
    <t>CONFORMACION DE TERRAPLENES</t>
  </si>
  <si>
    <t>SUB - BASE GRANULAR</t>
  </si>
  <si>
    <t>07.02.05</t>
  </si>
  <si>
    <t>BASE GRANULAR</t>
  </si>
  <si>
    <t>07.02.06</t>
  </si>
  <si>
    <t>IMPRIMACION ASFALTICA</t>
  </si>
  <si>
    <t>08</t>
  </si>
  <si>
    <t>OBRAS DE PROTECCION DEL PUENTE</t>
  </si>
  <si>
    <t>08.01</t>
  </si>
  <si>
    <t>08.01.01</t>
  </si>
  <si>
    <t>08.01.02</t>
  </si>
  <si>
    <t>08.02</t>
  </si>
  <si>
    <t>08.02.01</t>
  </si>
  <si>
    <t>08.02.02</t>
  </si>
  <si>
    <t>08.02.03</t>
  </si>
  <si>
    <t>08.02.04</t>
  </si>
  <si>
    <t>08.03</t>
  </si>
  <si>
    <t>GAVIONES</t>
  </si>
  <si>
    <t>08.03.01</t>
  </si>
  <si>
    <t>GAVION CAJA MALLA H=1M</t>
  </si>
  <si>
    <t>08.03.02</t>
  </si>
  <si>
    <t>COLCHON ANTISOCAVANTE</t>
  </si>
  <si>
    <t>09</t>
  </si>
  <si>
    <t>VARIOS</t>
  </si>
  <si>
    <t>09.01</t>
  </si>
  <si>
    <t>SUMINISTRO  Y COLOCACION DE APOYOS FIJOS</t>
  </si>
  <si>
    <t>09.02</t>
  </si>
  <si>
    <t>SUMINISTRO  Y COLOCACION DE APOYOS MOVILES</t>
  </si>
  <si>
    <t>09.03</t>
  </si>
  <si>
    <t>JUNTAS ASFALTICAS</t>
  </si>
  <si>
    <t>m</t>
  </si>
  <si>
    <t>09.04</t>
  </si>
  <si>
    <t>JUNTA METALICA</t>
  </si>
  <si>
    <t>09.05</t>
  </si>
  <si>
    <t>SUMINISTRO Y COLOCACION DE BARANDA METALICA D=2"</t>
  </si>
  <si>
    <t>09.06</t>
  </si>
  <si>
    <t>PINTURA EN BARANDAS CON ESMALTE ANTICORROSIVO</t>
  </si>
  <si>
    <t>09.07</t>
  </si>
  <si>
    <t>TUBOS DE DRENAJE</t>
  </si>
  <si>
    <t>09.08</t>
  </si>
  <si>
    <t>PLACA RECORDATORIA</t>
  </si>
  <si>
    <t>10</t>
  </si>
  <si>
    <t>SEÑALIZACION</t>
  </si>
  <si>
    <t>10.01</t>
  </si>
  <si>
    <t>SEÑALIZACION PREVENTIVA</t>
  </si>
  <si>
    <t>10.02</t>
  </si>
  <si>
    <t>SEÑALIZACION INFORMATIVA</t>
  </si>
  <si>
    <t>10.03</t>
  </si>
  <si>
    <t>SEÑALIZACION REGULADORA</t>
  </si>
  <si>
    <t>10.04</t>
  </si>
  <si>
    <t>LINEAS CONTINUAS EN PAVIMENTO</t>
  </si>
  <si>
    <t>10.05</t>
  </si>
  <si>
    <t>PINTURA ESMALTE PARA ESTRUCTURA DE CONCRETO</t>
  </si>
  <si>
    <t>11</t>
  </si>
  <si>
    <t>MITIGACION DE IMPACTO AMBIENTAL</t>
  </si>
  <si>
    <t>11.01</t>
  </si>
  <si>
    <t>RESTAURACION DE CANTERAS</t>
  </si>
  <si>
    <t>11.02</t>
  </si>
  <si>
    <t>RESTAURACION DE AREAS AFECTADAS POR CAMPAMENTO</t>
  </si>
  <si>
    <t>12</t>
  </si>
  <si>
    <t>CONTROL DE CALIDAD DE OBRA</t>
  </si>
  <si>
    <t>12.01</t>
  </si>
  <si>
    <t>CONTROL DE CALIDAD DEL CONCRETO</t>
  </si>
  <si>
    <t>12.02</t>
  </si>
  <si>
    <t>CONTROL DE CALIDAD DE AGREGADOS</t>
  </si>
  <si>
    <t>12.03</t>
  </si>
  <si>
    <t>CONTROL DE CALIDAD DE COMPACTACION DE TERRAPLENES</t>
  </si>
  <si>
    <t>13</t>
  </si>
  <si>
    <t>FLETE</t>
  </si>
  <si>
    <t>13.01</t>
  </si>
  <si>
    <t>FLETE TERRESTRE</t>
  </si>
  <si>
    <t>ton</t>
  </si>
  <si>
    <t>Fecha :</t>
  </si>
  <si>
    <t>X</t>
  </si>
  <si>
    <t>VIII</t>
  </si>
  <si>
    <t>GRADO</t>
  </si>
  <si>
    <t>ESPECIALIDAD</t>
  </si>
  <si>
    <t>FRENTE</t>
  </si>
  <si>
    <t>NIVEL (PISO)</t>
  </si>
  <si>
    <t>CUADRILLA</t>
  </si>
  <si>
    <t>GRADO 1</t>
  </si>
  <si>
    <t>GRADO 2</t>
  </si>
  <si>
    <t>GRADO 3</t>
  </si>
  <si>
    <t>GRADO 4</t>
  </si>
  <si>
    <t>DESCRIPCIÓN</t>
  </si>
  <si>
    <t>ANCHO/EMPAME</t>
  </si>
  <si>
    <t>ALTURA/GANCHO</t>
  </si>
  <si>
    <t>PARCIAL</t>
  </si>
  <si>
    <t>ACERO</t>
  </si>
  <si>
    <t>TOTAL 2</t>
  </si>
  <si>
    <t>UNIDAD</t>
  </si>
  <si>
    <t>MODIF.</t>
  </si>
  <si>
    <t>5</t>
  </si>
  <si>
    <t/>
  </si>
  <si>
    <t>OE.1-OBRAS PROVISIONALES, TRABAJOS PRELIMINARES, SEGURIDAD Y SALUD.</t>
  </si>
  <si>
    <t>OE.1.2-SEGURIDAD Y SALUD</t>
  </si>
  <si>
    <t>OE.1.2.1-ELABORACIÓN, IMPLEMENTACIÓN Y ADMINISTRACIÓN DEL PLAN DE SEGURIDAD Y SALUD EN EL TRABAJO</t>
  </si>
  <si>
    <t>OE.1.2.1.13-Habilitación de casetas para puntos de hidratación y lavado de manos</t>
  </si>
  <si>
    <t>MM6</t>
  </si>
  <si>
    <t>2026-03-02</t>
  </si>
  <si>
    <t>SEGURIDAD</t>
  </si>
  <si>
    <t>F2</t>
  </si>
  <si>
    <t>C1</t>
  </si>
  <si>
    <t>F3</t>
  </si>
  <si>
    <t>OE.1.2.1.14-Implementación de vías peatonales, rampas y accesos</t>
  </si>
  <si>
    <t>F1</t>
  </si>
  <si>
    <t>OE.1.2.1.18-Montaje y Desmontaje de protección perimetral con malla Rashell</t>
  </si>
  <si>
    <t>F5</t>
  </si>
  <si>
    <t>OE.1.2.8-TRABAJOS COMPLEMENTARIOS DE SEGURIDAD Y SALUD OCUPACIONAL</t>
  </si>
  <si>
    <t>OE.1.2.8.3-Instalación de líneas de vida</t>
  </si>
  <si>
    <t>PN6</t>
  </si>
  <si>
    <t>F4</t>
  </si>
  <si>
    <t>OE.1.2.8.4-Acarreo de agua para lavado de manos</t>
  </si>
  <si>
    <t>l</t>
  </si>
  <si>
    <t>Acarreo en los puntos de lavado de manos en obra</t>
  </si>
  <si>
    <t>OE.1.2.8.6-Acarreo de materiales para trabajos complementarios de seguridad</t>
  </si>
  <si>
    <t>Acarreo de materiales en toda la obra</t>
  </si>
  <si>
    <t>OE.1.2.8.7-Habilitación de acceso temporal</t>
  </si>
  <si>
    <t>OE.1.2.8.8-Colocación de arranque para barandas rígidas</t>
  </si>
  <si>
    <t>OE.1.2.8.9-Instalación y reposición de capuchones</t>
  </si>
  <si>
    <t>OE.1.2.8.10-Habilitación e instalación de tapas para ductos</t>
  </si>
  <si>
    <t>m²</t>
  </si>
  <si>
    <t>OE.1.2.8.12-Instalación y reposición de cinta y malla de seguridad</t>
  </si>
  <si>
    <t>103</t>
  </si>
  <si>
    <t>51</t>
  </si>
  <si>
    <t>25</t>
  </si>
  <si>
    <t>OE.1.2.8.13-Corte y retiro de arranques</t>
  </si>
  <si>
    <t>OE.1.2.8.14-Instalación de rodapiés</t>
  </si>
  <si>
    <t>2026-03-03</t>
  </si>
  <si>
    <t>OE.1.2.8.2-Habilitado y colocado de barandas de acero de seguridad</t>
  </si>
  <si>
    <t>N4</t>
  </si>
  <si>
    <t>OE.1.2.8.5-Acarreo de agua para consumo de personal</t>
  </si>
  <si>
    <t>1</t>
  </si>
  <si>
    <t>170</t>
  </si>
  <si>
    <t>43</t>
  </si>
  <si>
    <t>Acarreo en los puntos de hidratación en obra</t>
  </si>
  <si>
    <t>2026-03-04</t>
  </si>
  <si>
    <t>8</t>
  </si>
  <si>
    <t>2026-03-05</t>
  </si>
  <si>
    <t>Acarreo de agua para lavado de manos en obra</t>
  </si>
  <si>
    <t>Acarreo de agua para consumo de personal en obra</t>
  </si>
  <si>
    <t>59</t>
  </si>
  <si>
    <t>30</t>
  </si>
  <si>
    <t>2026-03-06</t>
  </si>
  <si>
    <t>V</t>
  </si>
  <si>
    <t>2026-03-07</t>
  </si>
  <si>
    <t>2026-03-09</t>
  </si>
  <si>
    <t>IX</t>
  </si>
  <si>
    <t>2026-03-10</t>
  </si>
  <si>
    <t>124</t>
  </si>
  <si>
    <t>XVI</t>
  </si>
  <si>
    <t>4</t>
  </si>
  <si>
    <t>XI</t>
  </si>
  <si>
    <t>EXT</t>
  </si>
  <si>
    <t>2026-03-11</t>
  </si>
  <si>
    <t>2026-03-12</t>
  </si>
  <si>
    <t>52</t>
  </si>
  <si>
    <t>26</t>
  </si>
  <si>
    <t>2026-03-13</t>
  </si>
  <si>
    <t>OE.1.2.8.11-Preparación de materiales y elaboración de señalética</t>
  </si>
  <si>
    <t>121</t>
  </si>
  <si>
    <t>61</t>
  </si>
  <si>
    <t>2026-03-14</t>
  </si>
  <si>
    <t>3</t>
  </si>
  <si>
    <t>83.95</t>
  </si>
  <si>
    <t>1.2</t>
  </si>
  <si>
    <t>2</t>
  </si>
  <si>
    <t>136</t>
  </si>
  <si>
    <t>7</t>
  </si>
  <si>
    <t>60</t>
  </si>
  <si>
    <t>2026-03-16</t>
  </si>
  <si>
    <t>2026-03-17</t>
  </si>
  <si>
    <t>15</t>
  </si>
  <si>
    <t>2026-03-19</t>
  </si>
  <si>
    <t>112</t>
  </si>
  <si>
    <t>28</t>
  </si>
  <si>
    <t>2026-03-20</t>
  </si>
  <si>
    <t>2026-03-21</t>
  </si>
  <si>
    <t>2026-03-23</t>
  </si>
  <si>
    <t>2026-03-24</t>
  </si>
  <si>
    <t>180.75</t>
  </si>
  <si>
    <t>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</si>
</sst>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[$-F800]dddd\,\ mmmm\ dddd\,\ yyyy"/>
    <numFmt numFmtId="165" formatCode="_ * #,##0.00_ ;_ * \-#,##0.00_ ;_ * &quot;-&quot;??_ ;_ @_ "/>
    <numFmt numFmtId="166" formatCode="dd/mm/yy"/>
    <numFmt numFmtId="168" formatCode="_ * #,##0.000_ ;_ * \-#,##0.000_ ;_ * &quot;-&quot;??_ ;_ @_ "/>
    <numFmt numFmtId="169" formatCode="#,##0.00_);\-#,##0.00"/>
    <numFmt numFmtId="170" formatCode="dd\/mm\/yyyy&quot;  &quot;hh&quot;:&quot;mm&quot;:&quot;ss\ AM/PM"/>
    <numFmt numFmtId="171" formatCode="d/m"/>
  </numFmts>
  <fonts count="2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sz val="16"/>
      <color theme="1"/>
      <name val="Arial Narrow"/>
      <family val="2"/>
    </font>
    <font>
      <b/>
      <sz val="8"/>
      <color rgb="FFFF0000"/>
      <name val="Arial Narrow"/>
      <family val="2"/>
    </font>
    <font>
      <b/>
      <sz val="8"/>
      <color rgb="FF0033CC"/>
      <name val="Arial Narrow"/>
      <family val="2"/>
    </font>
    <font>
      <b/>
      <sz val="8"/>
      <color rgb="FF339966"/>
      <name val="Arial Narrow"/>
      <family val="2"/>
    </font>
    <font>
      <b/>
      <sz val="8"/>
      <color rgb="FF548DD4"/>
      <name val="Arial Narrow"/>
      <family val="2"/>
    </font>
    <font>
      <sz val="10"/>
      <color rgb="FF000000"/>
      <name val="Arial"/>
      <family val="2"/>
    </font>
    <font>
      <sz val="6"/>
      <color rgb="FF000000"/>
      <name val="Arial Narrow"/>
      <family val="2"/>
    </font>
    <font>
      <sz val="7"/>
      <color rgb="FF000000"/>
      <name val="Arial Narrow"/>
      <family val="2"/>
    </font>
    <font>
      <b/>
      <sz val="7"/>
      <color rgb="FF000000"/>
      <name val="Arial Narrow"/>
      <family val="2"/>
    </font>
    <font>
      <b/>
      <sz val="9"/>
      <color rgb="FF000000"/>
      <name val="Arial"/>
      <family val="2"/>
    </font>
    <font>
      <b/>
      <sz val="6"/>
      <color rgb="FF000000"/>
      <name val="Arial Narrow"/>
      <family val="2"/>
    </font>
    <font>
      <b/>
      <sz val="8"/>
      <color theme="1"/>
      <name val="Arial Narrow"/>
      <family val="2"/>
    </font>
    <font>
      <sz val="8"/>
      <name val="Arial"/>
      <family val="2"/>
      <scheme val="minor"/>
    </font>
    <font>
      <sz val="8"/>
      <color theme="1"/>
      <name val="Arial Narrow"/>
      <family val="2"/>
    </font>
    <font>
      <b/>
      <sz val="8"/>
      <name val="Arial Narrow"/>
      <family val="2"/>
    </font>
    <font>
      <b/>
      <sz val="8"/>
      <color rgb="FFC00000"/>
      <name val="Arial Narrow"/>
      <family val="2"/>
    </font>
    <font>
      <b/>
      <sz val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12"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9">
    <xf numFmtId="0" fontId="0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56">
    <xf numFmtId="0" fontId="0" fillId="0" borderId="0" xfId="0"/>
    <xf numFmtId="0" fontId="11" fillId="0" borderId="0" xfId="0" applyFont="1"/>
    <xf numFmtId="0" fontId="10" fillId="0" borderId="0" xfId="0" applyFont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2" fontId="10" fillId="2" borderId="3" xfId="0" applyNumberFormat="1" applyFont="1" applyFill="1" applyBorder="1" applyAlignment="1">
      <alignment horizontal="center"/>
    </xf>
    <xf numFmtId="4" fontId="10" fillId="2" borderId="3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12" fontId="10" fillId="2" borderId="3" xfId="0" applyNumberFormat="1" applyFont="1" applyFill="1" applyBorder="1" applyAlignment="1">
      <alignment horizontal="center"/>
    </xf>
    <xf numFmtId="0" fontId="10" fillId="0" borderId="0" xfId="0" applyFont="1"/>
    <xf numFmtId="4" fontId="13" fillId="0" borderId="3" xfId="0" applyNumberFormat="1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2" fontId="10" fillId="0" borderId="3" xfId="0" applyNumberFormat="1" applyFont="1" applyBorder="1" applyAlignment="1">
      <alignment horizontal="center"/>
    </xf>
    <xf numFmtId="4" fontId="10" fillId="0" borderId="3" xfId="0" applyNumberFormat="1" applyFont="1" applyBorder="1" applyAlignment="1">
      <alignment horizontal="center"/>
    </xf>
    <xf numFmtId="4" fontId="14" fillId="0" borderId="3" xfId="0" applyNumberFormat="1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4" fontId="15" fillId="0" borderId="3" xfId="0" applyNumberFormat="1" applyFont="1" applyBorder="1" applyAlignment="1">
      <alignment vertical="center"/>
    </xf>
    <xf numFmtId="2" fontId="11" fillId="0" borderId="3" xfId="0" applyNumberFormat="1" applyFont="1" applyBorder="1" applyAlignment="1">
      <alignment horizontal="center"/>
    </xf>
    <xf numFmtId="12" fontId="11" fillId="0" borderId="3" xfId="0" applyNumberFormat="1" applyFont="1" applyBorder="1" applyAlignment="1">
      <alignment horizontal="center"/>
    </xf>
    <xf numFmtId="165" fontId="11" fillId="0" borderId="3" xfId="0" applyNumberFormat="1" applyFont="1" applyBorder="1" applyAlignment="1">
      <alignment horizontal="center"/>
    </xf>
    <xf numFmtId="4" fontId="10" fillId="0" borderId="3" xfId="0" applyNumberFormat="1" applyFont="1" applyBorder="1" applyAlignment="1">
      <alignment vertical="center"/>
    </xf>
    <xf numFmtId="2" fontId="11" fillId="0" borderId="3" xfId="0" applyNumberFormat="1" applyFont="1" applyBorder="1" applyAlignment="1">
      <alignment horizontal="left"/>
    </xf>
    <xf numFmtId="4" fontId="11" fillId="0" borderId="3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0" fillId="0" borderId="3" xfId="0" applyFont="1" applyBorder="1" applyAlignment="1">
      <alignment vertical="center"/>
    </xf>
    <xf numFmtId="4" fontId="11" fillId="0" borderId="0" xfId="0" applyNumberFormat="1" applyFont="1"/>
    <xf numFmtId="0" fontId="11" fillId="0" borderId="0" xfId="0" applyFont="1" applyAlignment="1">
      <alignment horizontal="center" vertical="center"/>
    </xf>
    <xf numFmtId="166" fontId="13" fillId="0" borderId="0" xfId="0" applyNumberFormat="1" applyFont="1" applyAlignment="1">
      <alignment vertical="center"/>
    </xf>
    <xf numFmtId="4" fontId="13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center"/>
    </xf>
    <xf numFmtId="166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3" fontId="20" fillId="0" borderId="0" xfId="0" applyNumberFormat="1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169" fontId="22" fillId="0" borderId="0" xfId="0" applyNumberFormat="1" applyFont="1" applyAlignment="1">
      <alignment horizontal="right" vertical="center"/>
    </xf>
    <xf numFmtId="169" fontId="18" fillId="0" borderId="0" xfId="0" applyNumberFormat="1" applyFont="1" applyAlignment="1">
      <alignment horizontal="right" vertical="center"/>
    </xf>
    <xf numFmtId="0" fontId="18" fillId="0" borderId="0" xfId="0" applyFont="1" applyAlignment="1">
      <alignment horizontal="right" vertical="center"/>
    </xf>
    <xf numFmtId="170" fontId="20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2" fontId="11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horizontal="left" vertical="center"/>
    </xf>
    <xf numFmtId="165" fontId="11" fillId="0" borderId="0" xfId="0" applyNumberFormat="1" applyFont="1" applyAlignment="1">
      <alignment horizontal="center" vertical="center"/>
    </xf>
    <xf numFmtId="168" fontId="11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12" fontId="10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2" fontId="11" fillId="0" borderId="0" xfId="0" applyNumberFormat="1" applyFont="1" applyAlignment="1">
      <alignment horizontal="right" vertical="center"/>
    </xf>
    <xf numFmtId="0" fontId="25" fillId="0" borderId="3" xfId="0" applyFont="1" applyBorder="1" applyAlignment="1">
      <alignment horizontal="center" vertical="center"/>
    </xf>
    <xf numFmtId="166" fontId="25" fillId="0" borderId="3" xfId="0" applyNumberFormat="1" applyFont="1" applyBorder="1" applyAlignment="1">
      <alignment horizontal="center" vertical="center"/>
    </xf>
    <xf numFmtId="2" fontId="25" fillId="0" borderId="3" xfId="0" applyNumberFormat="1" applyFont="1" applyBorder="1" applyAlignment="1">
      <alignment horizontal="center"/>
    </xf>
    <xf numFmtId="2" fontId="25" fillId="0" borderId="3" xfId="0" applyNumberFormat="1" applyFont="1" applyBorder="1" applyAlignment="1">
      <alignment horizontal="left"/>
    </xf>
    <xf numFmtId="2" fontId="25" fillId="0" borderId="3" xfId="0" applyNumberFormat="1" applyFont="1" applyBorder="1" applyAlignment="1">
      <alignment horizontal="right"/>
    </xf>
    <xf numFmtId="2" fontId="25" fillId="0" borderId="3" xfId="0" applyNumberFormat="1" applyFont="1" applyBorder="1" applyAlignment="1">
      <alignment horizontal="center" vertical="center"/>
    </xf>
    <xf numFmtId="171" fontId="25" fillId="0" borderId="3" xfId="0" applyNumberFormat="1" applyFont="1" applyBorder="1" applyAlignment="1">
      <alignment horizontal="center" vertical="center"/>
    </xf>
    <xf numFmtId="2" fontId="23" fillId="0" borderId="3" xfId="0" applyNumberFormat="1" applyFont="1" applyBorder="1" applyAlignment="1">
      <alignment horizontal="center" vertical="center"/>
    </xf>
    <xf numFmtId="4" fontId="27" fillId="0" borderId="3" xfId="0" applyNumberFormat="1" applyFont="1" applyBorder="1" applyAlignment="1">
      <alignment horizontal="center"/>
    </xf>
    <xf numFmtId="0" fontId="27" fillId="0" borderId="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4" fontId="26" fillId="0" borderId="0" xfId="0" applyNumberFormat="1" applyFont="1" applyAlignment="1">
      <alignment horizontal="center" vertical="center" wrapText="1"/>
    </xf>
    <xf numFmtId="2" fontId="26" fillId="0" borderId="0" xfId="0" applyNumberFormat="1" applyFont="1" applyAlignment="1">
      <alignment horizontal="center" vertical="center" wrapText="1"/>
    </xf>
    <xf numFmtId="12" fontId="26" fillId="0" borderId="0" xfId="0" applyNumberFormat="1" applyFont="1" applyAlignment="1">
      <alignment horizontal="center" vertical="center" wrapText="1"/>
    </xf>
    <xf numFmtId="165" fontId="26" fillId="0" borderId="0" xfId="0" applyNumberFormat="1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166" fontId="26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5" fillId="0" borderId="3" xfId="1" applyFont="1" applyBorder="1" applyAlignment="1">
      <alignment horizontal="center" vertical="center"/>
    </xf>
    <xf numFmtId="166" fontId="25" fillId="0" borderId="3" xfId="1" applyNumberFormat="1" applyFont="1" applyBorder="1" applyAlignment="1">
      <alignment horizontal="center" vertical="center"/>
    </xf>
    <xf numFmtId="2" fontId="25" fillId="0" borderId="3" xfId="1" applyNumberFormat="1" applyFont="1" applyBorder="1" applyAlignment="1">
      <alignment horizontal="center"/>
    </xf>
    <xf numFmtId="2" fontId="25" fillId="0" borderId="3" xfId="1" applyNumberFormat="1" applyFont="1" applyBorder="1" applyAlignment="1">
      <alignment horizontal="left"/>
    </xf>
    <xf numFmtId="2" fontId="25" fillId="0" borderId="3" xfId="1" applyNumberFormat="1" applyFont="1" applyBorder="1" applyAlignment="1">
      <alignment horizontal="right"/>
    </xf>
    <xf numFmtId="2" fontId="25" fillId="0" borderId="3" xfId="1" applyNumberFormat="1" applyFont="1" applyBorder="1" applyAlignment="1">
      <alignment horizontal="center" vertical="center"/>
    </xf>
    <xf numFmtId="171" fontId="25" fillId="0" borderId="3" xfId="1" applyNumberFormat="1" applyFont="1" applyBorder="1" applyAlignment="1">
      <alignment horizontal="center" vertical="center"/>
    </xf>
    <xf numFmtId="2" fontId="23" fillId="0" borderId="3" xfId="1" applyNumberFormat="1" applyFont="1" applyBorder="1" applyAlignment="1">
      <alignment horizontal="center" vertical="center"/>
    </xf>
    <xf numFmtId="4" fontId="27" fillId="0" borderId="3" xfId="1" applyNumberFormat="1" applyFont="1" applyBorder="1" applyAlignment="1">
      <alignment horizontal="center"/>
    </xf>
    <xf numFmtId="0" fontId="27" fillId="0" borderId="3" xfId="1" applyFont="1" applyBorder="1" applyAlignment="1">
      <alignment horizontal="center"/>
    </xf>
    <xf numFmtId="0" fontId="25" fillId="0" borderId="3" xfId="1" applyFont="1" applyBorder="1" applyAlignment="1">
      <alignment horizontal="center"/>
    </xf>
    <xf numFmtId="166" fontId="25" fillId="0" borderId="11" xfId="0" applyNumberFormat="1" applyFont="1" applyBorder="1" applyAlignment="1">
      <alignment horizontal="center" vertical="center"/>
    </xf>
    <xf numFmtId="166" fontId="25" fillId="0" borderId="11" xfId="1" applyNumberFormat="1" applyFont="1" applyBorder="1" applyAlignment="1">
      <alignment horizontal="center" vertical="center"/>
    </xf>
    <xf numFmtId="166" fontId="13" fillId="0" borderId="3" xfId="0" applyNumberFormat="1" applyFont="1" applyBorder="1" applyAlignment="1">
      <alignment vertical="center"/>
    </xf>
    <xf numFmtId="0" fontId="11" fillId="0" borderId="3" xfId="0" applyFont="1" applyBorder="1"/>
    <xf numFmtId="2" fontId="11" fillId="0" borderId="11" xfId="0" applyNumberFormat="1" applyFont="1" applyBorder="1" applyAlignment="1">
      <alignment horizontal="center"/>
    </xf>
    <xf numFmtId="2" fontId="16" fillId="0" borderId="3" xfId="0" applyNumberFormat="1" applyFont="1" applyBorder="1" applyAlignment="1">
      <alignment horizontal="center"/>
    </xf>
    <xf numFmtId="0" fontId="25" fillId="0" borderId="3" xfId="4" applyFont="1" applyBorder="1" applyAlignment="1">
      <alignment horizontal="center" vertical="center"/>
    </xf>
    <xf numFmtId="166" fontId="25" fillId="0" borderId="3" xfId="4" applyNumberFormat="1" applyFont="1" applyBorder="1" applyAlignment="1">
      <alignment horizontal="center" vertical="center"/>
    </xf>
    <xf numFmtId="2" fontId="25" fillId="0" borderId="3" xfId="4" applyNumberFormat="1" applyFont="1" applyBorder="1" applyAlignment="1">
      <alignment horizontal="center"/>
    </xf>
    <xf numFmtId="2" fontId="25" fillId="0" borderId="3" xfId="4" applyNumberFormat="1" applyFont="1" applyBorder="1" applyAlignment="1">
      <alignment horizontal="left"/>
    </xf>
    <xf numFmtId="2" fontId="25" fillId="0" borderId="3" xfId="4" applyNumberFormat="1" applyFont="1" applyBorder="1" applyAlignment="1">
      <alignment horizontal="right"/>
    </xf>
    <xf numFmtId="2" fontId="25" fillId="0" borderId="3" xfId="4" applyNumberFormat="1" applyFont="1" applyBorder="1" applyAlignment="1">
      <alignment horizontal="center" vertical="center"/>
    </xf>
    <xf numFmtId="171" fontId="25" fillId="0" borderId="3" xfId="4" applyNumberFormat="1" applyFont="1" applyBorder="1" applyAlignment="1">
      <alignment horizontal="center" vertical="center"/>
    </xf>
    <xf numFmtId="2" fontId="23" fillId="0" borderId="3" xfId="4" applyNumberFormat="1" applyFont="1" applyBorder="1" applyAlignment="1">
      <alignment horizontal="center" vertical="center"/>
    </xf>
    <xf numFmtId="4" fontId="27" fillId="0" borderId="3" xfId="4" applyNumberFormat="1" applyFont="1" applyBorder="1" applyAlignment="1">
      <alignment horizontal="center"/>
    </xf>
    <xf numFmtId="0" fontId="27" fillId="0" borderId="3" xfId="4" applyFont="1" applyBorder="1" applyAlignment="1">
      <alignment horizontal="center"/>
    </xf>
    <xf numFmtId="0" fontId="25" fillId="0" borderId="3" xfId="4" applyFont="1" applyBorder="1" applyAlignment="1">
      <alignment horizontal="center"/>
    </xf>
    <xf numFmtId="0" fontId="25" fillId="0" borderId="3" xfId="5" applyFont="1" applyBorder="1" applyAlignment="1">
      <alignment horizontal="center" vertical="center"/>
    </xf>
    <xf numFmtId="166" fontId="25" fillId="0" borderId="3" xfId="5" applyNumberFormat="1" applyFont="1" applyBorder="1" applyAlignment="1">
      <alignment horizontal="center" vertical="center"/>
    </xf>
    <xf numFmtId="2" fontId="25" fillId="0" borderId="3" xfId="5" applyNumberFormat="1" applyFont="1" applyBorder="1" applyAlignment="1">
      <alignment horizontal="center"/>
    </xf>
    <xf numFmtId="2" fontId="25" fillId="0" borderId="3" xfId="5" applyNumberFormat="1" applyFont="1" applyBorder="1" applyAlignment="1">
      <alignment horizontal="left"/>
    </xf>
    <xf numFmtId="2" fontId="25" fillId="0" borderId="3" xfId="5" applyNumberFormat="1" applyFont="1" applyBorder="1" applyAlignment="1">
      <alignment horizontal="right"/>
    </xf>
    <xf numFmtId="2" fontId="25" fillId="0" borderId="3" xfId="5" applyNumberFormat="1" applyFont="1" applyBorder="1" applyAlignment="1">
      <alignment horizontal="center" vertical="center"/>
    </xf>
    <xf numFmtId="171" fontId="25" fillId="0" borderId="3" xfId="5" applyNumberFormat="1" applyFont="1" applyBorder="1" applyAlignment="1">
      <alignment horizontal="center" vertical="center"/>
    </xf>
    <xf numFmtId="2" fontId="23" fillId="0" borderId="3" xfId="5" applyNumberFormat="1" applyFont="1" applyBorder="1" applyAlignment="1">
      <alignment horizontal="center" vertical="center"/>
    </xf>
    <xf numFmtId="4" fontId="27" fillId="0" borderId="3" xfId="5" applyNumberFormat="1" applyFont="1" applyBorder="1" applyAlignment="1">
      <alignment horizontal="center"/>
    </xf>
    <xf numFmtId="0" fontId="27" fillId="0" borderId="3" xfId="5" applyFont="1" applyBorder="1" applyAlignment="1">
      <alignment horizontal="center"/>
    </xf>
    <xf numFmtId="0" fontId="25" fillId="0" borderId="3" xfId="5" applyFont="1" applyBorder="1" applyAlignment="1">
      <alignment horizontal="center"/>
    </xf>
    <xf numFmtId="0" fontId="25" fillId="0" borderId="3" xfId="6" applyFont="1" applyBorder="1" applyAlignment="1">
      <alignment horizontal="center" vertical="center"/>
    </xf>
    <xf numFmtId="166" fontId="25" fillId="0" borderId="3" xfId="6" applyNumberFormat="1" applyFont="1" applyBorder="1" applyAlignment="1">
      <alignment horizontal="center" vertical="center"/>
    </xf>
    <xf numFmtId="2" fontId="25" fillId="0" borderId="3" xfId="6" applyNumberFormat="1" applyFont="1" applyBorder="1" applyAlignment="1">
      <alignment horizontal="center"/>
    </xf>
    <xf numFmtId="2" fontId="25" fillId="0" borderId="3" xfId="6" applyNumberFormat="1" applyFont="1" applyBorder="1" applyAlignment="1">
      <alignment horizontal="left"/>
    </xf>
    <xf numFmtId="2" fontId="25" fillId="0" borderId="3" xfId="6" applyNumberFormat="1" applyFont="1" applyBorder="1" applyAlignment="1">
      <alignment horizontal="right"/>
    </xf>
    <xf numFmtId="2" fontId="25" fillId="0" borderId="3" xfId="6" applyNumberFormat="1" applyFont="1" applyBorder="1" applyAlignment="1">
      <alignment horizontal="center" vertical="center"/>
    </xf>
    <xf numFmtId="171" fontId="25" fillId="0" borderId="3" xfId="6" applyNumberFormat="1" applyFont="1" applyBorder="1" applyAlignment="1">
      <alignment horizontal="center" vertical="center"/>
    </xf>
    <xf numFmtId="2" fontId="23" fillId="0" borderId="3" xfId="6" applyNumberFormat="1" applyFont="1" applyBorder="1" applyAlignment="1">
      <alignment horizontal="center" vertical="center"/>
    </xf>
    <xf numFmtId="4" fontId="27" fillId="0" borderId="3" xfId="6" applyNumberFormat="1" applyFont="1" applyBorder="1" applyAlignment="1">
      <alignment horizontal="center"/>
    </xf>
    <xf numFmtId="0" fontId="27" fillId="0" borderId="3" xfId="6" applyFont="1" applyBorder="1" applyAlignment="1">
      <alignment horizontal="center"/>
    </xf>
    <xf numFmtId="0" fontId="25" fillId="0" borderId="3" xfId="6" applyFont="1" applyBorder="1" applyAlignment="1">
      <alignment horizontal="center"/>
    </xf>
    <xf numFmtId="0" fontId="25" fillId="0" borderId="3" xfId="7" applyFont="1" applyBorder="1" applyAlignment="1">
      <alignment horizontal="center" vertical="center"/>
    </xf>
    <xf numFmtId="166" fontId="25" fillId="0" borderId="3" xfId="7" applyNumberFormat="1" applyFont="1" applyBorder="1" applyAlignment="1">
      <alignment horizontal="center" vertical="center"/>
    </xf>
    <xf numFmtId="2" fontId="25" fillId="0" borderId="3" xfId="7" applyNumberFormat="1" applyFont="1" applyBorder="1" applyAlignment="1">
      <alignment horizontal="center"/>
    </xf>
    <xf numFmtId="2" fontId="25" fillId="0" borderId="3" xfId="7" applyNumberFormat="1" applyFont="1" applyBorder="1" applyAlignment="1">
      <alignment horizontal="left"/>
    </xf>
    <xf numFmtId="2" fontId="25" fillId="0" borderId="3" xfId="7" applyNumberFormat="1" applyFont="1" applyBorder="1" applyAlignment="1">
      <alignment horizontal="right"/>
    </xf>
    <xf numFmtId="2" fontId="25" fillId="0" borderId="3" xfId="7" applyNumberFormat="1" applyFont="1" applyBorder="1" applyAlignment="1">
      <alignment horizontal="center" vertical="center"/>
    </xf>
    <xf numFmtId="171" fontId="25" fillId="0" borderId="3" xfId="7" applyNumberFormat="1" applyFont="1" applyBorder="1" applyAlignment="1">
      <alignment horizontal="center" vertical="center"/>
    </xf>
    <xf numFmtId="2" fontId="23" fillId="0" borderId="3" xfId="7" applyNumberFormat="1" applyFont="1" applyBorder="1" applyAlignment="1">
      <alignment horizontal="center" vertical="center"/>
    </xf>
    <xf numFmtId="4" fontId="27" fillId="0" borderId="3" xfId="7" applyNumberFormat="1" applyFont="1" applyBorder="1" applyAlignment="1">
      <alignment horizontal="center"/>
    </xf>
    <xf numFmtId="0" fontId="27" fillId="0" borderId="3" xfId="7" applyFont="1" applyBorder="1" applyAlignment="1">
      <alignment horizontal="center"/>
    </xf>
    <xf numFmtId="0" fontId="25" fillId="0" borderId="3" xfId="7" applyFont="1" applyBorder="1" applyAlignment="1">
      <alignment horizontal="center"/>
    </xf>
    <xf numFmtId="0" fontId="25" fillId="0" borderId="3" xfId="8" applyFont="1" applyBorder="1" applyAlignment="1">
      <alignment horizontal="center" vertical="center"/>
    </xf>
    <xf numFmtId="166" fontId="25" fillId="0" borderId="3" xfId="8" applyNumberFormat="1" applyFont="1" applyBorder="1" applyAlignment="1">
      <alignment horizontal="center" vertical="center"/>
    </xf>
    <xf numFmtId="2" fontId="25" fillId="0" borderId="3" xfId="8" applyNumberFormat="1" applyFont="1" applyBorder="1" applyAlignment="1">
      <alignment horizontal="center"/>
    </xf>
    <xf numFmtId="2" fontId="25" fillId="0" borderId="3" xfId="8" applyNumberFormat="1" applyFont="1" applyBorder="1" applyAlignment="1">
      <alignment horizontal="left"/>
    </xf>
    <xf numFmtId="2" fontId="25" fillId="0" borderId="3" xfId="8" applyNumberFormat="1" applyFont="1" applyBorder="1" applyAlignment="1">
      <alignment horizontal="right"/>
    </xf>
    <xf numFmtId="2" fontId="25" fillId="0" borderId="3" xfId="8" applyNumberFormat="1" applyFont="1" applyBorder="1" applyAlignment="1">
      <alignment horizontal="center" vertical="center"/>
    </xf>
    <xf numFmtId="171" fontId="25" fillId="0" borderId="3" xfId="8" applyNumberFormat="1" applyFont="1" applyBorder="1" applyAlignment="1">
      <alignment horizontal="center" vertical="center"/>
    </xf>
    <xf numFmtId="2" fontId="23" fillId="0" borderId="3" xfId="8" applyNumberFormat="1" applyFont="1" applyBorder="1" applyAlignment="1">
      <alignment horizontal="center" vertical="center"/>
    </xf>
    <xf numFmtId="4" fontId="27" fillId="0" borderId="3" xfId="8" applyNumberFormat="1" applyFont="1" applyBorder="1" applyAlignment="1">
      <alignment horizontal="center"/>
    </xf>
    <xf numFmtId="0" fontId="27" fillId="0" borderId="3" xfId="8" applyFont="1" applyBorder="1" applyAlignment="1">
      <alignment horizontal="center"/>
    </xf>
    <xf numFmtId="0" fontId="25" fillId="0" borderId="3" xfId="8" applyFont="1" applyBorder="1" applyAlignment="1">
      <alignment horizontal="center"/>
    </xf>
    <xf numFmtId="2" fontId="10" fillId="2" borderId="8" xfId="0" applyNumberFormat="1" applyFont="1" applyFill="1" applyBorder="1" applyAlignment="1">
      <alignment horizontal="center" vertical="center" wrapText="1"/>
    </xf>
    <xf numFmtId="0" fontId="9" fillId="0" borderId="10" xfId="0" applyFont="1" applyBorder="1"/>
    <xf numFmtId="2" fontId="10" fillId="2" borderId="1" xfId="0" applyNumberFormat="1" applyFont="1" applyFill="1" applyBorder="1" applyAlignment="1">
      <alignment horizontal="center" vertical="center"/>
    </xf>
    <xf numFmtId="0" fontId="9" fillId="0" borderId="2" xfId="0" applyFont="1" applyBorder="1"/>
    <xf numFmtId="0" fontId="9" fillId="0" borderId="9" xfId="0" applyFont="1" applyBorder="1"/>
    <xf numFmtId="0" fontId="12" fillId="0" borderId="0" xfId="0" applyFont="1" applyAlignment="1">
      <alignment horizontal="center" vertical="center" wrapText="1"/>
    </xf>
    <xf numFmtId="0" fontId="0" fillId="0" borderId="0" xfId="0"/>
    <xf numFmtId="164" fontId="11" fillId="2" borderId="5" xfId="0" applyNumberFormat="1" applyFont="1" applyFill="1" applyBorder="1" applyAlignment="1">
      <alignment horizontal="right" vertical="center"/>
    </xf>
    <xf numFmtId="0" fontId="9" fillId="0" borderId="6" xfId="0" applyFont="1" applyBorder="1"/>
    <xf numFmtId="0" fontId="9" fillId="0" borderId="7" xfId="0" applyFont="1" applyBorder="1"/>
    <xf numFmtId="2" fontId="10" fillId="2" borderId="8" xfId="0" applyNumberFormat="1" applyFont="1" applyFill="1" applyBorder="1" applyAlignment="1">
      <alignment horizontal="center" vertical="center"/>
    </xf>
    <xf numFmtId="2" fontId="10" fillId="2" borderId="8" xfId="0" applyNumberFormat="1" applyFont="1" applyFill="1" applyBorder="1" applyAlignment="1">
      <alignment horizontal="left" vertical="center"/>
    </xf>
  </cellXfs>
  <cellStyles count="9">
    <cellStyle name="Normal" xfId="0" builtinId="0"/>
    <cellStyle name="Normal 2" xfId="1" xr:uid="{5E6EF5EC-7AC5-403C-9CEF-D82D71993EB3}"/>
    <cellStyle name="Normal 3" xfId="2" xr:uid="{AD474BA8-AFBC-4AE8-ABE0-D62395E30044}"/>
    <cellStyle name="Normal 4" xfId="3" xr:uid="{BAA756FE-3325-483F-853D-8D6D9CA92C4F}"/>
    <cellStyle name="Normal 5" xfId="4" xr:uid="{7D8CC035-5BC0-428F-A4B4-BB9901FF271C}"/>
    <cellStyle name="Normal 6" xfId="5" xr:uid="{17C145AB-CC90-4D1A-A1AB-2916113EDBC7}"/>
    <cellStyle name="Normal 7" xfId="6" xr:uid="{B9D91A08-7C50-47E1-87DB-D74319FEB113}"/>
    <cellStyle name="Normal 8" xfId="7" xr:uid="{CFB42779-8DAC-4FA5-A741-3C242EE0DE63}"/>
    <cellStyle name="Normal 9" xfId="8" xr:uid="{E052DF4F-313C-4D5B-A2D7-EBE1A80C9993}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scheme val="none"/>
      </font>
      <numFmt numFmtId="165" formatCode="_ * #,##0.00_ ;_ * \-#,##0.00_ ;_ * &quot;-&quot;??_ ;_ @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scheme val="none"/>
      </font>
      <numFmt numFmtId="165" formatCode="_ * #,##0.00_ ;_ * \-#,##0.00_ ;_ * &quot;-&quot;??_ ;_ @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scheme val="none"/>
      </font>
      <numFmt numFmtId="165" formatCode="_ * #,##0.00_ ;_ * \-#,##0.00_ ;_ * &quot;-&quot;??_ ;_ @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scheme val="none"/>
      </font>
      <numFmt numFmtId="168" formatCode="_ * #,##0.000_ ;_ * \-#,##0.000_ ;_ * &quot;-&quot;??_ ;_ @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scheme val="none"/>
      </font>
      <numFmt numFmtId="165" formatCode="_ * #,##0.00_ ;_ * \-#,##0.00_ ;_ * &quot;-&quot;??_ ;_ @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scheme val="none"/>
      </font>
      <numFmt numFmtId="165" formatCode="_ * #,##0.00_ ;_ * \-#,##0.00_ ;_ * &quot;-&quot;??_ ;_ @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scheme val="none"/>
      </font>
      <numFmt numFmtId="166" formatCode="dd/mm/yy"/>
      <alignment horizontal="general" vertical="center" textRotation="0" wrapText="0" indent="0" justifyLastLine="0" shrinkToFit="0" readingOrder="0"/>
    </dxf>
    <dxf>
      <border outline="0">
        <top style="hair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</font>
      <alignment horizontal="center" vertical="center" textRotation="0" wrapText="1" indent="0" justifyLastLine="0" shrinkToFit="0" readingOrder="0"/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4">
    <tableStyle name="PP-style" pivot="0" count="3" xr9:uid="{00000000-0011-0000-FFFF-FFFF00000000}">
      <tableStyleElement type="headerRow" dxfId="36"/>
      <tableStyleElement type="firstRowStripe" dxfId="35"/>
      <tableStyleElement type="secondRowStripe" dxfId="34"/>
    </tableStyle>
    <tableStyle name="PN 5-style" pivot="0" count="3" xr9:uid="{00000000-0011-0000-FFFF-FFFF01000000}">
      <tableStyleElement type="headerRow" dxfId="33"/>
      <tableStyleElement type="firstRowStripe" dxfId="32"/>
      <tableStyleElement type="secondRowStripe" dxfId="31"/>
    </tableStyle>
    <tableStyle name="PN 6-style" pivot="0" count="3" xr9:uid="{00000000-0011-0000-FFFF-FFFF02000000}">
      <tableStyleElement type="headerRow" dxfId="30"/>
      <tableStyleElement type="firstRowStripe" dxfId="29"/>
      <tableStyleElement type="secondRowStripe" dxfId="28"/>
    </tableStyle>
    <tableStyle name="MM6-style" pivot="0" count="3" xr9:uid="{00000000-0011-0000-FFFF-FFFF03000000}">
      <tableStyleElement type="headerRow" dxfId="27"/>
      <tableStyleElement type="firstRowStripe" dxfId="26"/>
      <tableStyleElement type="secondRowStripe" dxfId="2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6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66" Type="http://schemas.openxmlformats.org/officeDocument/2006/relationships/externalLink" Target="externalLinks/externalLink63.xml"/><Relationship Id="rId5" Type="http://schemas.openxmlformats.org/officeDocument/2006/relationships/externalLink" Target="externalLinks/externalLink2.xml"/><Relationship Id="rId61" Type="http://schemas.openxmlformats.org/officeDocument/2006/relationships/externalLink" Target="externalLinks/externalLink58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56" Type="http://schemas.openxmlformats.org/officeDocument/2006/relationships/externalLink" Target="externalLinks/externalLink53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Relationship Id="rId67" Type="http://schemas.openxmlformats.org/officeDocument/2006/relationships/externalLink" Target="externalLinks/externalLink6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externalLink" Target="externalLinks/externalLink59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" Type="http://schemas.openxmlformats.org/officeDocument/2006/relationships/externalLink" Target="externalLinks/externalLink4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0</xdr:row>
      <xdr:rowOff>0</xdr:rowOff>
    </xdr:from>
    <xdr:ext cx="8477250" cy="11430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xh\muros\Aguaytia\supervision\Valorizacion\Contratista\Val%2001%20Mayo%202003\Valorizacion\Javier%20JIMENEZ\VALORIZACIONES\BITU\C00-V2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njamin\e\Aguaytia\supervision\Valorizacion\Contratista\Val%2001%20Mayo%202003\Valorizacion\Javier%20JIMENEZ\VALORIZACIONES\BITU\REST-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urajeri\Revision%201%20-%20Exp%20de%20Reajuste%20de%20Metrados%201\MOORE%20DEFINITIVO\METRADOS\200\02.01.00-02.06.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0420176\Patty\TEMP\Concilia%20836\CONCILIA%20836%20N&#186;97%20Cierr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njamin\e\Aguaytia\supervision\Valorizacion\Contratista\Val%2001%20Mayo%202003\Valorizacion\Javier%20JIMENEZ\VALORIZACIONES\BITU\C00-V2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9572731\91-0407-LIQACT-03-000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uario\Downloads\Planill&#243;n%20de%20proyecci&#243;n%20de%20ejecuci&#243;n%20de%20inversiones_SectorJusticia%20(1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ueva%20carpeta\Documents%20and%20Settings\jcusipaucar\Mis%20documentos\Mis%20archivos%20recibidos\ERICK\2007\TRENTAS%202007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VeLAsco%20AsTeTe\VELASCO%20ASTETE\INFORMES%20MENSUALES%20PAV.%209%20CALLES%20VELASCO\INFORME%20ABRIL%202011\INFORME%20ABRIL%20201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intyl/OneDrive/Escritorio/INFORME%20DE%20CORTE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rchivos%20de%20programa\MsgPopupEN\down\JOHNJOHANN\J%20O%20H%20N-UNIV\JOHN%20JOHANN\LAZZY\INFORME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quidaciones\c\Misael\Misael\EJEC_OBRAS_2000\LIQ-II%20TRIM\SAP%20PAMPARCA\VAL-PAMPAR-JULIO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ALCA\SACCLLO\TAREO_CALCA_2019%20CAMPO-DAVID%20GALICI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intyl/OneDrive/Escritorio/INF%20MENSUAL%20no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TOSHIBA\Desktop\2.-Inf.-Supervisor-ALTO%20CAYHUA%20AGOSTO%20N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exp.%20tec.%20I.E.%20RAFAEL%20MAMARA\INF%20M-ABR-11-CRG-MAMARA\IN%20TEC%20CRGMAM%20ABR.11\Documents%20and%20Settings\Laptop\Configuraci&#243;n%20local\Temp\VALORIZACION11%20incluye%20new%20amort.%20TR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exp.%20tec.%20I.E.%20RAFAEL%20MAMARA\INF%20M-ABR-11-CRG-MAMARA\IN%20TEC%20CRGMAM%20ABR.11\INF%20SUP%20MAMARA-5-NOV-10\Mis%20documentos\Mis%20archivos%20recibidos\Liq.%20Tunel%20sin%20incl%20Val%201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exp.%20tec.%20I.E.%20RAFAEL%20MAMARA\INF%20M-ABR-11-CRG-MAMARA\IN%20TEC%20CRGMAM%20ABR.11\INF%20SUP%20MAMARA-5-NOV-10\MUN%20SANTIAGO\CRONOGRAMA%20HERM%20AYAR\VALORIZACION13%20TR7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Sergio/5._Unsaac%20cipro2006/Expedientes%20de%20carreteras%20Varios/1.-%20Expediente%20Mantenimiento%20%20VELILLE/INFORME%20FINAL/Vol2%20Estudio%20de%20Ingenieria/Tomo%202/05%20Metrados/04%20Obras%20de%20Arte.xls" TargetMode="External"/><Relationship Id="rId1" Type="http://schemas.openxmlformats.org/officeDocument/2006/relationships/externalLinkPath" Target="/Sergio/5._Unsaac%20cipro2006/Expedientes%20de%20carreteras%20Varios/1.-%20Expediente%20Mantenimiento%20%20VELILLE/INFORME%20FINAL/Vol2%20Estudio%20de%20Ingenieria/Tomo%202/05%20Metrados/04%20Obras%20de%20Art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ROYECTOS-OBRAS\SGPO\DATOS%20DE%20OBRA.xlsm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Ivan/Desktop/Users/Ivan/Desktop/financiero%20mes%20de%20julio/MARCO%20M_E/USB%20Marco/1/usb/2.%20Presupuesto%20RS%20%20Poromate%20OK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INTY/Desktop/2.0.Informe%20Mensual%20Ccorimayo%20Noviembre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mde/Desktop/Users/Oscar%20Barreto/Documents/IVOCHOTE%2018%20abril/Carretera%20Mapitunuari/Cuaderno%20de%20Obra%20CARRETERA%20MAPI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d/OBRAS/LAYO/METRADOS/METRADO%20ESTRUCTURAS%20LAYO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2\d\Documents%20and%20Settings\Sistemas\Mis%20documentos\PTO.%20SAN%20JUAN-PUQUIO\2004\NASCA_PUQUIO\informes\07_julio\Mis%20documentos\FICHAS%20EQUIPO\FLOTAS,TALLER,DEPREC-EQUIPOS-SINMAC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xlFile://Root/Users/USUARIO/Desktop/TRABAJOS%20REGION/INFORMES%20-%20SUYKUTAMBO/15%20INFORME%20MENSUAL%20SUYKUTAMBO%20-%20MARZO%202015/INFORME%20MENSUAL%20SETIEMBRE%20YANAOCA/INFORME%20MENSUAL%20SETIEMBRE%20YANAOCA/INFORME%20MENSUAL/INFORME%20AGOSTO%2020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lexis/Dropbox/Mi%20PC%20(LAPTOP-AE2FPOOS)/Desktop/CUADERNO%20DE%20OBRA%20ROSARIO/METRADOS%20DIARIOS/METRADO%20-%20RENDIMIENTO%20NOVIEMBRE%202021%20%20al%2018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GOBIERNO%20REGIONAL%20CUSCO/0.%20VIRGEN%20ROSARIO%202019/INFORMES%20MENSUALES%20ROSARIO/20.%20INFORME%20MENSUAL%20ROSARIO%20MAYO%202021/METRADO%20MAYO%202021%20-%20RENDIMIENTO%20MAYO%20TOTAL%202C.xlsx" TargetMode="External"/><Relationship Id="rId1" Type="http://schemas.openxmlformats.org/officeDocument/2006/relationships/externalLinkPath" Target="/GOBIERNO%20REGIONAL%20CUSCO/0.%20VIRGEN%20ROSARIO%202019/INFORMES%20MENSUALES%20ROSARIO/20.%20INFORME%20MENSUAL%20ROSARIO%20MAYO%202021/METRADO%20MAYO%202021%20-%20RENDIMIENTO%20MAYO%20TOTAL%202C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160;\INFORME%20MENSUAL%20JUNIO%202016%20-%20MANUGALI\MOVIMIENTO%20DE%20ALMACEN-PRESTAMOS\OBRA%20MOYOMONTE\Mov-Almacen%202013\Control%20de%20Almacen%20CS%20-%20KITENI%20-%20NOV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JESUS/OBRAS%20PATAMBUCO2/RIEGOS/Cocat/c/Marco/Proyecto%20Co-Catedral/Planilla/Planilla%20de%20Salarios.xls" TargetMode="External"/><Relationship Id="rId1" Type="http://schemas.openxmlformats.org/officeDocument/2006/relationships/externalLinkPath" Target="/JESUS/OBRAS%20PATAMBUCO2/RIEGOS/Cocat/c/Marco/Proyecto%20Co-Catedral/Planilla/Planilla%20de%20Salario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JESUS\OBRAS%20PATAMBUCO2\RIEGOS\Cocat\c\Marco\Proyecto%20Co-Catedral\Nueva%20carpeta\Planilla1\Planilla%20de%20Salarioss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Lenovo/Desktop/TAREOS%20MES%20DE%20AGOSTO/METRADO%20AGOSTO%20FAVIO%2009%20-16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moreyra\Desktop\MODULO%20CON%20TAPON%20-%20PEQUE&#209;O\HOJA%20DE%20CALCULO%20MODULO%20%20A%20COSTO%20DIRECTO%20-%20CON%20TAPON%20FLETES.xlsb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JESUS\OBRAS%20PATAMBUCO2\RIEGOS\Cocat\c\Marco\Proyecto%20Co-Catedral\Planilla\Planilla%20de%20Salarios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uario/Desktop/&#160;/_EXP.%20TECNICO.Via%20Expresa,%20MISKAPAMPA-SAN%20JERONIMO/INFORMES%20MENSUALES%202015/2%20Inf.%20Mens.%20junio/nuevos%20-%20region/SUYKUTAMBO/INFORME%20MENSUAL%20DE%20OBRA-JULIO%20ING1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VAL-ABR-99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pchirinos\Desktop\ULTIMO%20RAFAEL%20ZEA%2004.06.15\DOC.%20Y%20FORMATOS%20PARA%20PROYECTISTAS%20(3787)%20EXCEL%2003-06-15\METRADOS%20P.xlsb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trados-primavera_fina2l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RACTICAS%20NUEVO\E.T.%20NUEVO\ET%20Estructuras%20CS%20Ttio\METRADOS\METRADOS%20ESTRUCTURAS%20CS%20TTIO%204TA%20-%20FINAL%20CON%20LOGO%2031102017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JESUS/OBRAS%20PATAMBUCO2/RIEGOS/Cocat/c/Marco/Proyecto%20Co-Catedral/Nueva%20carpeta/Planilla1/Planilla%20de%20Salarioss.xls" TargetMode="External"/><Relationship Id="rId1" Type="http://schemas.openxmlformats.org/officeDocument/2006/relationships/externalLinkPath" Target="/JESUS/OBRAS%20PATAMBUCO2/RIEGOS/Cocat/c/Marco/Proyecto%20Co-Catedral/Nueva%20carpeta/Planilla1/Planilla%20de%20Salarios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VMP/Directivas%20MDQ/ivette/hoja%20de%20valorizacion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.8%20Proyectos%20CEM%20S.A.C\1.0%20Supervision%20Yuracmayo\17.6%20Informe%20Abril%202011\formato%20para%20fredy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10.-%20Preliquidaciones\2.-%20Obra%20-%20Carretera%20chiroccollo\5.-%20val%2004%20noviembre\07.-%20Val.%2004-Noviembre.xlsm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ai-nfes\documentos\INFES\APEN-arquit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ING.EMILIO%20G\ESPECIFICACIONES%20TECNICAS%20DEFENSAS%20RIBERE&#209;AS\8.5_ENROCADO.xls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18.-%20Sub%20Gerencia%20de%20Anta/1.-%20Defensa%20Rivere&#241;a/3.-%20Inf.%20Mensuales/04.-%20Inf_Val_Nro_035_Julio15/Julio%20Hatunmayo/Metrados%20diarios%20Julio%20final.xlsx" TargetMode="External"/><Relationship Id="rId1" Type="http://schemas.openxmlformats.org/officeDocument/2006/relationships/externalLinkPath" Target="/18.-%20Sub%20Gerencia%20de%20Anta/1.-%20Defensa%20Rivere&#241;a/3.-%20Inf.%20Mensuales/04.-%20Inf_Val_Nro_035_Julio15/Julio%20Hatunmayo/Metrados%20diarios%20Julio%20final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urva%20s_REPROGRAMADO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pe&#241;a\akike\expediente\BASEPRESU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UNI%20TACABAMBA\Fichas%20Desastres%20ok\FICHA%20TECNICA%20SECTOR%20MIRAFLORES%20-%20OLMOS\2PRESUPUESTODEFINITIVO%20MIRAFLORS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TOSHIBA\Desktop\INF%20FINALES%20MES%20DE%20FEBRERO\INFORME%20DE%20FEBRERO%20FINAL%20FE%20Y%20ALEGRIA%20TIMP\INFORME%20MENSUAL%20MENSUAL%20FE%20Y%20ALEGRIA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valuacion1\C\PROYECTOS%20VII%20CONV\INF_EE\GUSTAVO%20ZUNIGA\25-01096-R(ACORA)\Copia%20de%20presupuesto%20CEI%20N&#176;194-ACORA-Corregido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INFORME%20ENERO%202014-I\informes%20kori%20beni\informe%20junio%20super%20ok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MDQ-15/QLL-INSP-FICH-CRON-01-15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intyl/OneDrive/Escritorio/INFORMES%20MENSUALES/IM%20PACAYMAYO%20FEBRERO/FORMATO%2012B%20PACAYMAYO/FORMATO%2012-B%20PACAYMAYO%20V1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lysg11\jimmy\NECESIDADES%202009\PROCURADURIA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intyl/OneDrive/Escritorio/INF.%20MI%20VIVIENDA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Moises/Desktop/FICHA%20SEGUIMIENTO%20OSLI%201.xlsm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23E5D3D\VAL%20ejemplo%20CON%20REAJUSTE(1)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OBRA%20I.E.%20GUNTHER/nuevos%20-%20region/SUYKUTAMBO/INFORME%20MENSUAL%20DE%20OBRA-JULIO%20ING1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2\d\Documents%20and%20Settings\Sistemas\Mis%20documentos\PTO.%20SAN%20JUAN-PUQUIO\2004\NASCA_PUQUIO\informes\07_julio\WINDOWS\TEMP\Presupuesto\PLAN_TECNICA_2002_1_ARQ.ZAMALLOA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REX\Desktop\INFORME%20MENSUAL%20FINAL%20NOVIEMBRE\INFORME%20FINAL%20OCTUBRE%20SAN%20MARTIN%202012\04.00%20VALORIZACIONES\INFORMES%20MENSUALES%202012\INFORME%20DE%20VALORIZACION%20MARZO%202012\BIENES%20Y%20SERVICIOS%202012%20MARZO%20PRESUPUESTO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BRAS\OBRA%20NUEVA\DATOS%20DE%20OBRA.xlsm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OMUNIDAD%20DE%20TACCASSI/EXPEDIENTE%20TECNICO/I.E.I.%201045%20TACASSI/ESTRUCTURAS%20TACCASI%202018/3.%20ESTRUCTURAS%20TACCASI%202018/METRADOS%20ESTRUCTURAS%20TACCASI/METRADO%20ESTRUCTURAS%20TACASI%202018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efe_estudios\d\Mis%20documentos\CARMEN\Exped%20T&#233;cnicos\Expedientes%20Anterior\Amp%20Mz%20&#209;yO.%20Jorge%20Chavez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CORE%20I%205/Desktop/INFORME%20FISICO%20DE%20JULIO%20CANGALLI%20XXX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q14\c\C\MEM\DEP\RP_JIMBE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03"/>
      <sheetName val="F-04"/>
      <sheetName val="F-04b"/>
      <sheetName val="F-05"/>
      <sheetName val="F-07"/>
      <sheetName val="F-08"/>
      <sheetName val="F-13"/>
      <sheetName val="F-19"/>
      <sheetName val="F-21"/>
      <sheetName val="F-22"/>
      <sheetName val="F-39"/>
      <sheetName val="F-40"/>
      <sheetName val="F-46"/>
      <sheetName val="F-56"/>
      <sheetName val="PRES. PRINC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03"/>
      <sheetName val="F-04"/>
      <sheetName val="F-05"/>
      <sheetName val="DATOS"/>
      <sheetName val=""/>
      <sheetName val="EXP"/>
      <sheetName val="GRÁFICA C MICRO FINANC"/>
      <sheetName val="niveles"/>
      <sheetName val="basedesc"/>
      <sheetName val="descr. resumen"/>
      <sheetName val="PRES. PRINC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arador"/>
      <sheetName val="Resumen"/>
      <sheetName val="EXP"/>
      <sheetName val="Res-KM"/>
      <sheetName val="DATA"/>
      <sheetName val="F-05"/>
      <sheetName val="F-3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1"/>
      <sheetName val="EJEC"/>
      <sheetName val="1.1"/>
      <sheetName val="1.2"/>
      <sheetName val="1.3"/>
      <sheetName val="2.1"/>
      <sheetName val="2.2"/>
      <sheetName val="2.3"/>
      <sheetName val="2.4"/>
      <sheetName val="3.1"/>
      <sheetName val="5.1.2"/>
      <sheetName val="5.3"/>
      <sheetName val="carat"/>
      <sheetName val="caratula"/>
      <sheetName val="EXP"/>
      <sheetName val="F-05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03"/>
      <sheetName val="F-04"/>
      <sheetName val="F-04b"/>
      <sheetName val="F-05"/>
      <sheetName val="F-07"/>
      <sheetName val="F-08"/>
      <sheetName val="F-13"/>
      <sheetName val="F-19"/>
      <sheetName val="F-21"/>
      <sheetName val="F-22"/>
      <sheetName val="F-39"/>
      <sheetName val="F-40"/>
      <sheetName val="F-46"/>
      <sheetName val="F-56"/>
      <sheetName val="DATOS"/>
      <sheetName val="AL"/>
      <sheetName val="PS"/>
      <sheetName val="PN"/>
      <sheetName val="RP"/>
      <sheetName val="MO-VNL"/>
      <sheetName val="Resumen"/>
      <sheetName val="Hoja1"/>
      <sheetName val="Hoja4"/>
      <sheetName val="Hoja2"/>
      <sheetName val="CONSOLIDADO"/>
      <sheetName val="AP"/>
      <sheetName val="P S"/>
      <sheetName val="Directo P.N"/>
      <sheetName val="Directo P.S"/>
      <sheetName val="Directo R.P"/>
      <sheetName val="P.N"/>
      <sheetName val="P.S"/>
      <sheetName val="R.P"/>
      <sheetName val="P N"/>
      <sheetName val="R P"/>
      <sheetName val="Graficos"/>
      <sheetName val="Items"/>
      <sheetName val="Cronograma Total EQObra "/>
      <sheetName val="Hoja6"/>
      <sheetName val="caratula"/>
      <sheetName val="EX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 &quot;K&quot;"/>
      <sheetName val="VP (Recalculado)"/>
      <sheetName val="Reajuste"/>
      <sheetName val="REC. UTILIZADOS"/>
      <sheetName val="PRES. PRINC."/>
      <sheetName val="Reaj. Princ."/>
      <sheetName val="F.GARANTIA"/>
      <sheetName val="VAL.PAGADAS"/>
      <sheetName val="PAGOS AD.EFECT"/>
      <sheetName val="ESTUDIOS"/>
      <sheetName val="LIQ.OBRA (S)"/>
      <sheetName val="VAS05_28"/>
      <sheetName val="Rel. de Inf."/>
      <sheetName val="Penalidad"/>
      <sheetName val="Resumen"/>
      <sheetName val="F-05"/>
      <sheetName val="caratu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C1" t="str">
            <v>ENTIDAD CONTRATANTE:</v>
          </cell>
        </row>
        <row r="89">
          <cell r="B89" t="str">
            <v>RESUMEN :</v>
          </cell>
        </row>
        <row r="92">
          <cell r="B92" t="str">
            <v>COSTO TOTAL DEL PRESUPUESTO PRINCIPAL ( SIN I.G.V. )</v>
          </cell>
          <cell r="H92">
            <v>536363.42999999993</v>
          </cell>
          <cell r="I92">
            <v>0</v>
          </cell>
          <cell r="K92">
            <v>41545.629999999997</v>
          </cell>
          <cell r="L92">
            <v>0</v>
          </cell>
          <cell r="N92">
            <v>60590.250000000007</v>
          </cell>
          <cell r="O92">
            <v>0</v>
          </cell>
          <cell r="Q92">
            <v>70570.06</v>
          </cell>
          <cell r="R92">
            <v>0</v>
          </cell>
          <cell r="T92">
            <v>70570.06</v>
          </cell>
          <cell r="U92">
            <v>0</v>
          </cell>
          <cell r="W92">
            <v>101841.53</v>
          </cell>
          <cell r="X92">
            <v>0</v>
          </cell>
          <cell r="Z92">
            <v>66191.42</v>
          </cell>
          <cell r="AA92">
            <v>0</v>
          </cell>
        </row>
        <row r="95">
          <cell r="B95" t="str">
            <v>D:\910407\Docs del Supervisor\(LS) Liquidación Supervisor\[91-0407-LIQACT-03-00001.xls]Reajuste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 desplegableGeneral"/>
      <sheetName val="listaDesplegableUE"/>
      <sheetName val="Ficha de registro"/>
      <sheetName val="F-05"/>
    </sheetNames>
    <sheetDataSet>
      <sheetData sheetId="0"/>
      <sheetData sheetId="1">
        <row r="3">
          <cell r="A3" t="str">
            <v>1. GOBIERNO NACIONAL</v>
          </cell>
          <cell r="B3" t="str">
            <v>2. GOBIERNOS REGIONALES</v>
          </cell>
          <cell r="C3" t="str">
            <v>3. GOBIERNOS LOCALES</v>
          </cell>
        </row>
        <row r="4">
          <cell r="A4" t="str">
            <v>_1._GOBIERNO_NACI_F12</v>
          </cell>
          <cell r="B4" t="str">
            <v>_2._GOBIERNOS_REGIONALES_F12</v>
          </cell>
          <cell r="C4" t="str">
            <v>_2._GOBIERNOS_LOCALES_F12</v>
          </cell>
        </row>
        <row r="5">
          <cell r="A5" t="str">
            <v>01. PRESIDENCIA CONSEJO MINISTROS</v>
          </cell>
          <cell r="B5" t="str">
            <v>98. MANCOMUNIDADES REGIONALES</v>
          </cell>
          <cell r="C5" t="str">
            <v>01. AMAZONAS</v>
          </cell>
        </row>
        <row r="6">
          <cell r="A6" t="str">
            <v>03. CULTURA</v>
          </cell>
          <cell r="B6" t="str">
            <v>99. GOBIERNOS REGIONALES</v>
          </cell>
          <cell r="C6" t="str">
            <v>02. ANCASH</v>
          </cell>
        </row>
        <row r="7">
          <cell r="A7" t="str">
            <v>04. PODER JUDICIAL</v>
          </cell>
          <cell r="C7" t="str">
            <v>03. APURIMAC</v>
          </cell>
        </row>
        <row r="8">
          <cell r="A8" t="str">
            <v>05. AMBIENTAL</v>
          </cell>
          <cell r="C8" t="str">
            <v>04. AREQUIPA</v>
          </cell>
        </row>
        <row r="9">
          <cell r="A9" t="str">
            <v>06. JUSTICIA</v>
          </cell>
          <cell r="C9" t="str">
            <v>05. AYACUCHO</v>
          </cell>
        </row>
        <row r="10">
          <cell r="A10" t="str">
            <v>07. INTERIOR</v>
          </cell>
          <cell r="C10" t="str">
            <v>06. CAJAMARCA</v>
          </cell>
        </row>
        <row r="11">
          <cell r="A11" t="str">
            <v>08. RELACIONES EXTERIORES</v>
          </cell>
          <cell r="C11" t="str">
            <v>07. PROV. CONSTITUCIONAL DEL CALLAO</v>
          </cell>
        </row>
        <row r="12">
          <cell r="A12" t="str">
            <v>09. ECONOMIA Y FINANZAS</v>
          </cell>
          <cell r="C12" t="str">
            <v>08. CUSCO</v>
          </cell>
        </row>
        <row r="13">
          <cell r="A13" t="str">
            <v>10. EDUCACION</v>
          </cell>
          <cell r="C13" t="str">
            <v>09. HUANCAVELICA</v>
          </cell>
        </row>
        <row r="14">
          <cell r="A14" t="str">
            <v>11. SALUD</v>
          </cell>
          <cell r="C14" t="str">
            <v>10. HUANUCO</v>
          </cell>
        </row>
        <row r="15">
          <cell r="A15" t="str">
            <v>12. TRABAJO Y PROMOCION DEL EMPLEO</v>
          </cell>
          <cell r="C15" t="str">
            <v>11. ICA</v>
          </cell>
        </row>
        <row r="16">
          <cell r="A16" t="str">
            <v>13. AGRICULTURA</v>
          </cell>
          <cell r="C16" t="str">
            <v>12. JUNIN</v>
          </cell>
        </row>
        <row r="17">
          <cell r="A17" t="str">
            <v>16. ENERGIA Y MINAS</v>
          </cell>
          <cell r="C17" t="str">
            <v>13. LA LIBERTAD</v>
          </cell>
        </row>
        <row r="18">
          <cell r="A18" t="str">
            <v>19. CONTRALORIA GENERAL</v>
          </cell>
          <cell r="C18" t="str">
            <v>14. LAMBAYEQUE</v>
          </cell>
        </row>
        <row r="19">
          <cell r="A19" t="str">
            <v>20. DEFENSORIA DEL PUEBLO</v>
          </cell>
          <cell r="C19" t="str">
            <v>15. LIMA</v>
          </cell>
        </row>
        <row r="20">
          <cell r="A20" t="str">
            <v>21. JUNTA NACIONAL DE JUSTICIA</v>
          </cell>
          <cell r="C20" t="str">
            <v>16. LORETO</v>
          </cell>
        </row>
        <row r="21">
          <cell r="A21" t="str">
            <v>22. MINISTERIO PUBLICO</v>
          </cell>
          <cell r="C21" t="str">
            <v>17. MADRE DE DIOS</v>
          </cell>
        </row>
        <row r="22">
          <cell r="A22" t="str">
            <v>24. TRIBUNAL CONSTITUCIONAL</v>
          </cell>
          <cell r="C22" t="str">
            <v>18. MOQUEGUA</v>
          </cell>
        </row>
        <row r="23">
          <cell r="A23" t="str">
            <v>26. DEFENSA</v>
          </cell>
          <cell r="C23" t="str">
            <v>19. PASCO</v>
          </cell>
        </row>
        <row r="24">
          <cell r="A24" t="str">
            <v>27. FUERO MILITAR POLICIAL</v>
          </cell>
          <cell r="C24" t="str">
            <v>20. PIURA</v>
          </cell>
        </row>
        <row r="25">
          <cell r="A25" t="str">
            <v>28. CONGRESO DE LA REPUBLICA</v>
          </cell>
          <cell r="C25" t="str">
            <v>21. PUNO</v>
          </cell>
        </row>
        <row r="26">
          <cell r="A26" t="str">
            <v>31. JURADO NACIONAL DE ELECCIONES</v>
          </cell>
          <cell r="C26" t="str">
            <v>22. SAN MARTIN</v>
          </cell>
        </row>
        <row r="27">
          <cell r="A27" t="str">
            <v>32. OFICINA NACIONAL DE PROCESOS ELECTORALES</v>
          </cell>
          <cell r="C27" t="str">
            <v>23. TACNA</v>
          </cell>
        </row>
        <row r="28">
          <cell r="A28" t="str">
            <v>33. REGISTRO NACIONAL DE IDENTIFICACION Y ESTADO CIVIL</v>
          </cell>
          <cell r="C28" t="str">
            <v>24. TUMBES</v>
          </cell>
        </row>
        <row r="29">
          <cell r="A29" t="str">
            <v>35. COMERCIO EXTERIOR Y TURISMO</v>
          </cell>
          <cell r="C29" t="str">
            <v>25. UCAYALI</v>
          </cell>
        </row>
        <row r="30">
          <cell r="A30" t="str">
            <v>36. TRANSPORTES Y COMUNICACIONES</v>
          </cell>
          <cell r="C30" t="str">
            <v>97. MANCOMUNIDADES MUNICIPALES</v>
          </cell>
        </row>
        <row r="31">
          <cell r="A31" t="str">
            <v>37. VIVIENDA CONSTRUCCION Y SANEAMIENTO</v>
          </cell>
        </row>
        <row r="32">
          <cell r="A32" t="str">
            <v>38. PRODUCCION</v>
          </cell>
        </row>
        <row r="33">
          <cell r="A33" t="str">
            <v>39. MUJER Y POBLACIONES VULNERABLES</v>
          </cell>
        </row>
        <row r="34">
          <cell r="A34" t="str">
            <v>40. DESARROLLO E INCLUSION SOCIAL</v>
          </cell>
        </row>
        <row r="39">
          <cell r="A39" t="str">
            <v>01. PRESIDENCIA CONSEJO MINISTROS</v>
          </cell>
          <cell r="B39" t="str">
            <v>03. CULTURA</v>
          </cell>
          <cell r="C39" t="str">
            <v>04. PODER JUDICIAL</v>
          </cell>
          <cell r="D39" t="str">
            <v>05. AMBIENTAL</v>
          </cell>
          <cell r="E39" t="str">
            <v>06. JUSTICIA</v>
          </cell>
          <cell r="F39" t="str">
            <v>07. INTERIOR</v>
          </cell>
          <cell r="G39" t="str">
            <v>08. RELACIONES EXTERIORES</v>
          </cell>
          <cell r="H39" t="str">
            <v>09. ECONOMIA Y FINANZAS</v>
          </cell>
          <cell r="I39" t="str">
            <v>10. EDUCACION</v>
          </cell>
          <cell r="J39" t="str">
            <v>11. SALUD</v>
          </cell>
          <cell r="K39" t="str">
            <v>12. TRABAJO Y PROMOCION DEL EMPLEO</v>
          </cell>
          <cell r="L39" t="str">
            <v>13. AGRICULTURA</v>
          </cell>
          <cell r="M39" t="str">
            <v>16. ENERGIA Y MINAS</v>
          </cell>
          <cell r="N39" t="str">
            <v>19. CONTRALORIA GENERAL</v>
          </cell>
          <cell r="O39" t="str">
            <v>20. DEFENSORIA DEL PUEBLO</v>
          </cell>
          <cell r="P39" t="str">
            <v>21. JUNTA NACIONAL DE JUSTICIA</v>
          </cell>
          <cell r="Q39" t="str">
            <v>22. MINISTERIO PUBLICO</v>
          </cell>
          <cell r="R39" t="str">
            <v>24. TRIBUNAL CONSTITUCIONAL</v>
          </cell>
          <cell r="S39" t="str">
            <v>26. DEFENSA</v>
          </cell>
          <cell r="T39" t="str">
            <v>27. FUERO MILITAR POLICIAL</v>
          </cell>
          <cell r="U39" t="str">
            <v>28. CONGRESO DE LA REPUBLICA</v>
          </cell>
          <cell r="V39" t="str">
            <v>31. JURADO NACIONAL DE ELECCIONES</v>
          </cell>
          <cell r="W39" t="str">
            <v>32. OFICINA NACIONAL DE PROCESOS ELECTORALES</v>
          </cell>
          <cell r="X39" t="str">
            <v>33. REGISTRO NACIONAL DE IDENTIFICACION Y ESTADO CIVIL</v>
          </cell>
          <cell r="Y39" t="str">
            <v>35. COMERCIO EXTERIOR Y TURISMO</v>
          </cell>
          <cell r="Z39" t="str">
            <v>36. TRANSPORTES Y COMUNICACIONES</v>
          </cell>
          <cell r="AA39" t="str">
            <v>37. VIVIENDA CONSTRUCCION Y SANEAMIENTO</v>
          </cell>
          <cell r="AB39" t="str">
            <v>38. PRODUCCION</v>
          </cell>
          <cell r="AC39" t="str">
            <v>39. MUJER Y POBLACIONES VULNERABLES</v>
          </cell>
          <cell r="AD39" t="str">
            <v>40. DESARROLLO E INCLUSION SOCIAL</v>
          </cell>
          <cell r="AE39" t="str">
            <v>98. MANCOMUNIDADES REGIONALES</v>
          </cell>
          <cell r="AF39" t="str">
            <v>99. GOBIERNOS REGIONALES</v>
          </cell>
          <cell r="AG39" t="str">
            <v>01. AMAZONAS</v>
          </cell>
          <cell r="AH39" t="str">
            <v>02. ANCASH</v>
          </cell>
          <cell r="AI39" t="str">
            <v>03. APURIMAC</v>
          </cell>
          <cell r="AJ39" t="str">
            <v>04. AREQUIPA</v>
          </cell>
          <cell r="AK39" t="str">
            <v>05. AYACUCHO</v>
          </cell>
          <cell r="AL39" t="str">
            <v>06. CAJAMARCA</v>
          </cell>
          <cell r="AM39" t="str">
            <v>07. PROV. CONSTITUCIONAL DEL CALLAO</v>
          </cell>
          <cell r="AN39" t="str">
            <v>08. CUSCO</v>
          </cell>
          <cell r="AO39" t="str">
            <v>09. HUANCAVELICA</v>
          </cell>
          <cell r="AP39" t="str">
            <v>10. HUANUCO</v>
          </cell>
          <cell r="AQ39" t="str">
            <v>11. ICA</v>
          </cell>
          <cell r="AR39" t="str">
            <v>12. JUNIN</v>
          </cell>
          <cell r="AS39" t="str">
            <v>13. LA LIBERTAD</v>
          </cell>
          <cell r="AT39" t="str">
            <v>14. LAMBAYEQUE</v>
          </cell>
          <cell r="AU39" t="str">
            <v>15. LIMA</v>
          </cell>
          <cell r="AV39" t="str">
            <v>16. LORETO</v>
          </cell>
          <cell r="AW39" t="str">
            <v>17. MADRE DE DIOS</v>
          </cell>
          <cell r="AX39" t="str">
            <v>18. MOQUEGUA</v>
          </cell>
          <cell r="AY39" t="str">
            <v>19. PASCO</v>
          </cell>
          <cell r="AZ39" t="str">
            <v>20. PIURA</v>
          </cell>
          <cell r="BA39" t="str">
            <v>21. PUNO</v>
          </cell>
          <cell r="BB39" t="str">
            <v>22. SAN MARTIN</v>
          </cell>
          <cell r="BC39" t="str">
            <v>23. TACNA</v>
          </cell>
          <cell r="BD39" t="str">
            <v>24. TUMBES</v>
          </cell>
          <cell r="BE39" t="str">
            <v>25. UCAYALI</v>
          </cell>
          <cell r="BF39" t="str">
            <v>97. MANCOMUNIDADES MUNICIPALES</v>
          </cell>
        </row>
        <row r="40">
          <cell r="A40" t="str">
            <v>_01._PRESIDENCIA_CONSEJO_MINISTROS</v>
          </cell>
          <cell r="B40" t="str">
            <v>_03._CULTURA</v>
          </cell>
          <cell r="C40" t="str">
            <v>_04._PODER_JUDICIAL</v>
          </cell>
          <cell r="D40" t="str">
            <v>_05._AMBIENTAL</v>
          </cell>
          <cell r="E40" t="str">
            <v>_06._JUSTICIA</v>
          </cell>
          <cell r="F40" t="str">
            <v>_07._INTERIOR</v>
          </cell>
          <cell r="G40" t="str">
            <v>_08._RELACIONES_EXTERIORES</v>
          </cell>
          <cell r="H40" t="str">
            <v>_09._ECONOMIA_Y_FINANZAS</v>
          </cell>
          <cell r="I40" t="str">
            <v>_10._EDUCACION</v>
          </cell>
          <cell r="J40" t="str">
            <v>_11._SALUD</v>
          </cell>
          <cell r="K40" t="str">
            <v>_12._TRABAJO_Y_PROMOCION_DEL_EMPLEO</v>
          </cell>
          <cell r="L40" t="str">
            <v>_13._AGRICULTURA</v>
          </cell>
          <cell r="M40" t="str">
            <v>_16._ENERGIA_Y_MINAS</v>
          </cell>
          <cell r="N40" t="str">
            <v>_19._CONTRALORIA_GENERAL</v>
          </cell>
          <cell r="O40" t="str">
            <v>_20._DEFENSORIA_DEL_PUEBLO</v>
          </cell>
          <cell r="P40" t="str">
            <v>_21._CONSEJO_NACIONAL_DE_LA_MAGISTRATURA</v>
          </cell>
          <cell r="Q40" t="str">
            <v>_22._MINISTERIO_PUBLICO</v>
          </cell>
          <cell r="R40" t="str">
            <v>_24._TRIBUNAL_CONSTITUCIONAL</v>
          </cell>
          <cell r="S40" t="str">
            <v>_26._DEFENSA</v>
          </cell>
          <cell r="T40" t="str">
            <v>_27._FUERO_MILITAR_POLICIAL</v>
          </cell>
          <cell r="U40" t="str">
            <v>_28._CONGRESO_DE_LA_REPUBLICA</v>
          </cell>
          <cell r="V40" t="str">
            <v>_31._JURADO_NACIONAL_DE_ELECCIONES</v>
          </cell>
          <cell r="W40" t="str">
            <v>_32._OFICINA_NACIONAL_DE_PROCESOS_ELECTORALES</v>
          </cell>
          <cell r="X40" t="str">
            <v>_33._REGISTRO_NACIONAL_DE_IDENTIFICACION_Y_ESTADO_CIVIL</v>
          </cell>
          <cell r="Y40" t="str">
            <v>_35._COMERCIO_EXTERIOR_Y_TURISMO</v>
          </cell>
          <cell r="Z40" t="str">
            <v>_36._TRANSPORTES_Y_COMUNICACIONES</v>
          </cell>
          <cell r="AA40" t="str">
            <v>_37._VIVIENDA_CONSTRUCCION_Y_SANEAMIENTO</v>
          </cell>
          <cell r="AB40" t="str">
            <v>_38._PRODUCCION</v>
          </cell>
          <cell r="AC40" t="str">
            <v>_39._MUJER_Y_POBLACIONES_VULNERABLES</v>
          </cell>
          <cell r="AD40" t="str">
            <v>_40._DESARROLLO_E_INCLUSION_SOCIAL</v>
          </cell>
          <cell r="AE40" t="str">
            <v>_98._MANCOMUNIDADES_REGIONALES</v>
          </cell>
          <cell r="AF40" t="str">
            <v>_99._GOBIERNOS_REGIONALES</v>
          </cell>
          <cell r="AG40" t="str">
            <v>_01._AMAZONAS</v>
          </cell>
          <cell r="AH40" t="str">
            <v>_02._ANCASH</v>
          </cell>
          <cell r="AI40" t="str">
            <v>_03._APURIMAC</v>
          </cell>
          <cell r="AJ40" t="str">
            <v>_04._AREQUIPA</v>
          </cell>
          <cell r="AK40" t="str">
            <v>_05._AYACUCHO</v>
          </cell>
          <cell r="AL40" t="str">
            <v>_06._CAJAMARCA</v>
          </cell>
          <cell r="AM40" t="str">
            <v>_07._PROV._CONSTITUCIONAL_DEL_CALLAO</v>
          </cell>
          <cell r="AN40" t="str">
            <v>_08._CUSCO</v>
          </cell>
          <cell r="AO40" t="str">
            <v>_09._HUANCAVELICA</v>
          </cell>
          <cell r="AP40" t="str">
            <v>_10._HUANUCO</v>
          </cell>
          <cell r="AQ40" t="str">
            <v>_11._ICA</v>
          </cell>
          <cell r="AR40" t="str">
            <v>_12._JUNIN</v>
          </cell>
          <cell r="AS40" t="str">
            <v>_13._LA_LIBERTAD</v>
          </cell>
          <cell r="AT40" t="str">
            <v>_14._LAMBAYEQUE</v>
          </cell>
          <cell r="AU40" t="str">
            <v>_15._LIMA</v>
          </cell>
          <cell r="AV40" t="str">
            <v>_16._LORETO</v>
          </cell>
          <cell r="AW40" t="str">
            <v>_17._MADRE_DE_DIOS</v>
          </cell>
          <cell r="AX40" t="str">
            <v>_18._MOQUEGUA</v>
          </cell>
          <cell r="AY40" t="str">
            <v>_19._PASCO</v>
          </cell>
          <cell r="AZ40" t="str">
            <v>_20._PIURA</v>
          </cell>
          <cell r="BA40" t="str">
            <v>_21._PUNO</v>
          </cell>
          <cell r="BB40" t="str">
            <v>_22._SAN_MARTIN</v>
          </cell>
          <cell r="BC40" t="str">
            <v>_23._TACNA</v>
          </cell>
          <cell r="BD40" t="str">
            <v>_24._TUMBES</v>
          </cell>
          <cell r="BE40" t="str">
            <v>_25._UCAYALI</v>
          </cell>
          <cell r="BF40" t="str">
            <v>_97._MANCOMUNIDADES_MUNICIPALES</v>
          </cell>
        </row>
        <row r="41">
          <cell r="A41" t="str">
            <v>001. PRESIDENCIA DEL CONSEJO DE MINISTROS</v>
          </cell>
          <cell r="B41" t="str">
            <v>003. M. DE CULTURA</v>
          </cell>
          <cell r="C41" t="str">
            <v>004. PODER JUDICIAL</v>
          </cell>
          <cell r="D41" t="str">
            <v>005. M. DEL AMBIENTE</v>
          </cell>
          <cell r="E41" t="str">
            <v>006. M. DE JUSTICIA Y DERECHOS HUMANOS</v>
          </cell>
          <cell r="F41" t="str">
            <v>007. M. DEL INTERIOR</v>
          </cell>
          <cell r="G41" t="str">
            <v>008. M. DE RELACIONES EXTERIORES</v>
          </cell>
          <cell r="H41" t="str">
            <v>009. M. DE ECONOMIA Y FINANZAS</v>
          </cell>
          <cell r="I41" t="str">
            <v>010. M. DE EDUCACION</v>
          </cell>
          <cell r="J41" t="str">
            <v>011. M. DE SALUD</v>
          </cell>
          <cell r="K41" t="str">
            <v>012. M. DE TRABAJO Y PROMOCION DEL EMPLEO</v>
          </cell>
          <cell r="L41" t="str">
            <v>013. M. DE AGRICULTURA Y RIEGO</v>
          </cell>
          <cell r="M41" t="str">
            <v>016. M. DE ENERGIA Y MINAS</v>
          </cell>
          <cell r="N41" t="str">
            <v>019. CONTRALORIA GENERAL</v>
          </cell>
          <cell r="O41" t="str">
            <v>020. DEFENSORIA DEL PUEBLO</v>
          </cell>
          <cell r="P41" t="str">
            <v>021. JUNTA NACIONAL DE JUSTICIA</v>
          </cell>
          <cell r="Q41" t="str">
            <v>022. MINISTERIO PUBLICO</v>
          </cell>
          <cell r="R41" t="str">
            <v>024. TRIBUNAL CONSTITUCIONAL</v>
          </cell>
          <cell r="S41" t="str">
            <v>006. INSTITUTO NACIONAL DE DEFENSA CIVIL</v>
          </cell>
          <cell r="T41" t="str">
            <v>027. FUERO MILITAR POLICIAL</v>
          </cell>
          <cell r="U41" t="str">
            <v>028. CONGRESO DE LA REPUBLICA</v>
          </cell>
          <cell r="V41" t="str">
            <v>031. JURADO NACIONAL DE ELECCIONES</v>
          </cell>
          <cell r="W41" t="str">
            <v>032. OFICINA NACIONAL DE PROCESOS ELECTORALES</v>
          </cell>
          <cell r="X41" t="str">
            <v>033. REGISTRO NACIONAL DE IDENTIFICACION Y ESTADO CIVIL</v>
          </cell>
          <cell r="Y41" t="str">
            <v>008. COMISION DE PROMOCION DEL PERU PARA LA EXPORTACION Y EL TURISMO - PROMPERU</v>
          </cell>
          <cell r="Z41" t="str">
            <v>036. MINISTERIO DE TRANSPORTES Y COMUNICACIONES</v>
          </cell>
          <cell r="AA41" t="str">
            <v>037. MINISTERIO DE VIVIENDA, CONSTRUCCION Y SANEAMIENTO</v>
          </cell>
          <cell r="AB41" t="str">
            <v>038. MINISTERIO DE LA PRODUCCION</v>
          </cell>
          <cell r="AC41" t="str">
            <v>039. MINISTERIO DE LA MUJER Y POBLACIONES VULNERABLES</v>
          </cell>
          <cell r="AD41" t="str">
            <v>040. MINISTERIO DE DESARROLLO E INCLUSION SOCIAL</v>
          </cell>
          <cell r="AE41" t="str">
            <v>001. MANCOMUNIDAD REGIONAL DE LOS ANDES</v>
          </cell>
          <cell r="AF41" t="str">
            <v>440. GOBIERNO REGIONAL DEL DEPARTAMENTO DE AMAZONAS</v>
          </cell>
          <cell r="AG41" t="str">
            <v>01. CHACHAPOYAS</v>
          </cell>
          <cell r="AH41" t="str">
            <v>01. HUARAZ</v>
          </cell>
          <cell r="AI41" t="str">
            <v>01. ABANCAY</v>
          </cell>
          <cell r="AJ41" t="str">
            <v>01. AREQUIPA</v>
          </cell>
          <cell r="AK41" t="str">
            <v>01. HUAMANGA</v>
          </cell>
          <cell r="AL41" t="str">
            <v>01. CAJAMARCA</v>
          </cell>
          <cell r="AM41" t="str">
            <v>01. PROV.CONSTITUCIONAL DEL CALLAO</v>
          </cell>
          <cell r="AN41" t="str">
            <v>01. CUSCO</v>
          </cell>
          <cell r="AO41" t="str">
            <v>01. HUANCAVELICA</v>
          </cell>
          <cell r="AP41" t="str">
            <v>01. HUANUCO</v>
          </cell>
          <cell r="AQ41" t="str">
            <v>01. ICA</v>
          </cell>
          <cell r="AR41" t="str">
            <v>01. HUANCAYO</v>
          </cell>
          <cell r="AS41" t="str">
            <v>01. TRUJILLO</v>
          </cell>
          <cell r="AT41" t="str">
            <v>01. CHICLAYO</v>
          </cell>
          <cell r="AU41" t="str">
            <v>01. LIMA</v>
          </cell>
          <cell r="AV41" t="str">
            <v>01. MAYNAS</v>
          </cell>
          <cell r="AW41" t="str">
            <v>01. TAMBOPATA</v>
          </cell>
          <cell r="AX41" t="str">
            <v>01. MARISCAL NIETO</v>
          </cell>
          <cell r="AY41" t="str">
            <v>01. PASCO</v>
          </cell>
          <cell r="AZ41" t="str">
            <v>01. PIURA</v>
          </cell>
          <cell r="BA41" t="str">
            <v>01. PUNO</v>
          </cell>
          <cell r="BB41" t="str">
            <v>01. MOYOBAMBA</v>
          </cell>
          <cell r="BC41" t="str">
            <v>01. TACNA</v>
          </cell>
          <cell r="BD41" t="str">
            <v>01. TUMBES</v>
          </cell>
          <cell r="BE41" t="str">
            <v>01. CORONEL PORTILLO</v>
          </cell>
          <cell r="BF41" t="str">
            <v>001. MANCOMUNIDAD MUNICIPAL DE LA AMAZONIA DE PUNO</v>
          </cell>
        </row>
        <row r="42">
          <cell r="A42" t="str">
            <v>002. INSTITUTO NACIONAL DE ESTADISTICA E INFORMATICA</v>
          </cell>
          <cell r="B42" t="str">
            <v>060. ARCHIVO GENERAL DE LA NACION</v>
          </cell>
          <cell r="C42" t="str">
            <v>040. ACADEMIA DE LA MAGISTRATURA</v>
          </cell>
          <cell r="D42" t="str">
            <v>050. SERVICIO NACIONAL DE AREAS NATURALES PROTEGIDAS POR EL ESTADO - SERNANP</v>
          </cell>
          <cell r="E42" t="str">
            <v>061. INSTITUTO NACIONAL PENITENCIARIO</v>
          </cell>
          <cell r="F42" t="str">
            <v>070. INTENDENCIA NACIONAL DE BOMBEROS DEL PERÚ - INBP</v>
          </cell>
          <cell r="G42" t="str">
            <v>080. AGENCIA PERUANA DE COOPERACION INTERNACIONAL - APCI</v>
          </cell>
          <cell r="H42" t="str">
            <v>055. AGENCIA DE PROMOCION DE LA INVERSION PRIVADA</v>
          </cell>
          <cell r="I42" t="str">
            <v>111. CENTRO VACACIONAL HUAMPANI</v>
          </cell>
          <cell r="J42" t="str">
            <v>131. INSTITUTO NACIONAL DE SALUD</v>
          </cell>
          <cell r="K42" t="str">
            <v>121. SUPERINTENDENCIA NACIONAL DE FISCALIZACION LABORAL</v>
          </cell>
          <cell r="L42" t="str">
            <v>018. SIERRA Y SELVA EXPORTADORA</v>
          </cell>
          <cell r="M42" t="str">
            <v>220. INSTITUTO PERUANO DE ENERGIA NUCLEAR</v>
          </cell>
          <cell r="S42" t="str">
            <v>025. CENTRO NACIONAL DE ESTIMACION, PREVENCION Y REDUCCION DEL RIESGO DE DESASTRES - CENEPRED</v>
          </cell>
          <cell r="Y42" t="str">
            <v>035. MINISTERIO DE COMERCIO EXTERIOR Y TURISMO</v>
          </cell>
          <cell r="Z42" t="str">
            <v>202. SUPERINTENDENCIA DE TRANSPORTE TERRESTRE DE PERSONAS, CARGA Y MERCANCIAS - SUTRAN</v>
          </cell>
          <cell r="AA42" t="str">
            <v>056. SUPERINTENDENCIA NACIONAL DE BIENES ESTATALES</v>
          </cell>
          <cell r="AB42" t="str">
            <v>059. FONDO NACIONAL DE DESARROLLO PESQUERO - FONDEPES</v>
          </cell>
          <cell r="AC42" t="str">
            <v>345. CONSEJO NACIONAL PARA LA INTEGRACION DE LA PERSONA CON DISCAPACIDAD - CONADIS</v>
          </cell>
          <cell r="AE42" t="str">
            <v>002. MANCOMUNIDAD REGIONAL HUANCAVELICA - ICA</v>
          </cell>
          <cell r="AF42" t="str">
            <v>441. GOBIERNO REGIONAL DEL DEPARTAMENTO DE ANCASH</v>
          </cell>
          <cell r="AG42" t="str">
            <v>02. BAGUA</v>
          </cell>
          <cell r="AH42" t="str">
            <v>02. AIJA</v>
          </cell>
          <cell r="AI42" t="str">
            <v>02. ANDAHUAYLAS</v>
          </cell>
          <cell r="AJ42" t="str">
            <v>02. CAMANA</v>
          </cell>
          <cell r="AK42" t="str">
            <v>02. CANGALLO</v>
          </cell>
          <cell r="AL42" t="str">
            <v>02. CAJABAMBA</v>
          </cell>
          <cell r="AN42" t="str">
            <v>02. ACOMAYO</v>
          </cell>
          <cell r="AO42" t="str">
            <v>02. ACOBAMBA</v>
          </cell>
          <cell r="AP42" t="str">
            <v>02. AMBO</v>
          </cell>
          <cell r="AQ42" t="str">
            <v>02. CHINCHA</v>
          </cell>
          <cell r="AR42" t="str">
            <v>02. CONCEPCION</v>
          </cell>
          <cell r="AS42" t="str">
            <v>02. ASCOPE</v>
          </cell>
          <cell r="AT42" t="str">
            <v>02. FERREÑAFE</v>
          </cell>
          <cell r="AU42" t="str">
            <v>02. BARRANCA</v>
          </cell>
          <cell r="AV42" t="str">
            <v>02. ALTO AMAZONAS</v>
          </cell>
          <cell r="AW42" t="str">
            <v>02. MANU</v>
          </cell>
          <cell r="AX42" t="str">
            <v>02. GENERAL SANCHEZ CERRO</v>
          </cell>
          <cell r="AY42" t="str">
            <v>02. DANIEL A. CARRION</v>
          </cell>
          <cell r="AZ42" t="str">
            <v>02. AYABACA</v>
          </cell>
          <cell r="BA42" t="str">
            <v>02. AZANGARO</v>
          </cell>
          <cell r="BB42" t="str">
            <v>02. BELLAVISTA</v>
          </cell>
          <cell r="BC42" t="str">
            <v>02. CANDARAVE</v>
          </cell>
          <cell r="BD42" t="str">
            <v>02. CONTRALMIRANTE VILLAR</v>
          </cell>
          <cell r="BE42" t="str">
            <v>02. ATALAYA</v>
          </cell>
          <cell r="BF42" t="str">
            <v>002. MANCOMUNIDAD MUNICIPAL DE USCOVILCA</v>
          </cell>
        </row>
        <row r="43">
          <cell r="A43" t="str">
            <v>010. DIRECCION NACIONAL DE INTELIGENCIA</v>
          </cell>
          <cell r="B43" t="str">
            <v>113. BIBLIOTECA NACIONAL DEL PERU</v>
          </cell>
          <cell r="D43" t="str">
            <v>051. ORGANISMO DE EVALUACION Y FISCALIZACION AMBIENTAL - OEFA</v>
          </cell>
          <cell r="E43" t="str">
            <v>067. SUPERINTENDENCIA NACIONAL DE LOS REGISTROS PUBLICOS</v>
          </cell>
          <cell r="F43" t="str">
            <v>072. SUPERINTENDENCIA NACIONAL DE CONTROL DE SERVICIOS DE SEGURIDAD, ARMAS, MUNICIONES Y EXPLOSIVOS DE USO CIVIL</v>
          </cell>
          <cell r="H43" t="str">
            <v>057. SUPERINTENDENCIA NACIONAL DE ADUANAS Y DE ADMINISTRACION TRIBUTARIA</v>
          </cell>
          <cell r="I43" t="str">
            <v>117. SISTEMA NACIONAL DE EVALUACION, ACREDITACION Y CERTIFICACION DE LA CALIDAD EDUCATIVA</v>
          </cell>
          <cell r="J43" t="str">
            <v>134. SUPERINTENDENCIA NACIONAL DE SALUD</v>
          </cell>
          <cell r="K43">
            <v>0</v>
          </cell>
          <cell r="L43" t="str">
            <v>160. SERVICIO NACIONAL DE SANIDAD AGRARIA - SENASA</v>
          </cell>
          <cell r="M43" t="str">
            <v>221. INSTITUTO GEOLOGICO MINERO Y METALURGICO</v>
          </cell>
          <cell r="S43" t="str">
            <v>026. M. DE DEFENSA</v>
          </cell>
          <cell r="Y43" t="str">
            <v>180. CENTRO DE FORMACION EN TURISMO</v>
          </cell>
          <cell r="Z43" t="str">
            <v>203. AUTORIDAD DE TRANSPORTE URBANO PARA LIMA Y CALLAO - ATU</v>
          </cell>
          <cell r="AA43" t="str">
            <v>205. SERVICIO NACIONAL DE CAPACITACION PARA LA INDUSTRIA DE LA CONSTRUCCION</v>
          </cell>
          <cell r="AB43" t="str">
            <v>240. INSTITUTO DEL MAR DEL PERU - IMARPE</v>
          </cell>
          <cell r="AF43" t="str">
            <v>442. GOBIERNO REGIONAL DEL DEPARTAMENTO DE APURIMAC</v>
          </cell>
          <cell r="AG43" t="str">
            <v>03. BONGARA</v>
          </cell>
          <cell r="AH43" t="str">
            <v>03. ANTONIO RAIMONDI</v>
          </cell>
          <cell r="AI43" t="str">
            <v>03. ANTABAMBA</v>
          </cell>
          <cell r="AJ43" t="str">
            <v>03. CARAVELI</v>
          </cell>
          <cell r="AK43" t="str">
            <v>03. HUANCA SANCOS</v>
          </cell>
          <cell r="AL43" t="str">
            <v>03. CELENDIN</v>
          </cell>
          <cell r="AN43" t="str">
            <v>03. ANTA</v>
          </cell>
          <cell r="AO43" t="str">
            <v>03. ANGARAES</v>
          </cell>
          <cell r="AP43" t="str">
            <v>03. DOS DE MAYO</v>
          </cell>
          <cell r="AQ43" t="str">
            <v>03. NASCA</v>
          </cell>
          <cell r="AR43" t="str">
            <v>03. CHANCHAMAYO</v>
          </cell>
          <cell r="AS43" t="str">
            <v>03. BOLIVAR</v>
          </cell>
          <cell r="AT43" t="str">
            <v>03. LAMBAYEQUE</v>
          </cell>
          <cell r="AU43" t="str">
            <v>03. CAJATAMBO</v>
          </cell>
          <cell r="AV43" t="str">
            <v>03. LORETO</v>
          </cell>
          <cell r="AW43" t="str">
            <v>03. TAHUAMANU</v>
          </cell>
          <cell r="AX43" t="str">
            <v>03. ILO</v>
          </cell>
          <cell r="AY43" t="str">
            <v>03. OXAPAMPA</v>
          </cell>
          <cell r="AZ43" t="str">
            <v>03. HUANCABAMBA</v>
          </cell>
          <cell r="BA43" t="str">
            <v>03. CARABAYA</v>
          </cell>
          <cell r="BB43" t="str">
            <v>03. EL DORADO</v>
          </cell>
          <cell r="BC43" t="str">
            <v>03. JORGE BASADRE</v>
          </cell>
          <cell r="BD43" t="str">
            <v>03. ZARUMILLA</v>
          </cell>
          <cell r="BE43" t="str">
            <v>03. PADRE ABAD</v>
          </cell>
          <cell r="BF43" t="str">
            <v>003. MANCOMUNIDAD MUNICIPAL DEL VALLE DE LA LECHE</v>
          </cell>
        </row>
        <row r="44">
          <cell r="A44" t="str">
            <v>011. DESPACHO PRESIDENCIAL</v>
          </cell>
          <cell r="B44" t="str">
            <v>116. INSTITUTO NACIONAL DE RADIO Y TELEVISION DEL PERU - IRTP</v>
          </cell>
          <cell r="D44" t="str">
            <v>052. SERVICIO NACIONAL DE CERTIFICACION AMBIENTAL PARA LAS INVERSIONES SOSTENIBLES -SENACE</v>
          </cell>
          <cell r="F44" t="str">
            <v>073. SUPERINTENDENCIA NACIONAL DE MIGRACIONES</v>
          </cell>
          <cell r="H44" t="str">
            <v>058. SUPERINTENDENCIA DEL MERCADO DE VALORES</v>
          </cell>
          <cell r="I44" t="str">
            <v>118. SUPERINTENDENCIA NACIONAL DE EDUCACION SUPERIOR UNIVERSITARIA</v>
          </cell>
          <cell r="J44" t="str">
            <v>135. SEGURO INTEGRAL DE SALUD</v>
          </cell>
          <cell r="K44">
            <v>0</v>
          </cell>
          <cell r="L44" t="str">
            <v>163. INSTITUTO NACIONAL DE INNOVACION AGRARIA</v>
          </cell>
          <cell r="S44" t="str">
            <v>332. INSTITUTO GEOGRAFICO NACIONAL</v>
          </cell>
          <cell r="Z44" t="str">
            <v>214. AUTORIDAD PORTUARIA NACIONAL</v>
          </cell>
          <cell r="AA44" t="str">
            <v>207. ORGANISMO TECNICO DE LA ADMINISTRACION DE LOS SERVICIOS DE SANEAMIENTO</v>
          </cell>
          <cell r="AB44" t="str">
            <v>241. INSTITUTO TECNOLOGICO DE LA PRODUCCION - ITP</v>
          </cell>
          <cell r="AF44" t="str">
            <v>443. GOBIERNO REGIONAL DEL DEPARTAMENTO DE AREQUIPA</v>
          </cell>
          <cell r="AG44" t="str">
            <v>04. CONDORCANQUI</v>
          </cell>
          <cell r="AH44" t="str">
            <v>04. ASUNCION</v>
          </cell>
          <cell r="AI44" t="str">
            <v>04. AYMARAES</v>
          </cell>
          <cell r="AJ44" t="str">
            <v>04. CASTILLA</v>
          </cell>
          <cell r="AK44" t="str">
            <v>04. HUANTA</v>
          </cell>
          <cell r="AL44" t="str">
            <v>04. CHOTA</v>
          </cell>
          <cell r="AN44" t="str">
            <v>04. CALCA</v>
          </cell>
          <cell r="AO44" t="str">
            <v>04. CASTROVIRREYNA</v>
          </cell>
          <cell r="AP44" t="str">
            <v>04. HUACAYBAMBA</v>
          </cell>
          <cell r="AQ44" t="str">
            <v>04. PALPA</v>
          </cell>
          <cell r="AR44" t="str">
            <v>04. JAUJA</v>
          </cell>
          <cell r="AS44" t="str">
            <v>04. CHEPEN</v>
          </cell>
          <cell r="AU44" t="str">
            <v>04. CANTA</v>
          </cell>
          <cell r="AV44" t="str">
            <v>04. MARISCAL RAMON CASTILLA</v>
          </cell>
          <cell r="AZ44" t="str">
            <v>04. MORROPON</v>
          </cell>
          <cell r="BA44" t="str">
            <v>04. CHUCUITO</v>
          </cell>
          <cell r="BB44" t="str">
            <v>04. HUALLAGA</v>
          </cell>
          <cell r="BC44" t="str">
            <v>04. TARATA</v>
          </cell>
          <cell r="BE44" t="str">
            <v>04. PURUS</v>
          </cell>
          <cell r="BF44" t="str">
            <v>004. MANCOMUNIDAD MUNICIPAL DE SALHUANA</v>
          </cell>
        </row>
        <row r="45">
          <cell r="A45" t="str">
            <v>012. COMISION NACIONAL PARA EL DESARROLLO Y VIDA SIN DROGAS - DEVIDA</v>
          </cell>
          <cell r="D45" t="str">
            <v>055. INSTITUTO DE INVESTIGACIONES DE LA AMAZONIA PERUANA</v>
          </cell>
          <cell r="H45" t="str">
            <v>059. ORGANISMO SUPERVISOR DE LAS CONTRATACIONES DEL ESTADO</v>
          </cell>
          <cell r="I45" t="str">
            <v>342. INSTITUTO PERUANO DEL DEPORTE</v>
          </cell>
          <cell r="J45" t="str">
            <v>136. INSTITUTO NACIONAL DE ENFERMEDADES NEOPLASICAS - INEN</v>
          </cell>
          <cell r="K45">
            <v>0</v>
          </cell>
          <cell r="L45" t="str">
            <v>164. AUTORIDAD NACIONAL DEL AGUA - ANA</v>
          </cell>
          <cell r="S45" t="str">
            <v>335. AGENCIA DE COMPRAS DE LAS FUERZAS ARMADAS</v>
          </cell>
          <cell r="AA45" t="str">
            <v>211. ORGANISMO DE FORMALIZACION DE LA PROPIEDAD INFORMAL</v>
          </cell>
          <cell r="AB45" t="str">
            <v>243. ORGANISMO NACIONAL DE SANIDAD PESQUERA - SANIPES</v>
          </cell>
          <cell r="AF45" t="str">
            <v>444. GOBIERNO REGIONAL DEL DEPARTAMENTO DE AYACUCHO</v>
          </cell>
          <cell r="AG45" t="str">
            <v>05. LUYA</v>
          </cell>
          <cell r="AH45" t="str">
            <v>05. BOLOGNESI</v>
          </cell>
          <cell r="AI45" t="str">
            <v>05. COTABAMBAS</v>
          </cell>
          <cell r="AJ45" t="str">
            <v>05. CAYLLOMA</v>
          </cell>
          <cell r="AK45" t="str">
            <v>05. LA MAR</v>
          </cell>
          <cell r="AL45" t="str">
            <v>05. CONTUMAZA</v>
          </cell>
          <cell r="AN45" t="str">
            <v>05. CANAS</v>
          </cell>
          <cell r="AO45" t="str">
            <v>05. CHURCAMPA</v>
          </cell>
          <cell r="AP45" t="str">
            <v>05. HUAMALIES</v>
          </cell>
          <cell r="AQ45" t="str">
            <v>05. PISCO</v>
          </cell>
          <cell r="AR45" t="str">
            <v>05. JUNIN</v>
          </cell>
          <cell r="AS45" t="str">
            <v>05. JULCAN</v>
          </cell>
          <cell r="AU45" t="str">
            <v>05. CAÑETE</v>
          </cell>
          <cell r="AV45" t="str">
            <v>05. REQUENA</v>
          </cell>
          <cell r="AZ45" t="str">
            <v>05. PAITA</v>
          </cell>
          <cell r="BA45" t="str">
            <v>05. EL COLLAO</v>
          </cell>
          <cell r="BB45" t="str">
            <v>05. LAMAS</v>
          </cell>
          <cell r="BF45" t="str">
            <v>005. MANCOMUNIDAD MUNICIPAL VALLE SUR - CUSCO</v>
          </cell>
        </row>
        <row r="46">
          <cell r="A46" t="str">
            <v>016. CENTRO NACIONAL DE PLANEAMIENTO ESTRATEGICO - CEPLAN</v>
          </cell>
          <cell r="D46" t="str">
            <v>056. INSTITUTO NACIONAL DE INVESTIGACION EN GLACIARES Y ECOSISTEMAS DE MONTAÑA</v>
          </cell>
          <cell r="H46" t="str">
            <v>095. OFICINA DE NORMALIZACION PREVISIONAL-ONP</v>
          </cell>
          <cell r="I46" t="str">
            <v>510. U.N. MAYOR DE SAN MARCOS</v>
          </cell>
          <cell r="K46">
            <v>0</v>
          </cell>
          <cell r="L46" t="str">
            <v>165. SERVICIO NACIONAL FORESTAL Y DE FAUNA SILVESTRE - SERFOR</v>
          </cell>
          <cell r="AB46" t="str">
            <v>244. INSTITUTO NACIONAL DE CALIDAD - INACAL</v>
          </cell>
          <cell r="AF46" t="str">
            <v>445. GOBIERNO REGIONAL DEL DEPARTAMENTO DE CAJAMARCA</v>
          </cell>
          <cell r="AG46" t="str">
            <v>06. RODRIGUEZ DE MENDOZA</v>
          </cell>
          <cell r="AH46" t="str">
            <v>06. CARHUAZ</v>
          </cell>
          <cell r="AI46" t="str">
            <v>06. CHINCHEROS</v>
          </cell>
          <cell r="AJ46" t="str">
            <v>06. CONDESUYOS</v>
          </cell>
          <cell r="AK46" t="str">
            <v>06. LUCANAS</v>
          </cell>
          <cell r="AL46" t="str">
            <v>06. CUTERVO</v>
          </cell>
          <cell r="AN46" t="str">
            <v>06. CANCHIS</v>
          </cell>
          <cell r="AO46" t="str">
            <v>06. HUAYTARA</v>
          </cell>
          <cell r="AP46" t="str">
            <v>06. LEONCIO PRADO</v>
          </cell>
          <cell r="AR46" t="str">
            <v>06. SATIPO</v>
          </cell>
          <cell r="AS46" t="str">
            <v>06. OTUZCO</v>
          </cell>
          <cell r="AU46" t="str">
            <v>06. HUARAL</v>
          </cell>
          <cell r="AV46" t="str">
            <v>06. UCAYALI</v>
          </cell>
          <cell r="AZ46" t="str">
            <v>06. SULLANA</v>
          </cell>
          <cell r="BA46" t="str">
            <v>06. HUANCANE</v>
          </cell>
          <cell r="BB46" t="str">
            <v>06. MARISCAL CACERES</v>
          </cell>
          <cell r="BF46" t="str">
            <v>006. MANCOMUNIDAD MUNICIPAL DE HUAYTAPALLANA</v>
          </cell>
        </row>
        <row r="47">
          <cell r="A47" t="str">
            <v>019. ORGANISMO SUPERVISOR DE LA INVERSION PRIVADA EN TELECOMUNICACIONES</v>
          </cell>
          <cell r="D47" t="str">
            <v>112. INSTITUTO GEOFISICO DEL PERU</v>
          </cell>
          <cell r="H47" t="str">
            <v>096. CENTRAL DE COMPRAS PÚBLICAS - PERÚ COMPRAS</v>
          </cell>
          <cell r="I47" t="str">
            <v>511. U.N. DE SAN ANTONIO ABAD DEL CUSCO</v>
          </cell>
          <cell r="K47">
            <v>0</v>
          </cell>
          <cell r="AF47" t="str">
            <v>446. GOBIERNO REGIONAL DEL DEPARTAMENTO DE CUSCO</v>
          </cell>
          <cell r="AG47" t="str">
            <v>07. UTCUBAMBA</v>
          </cell>
          <cell r="AH47" t="str">
            <v>07. CARLOS FERMIN FITZCARRALD</v>
          </cell>
          <cell r="AI47" t="str">
            <v>07. GRAU</v>
          </cell>
          <cell r="AJ47" t="str">
            <v>07. ISLAY</v>
          </cell>
          <cell r="AK47" t="str">
            <v>07. PARINACOCHAS</v>
          </cell>
          <cell r="AL47" t="str">
            <v>07. HUALGAYOC</v>
          </cell>
          <cell r="AN47" t="str">
            <v>07. CHUMBIVILCAS</v>
          </cell>
          <cell r="AO47" t="str">
            <v>07. TAYACAJA</v>
          </cell>
          <cell r="AP47" t="str">
            <v>07. MARAÑON</v>
          </cell>
          <cell r="AR47" t="str">
            <v>07. TARMA</v>
          </cell>
          <cell r="AS47" t="str">
            <v>07. PACASMAYO</v>
          </cell>
          <cell r="AU47" t="str">
            <v>07. HUAROCHIRI</v>
          </cell>
          <cell r="AV47" t="str">
            <v>07. DATEM DEL MARAÑON</v>
          </cell>
          <cell r="AZ47" t="str">
            <v>07. TALARA</v>
          </cell>
          <cell r="BA47" t="str">
            <v>07. LAMPA</v>
          </cell>
          <cell r="BB47" t="str">
            <v>07. PICOTA</v>
          </cell>
          <cell r="BF47" t="str">
            <v>007. MANCOMUNIDAD MUNICIPAL DE QAPAQ ÑAN</v>
          </cell>
        </row>
        <row r="48">
          <cell r="A48" t="str">
            <v>020. ORGANISMO SUPERVISOR DE LA INVERSION EN ENERGIA Y MINERIA</v>
          </cell>
          <cell r="D48" t="str">
            <v>331. SERVICIO NACIONAL DE METEOROLOGIA E HIDROLOGIA</v>
          </cell>
          <cell r="I48" t="str">
            <v>512. U.N. DE TRUJILLO</v>
          </cell>
          <cell r="AF48" t="str">
            <v>447. GOBIERNO REGIONAL DEL DEPARTAMENTO DE HUANCAVELICA</v>
          </cell>
          <cell r="AH48" t="str">
            <v>08. CASMA</v>
          </cell>
          <cell r="AJ48" t="str">
            <v>08. LA UNION</v>
          </cell>
          <cell r="AK48" t="str">
            <v>08. PAUCAR DEL SARA SARA</v>
          </cell>
          <cell r="AL48" t="str">
            <v>08. JAEN</v>
          </cell>
          <cell r="AN48" t="str">
            <v>08. ESPINAR</v>
          </cell>
          <cell r="AP48" t="str">
            <v>08. PACHITEA</v>
          </cell>
          <cell r="AR48" t="str">
            <v>08. YAULI</v>
          </cell>
          <cell r="AS48" t="str">
            <v>08. PATAZ</v>
          </cell>
          <cell r="AU48" t="str">
            <v>08. HUAURA</v>
          </cell>
          <cell r="AV48" t="str">
            <v>08. PUTUMAYO</v>
          </cell>
          <cell r="AZ48" t="str">
            <v>08. SECHURA</v>
          </cell>
          <cell r="BA48" t="str">
            <v>08. MELGAR</v>
          </cell>
          <cell r="BB48" t="str">
            <v>08. RIOJA</v>
          </cell>
          <cell r="BF48" t="str">
            <v>008. MANCOMUNIDAD MUNICIPAL DE PARAMOS Y CUENCAS DEL JAEN</v>
          </cell>
        </row>
        <row r="49">
          <cell r="A49" t="str">
            <v>021. SUPERINTENDENCIA NACIONAL DE SERVICIOS DE SANEAMIENTO</v>
          </cell>
          <cell r="I49" t="str">
            <v>513. U.N. DE SAN AGUSTIN</v>
          </cell>
          <cell r="K49">
            <v>0</v>
          </cell>
          <cell r="AF49" t="str">
            <v>448. GOBIERNO REGIONAL DEL DEPARTAMENTO DE HUANUCO</v>
          </cell>
          <cell r="AH49" t="str">
            <v>09. CORONGO</v>
          </cell>
          <cell r="AK49" t="str">
            <v>09. SUCRE</v>
          </cell>
          <cell r="AL49" t="str">
            <v>09. SAN IGNACIO</v>
          </cell>
          <cell r="AN49" t="str">
            <v>09. LA CONVENCION</v>
          </cell>
          <cell r="AP49" t="str">
            <v>09. PUERTO INCA</v>
          </cell>
          <cell r="AR49" t="str">
            <v>09. CHUPACA</v>
          </cell>
          <cell r="AS49" t="str">
            <v>09. SANCHEZ CARRION</v>
          </cell>
          <cell r="AU49" t="str">
            <v>09. OYON</v>
          </cell>
          <cell r="BA49" t="str">
            <v>09. MOHO</v>
          </cell>
          <cell r="BB49" t="str">
            <v>09. SAN MARTIN</v>
          </cell>
          <cell r="BF49" t="str">
            <v>009. MANCOMUNIDAD MUNICIPAL INTEGRACION FRONTERIZA COLLPA</v>
          </cell>
        </row>
        <row r="50">
          <cell r="A50" t="str">
            <v>022. ORGANISMO SUPERVISOR DE LA INVERSION EN INFRAESTRUCTURA DE TRANSPORTE DE USO PUBLICO</v>
          </cell>
          <cell r="I50" t="str">
            <v>514. U.N. DE INGENIERIA</v>
          </cell>
          <cell r="J50">
            <v>0</v>
          </cell>
          <cell r="K50">
            <v>0</v>
          </cell>
          <cell r="S50">
            <v>0</v>
          </cell>
          <cell r="AF50" t="str">
            <v>449. GOBIERNO REGIONAL DEL DEPARTAMENTO DE ICA</v>
          </cell>
          <cell r="AH50" t="str">
            <v>10. HUARI</v>
          </cell>
          <cell r="AK50" t="str">
            <v>10. VICTOR FAJARDO</v>
          </cell>
          <cell r="AL50" t="str">
            <v>10. SAN MARCOS</v>
          </cell>
          <cell r="AN50" t="str">
            <v>10. PARURO</v>
          </cell>
          <cell r="AP50" t="str">
            <v>10. LAURICOCHA</v>
          </cell>
          <cell r="AS50" t="str">
            <v>10. SANTIAGO DE CHUCO</v>
          </cell>
          <cell r="AU50" t="str">
            <v>10. YAUYOS</v>
          </cell>
          <cell r="BA50" t="str">
            <v>10. SAN ANTONIO DE PUTINA</v>
          </cell>
          <cell r="BB50" t="str">
            <v>10. TOCACHE</v>
          </cell>
          <cell r="BF50" t="str">
            <v>010. MANCOMUNIDAD MUNICIPAL FRENTE NORTE DEL ILUCAN</v>
          </cell>
        </row>
        <row r="51">
          <cell r="A51" t="str">
            <v>023. AUTORIDAD NACIONAL DEL SERVICIO CIVIL</v>
          </cell>
          <cell r="I51" t="str">
            <v>515. U.N. SAN LUIS GONZAGA DE ICA</v>
          </cell>
          <cell r="J51">
            <v>0</v>
          </cell>
          <cell r="K51">
            <v>0</v>
          </cell>
          <cell r="L51">
            <v>0</v>
          </cell>
          <cell r="S51">
            <v>0</v>
          </cell>
          <cell r="Z51">
            <v>0</v>
          </cell>
          <cell r="AB51">
            <v>0</v>
          </cell>
          <cell r="AF51" t="str">
            <v>450. GOBIERNO REGIONAL DEL DEPARTAMENTO DE JUNIN</v>
          </cell>
          <cell r="AH51" t="str">
            <v>11. HUARMEY</v>
          </cell>
          <cell r="AK51" t="str">
            <v>11. VILCAS HUAMAN</v>
          </cell>
          <cell r="AL51" t="str">
            <v>11. SAN MIGUEL</v>
          </cell>
          <cell r="AN51" t="str">
            <v>11. PAUCARTAMBO</v>
          </cell>
          <cell r="AP51" t="str">
            <v>11. YAROWILCA</v>
          </cell>
          <cell r="AS51" t="str">
            <v>11. GRAN CHIMU</v>
          </cell>
          <cell r="BA51" t="str">
            <v>11. SAN ROMAN</v>
          </cell>
          <cell r="BF51" t="str">
            <v>011. MANCOMUNIDAD MUNICIPAL DEL NORTE DE CELENDIN</v>
          </cell>
        </row>
        <row r="52">
          <cell r="A52" t="str">
            <v>024. ORGANISMO DE SUPERVISION DE LOS RECURSOS FORESTALES Y DE FAUNA SILVESTRE</v>
          </cell>
          <cell r="I52" t="str">
            <v>516. U.N. SAN CRISTOBAL DE HUAMANGA</v>
          </cell>
          <cell r="J52">
            <v>0</v>
          </cell>
          <cell r="K52">
            <v>0</v>
          </cell>
          <cell r="L52">
            <v>0</v>
          </cell>
          <cell r="S52">
            <v>0</v>
          </cell>
          <cell r="Z52">
            <v>0</v>
          </cell>
          <cell r="AB52">
            <v>0</v>
          </cell>
          <cell r="AF52" t="str">
            <v>451. GOBIERNO REGIONAL DEL DEPARTAMENTO DE LA LIBERTAD</v>
          </cell>
          <cell r="AH52" t="str">
            <v>12. HUAYLAS</v>
          </cell>
          <cell r="AL52" t="str">
            <v>12. SAN PABLO</v>
          </cell>
          <cell r="AN52" t="str">
            <v>12. QUISPICANCHIS</v>
          </cell>
          <cell r="AS52" t="str">
            <v>12. VIRU</v>
          </cell>
          <cell r="BA52" t="str">
            <v>12. SANDIA</v>
          </cell>
          <cell r="BF52" t="str">
            <v>012. MANCOMUNIDAD MUNICIPAL LOS ANDES SUR AYACUCHO AREQUIPA</v>
          </cell>
        </row>
        <row r="53">
          <cell r="A53" t="str">
            <v>114. CONSEJO NACIONAL DE CIENCIA, TECNOLOGIA E INNOVACION TECNOLOGICA</v>
          </cell>
          <cell r="H53">
            <v>0</v>
          </cell>
          <cell r="I53" t="str">
            <v>517. U.N. DEL CENTRO DEL PERU</v>
          </cell>
          <cell r="J53">
            <v>0</v>
          </cell>
          <cell r="K53">
            <v>0</v>
          </cell>
          <cell r="L53">
            <v>0</v>
          </cell>
          <cell r="S53">
            <v>0</v>
          </cell>
          <cell r="Z53">
            <v>0</v>
          </cell>
          <cell r="AB53">
            <v>0</v>
          </cell>
          <cell r="AF53" t="str">
            <v>452. GOBIERNO REGIONAL DEL DEPARTAMENTO DE LAMBAYEQUE</v>
          </cell>
          <cell r="AH53" t="str">
            <v>13. MARISCAL LUZURIAGA</v>
          </cell>
          <cell r="AL53" t="str">
            <v>13. SANTA CRUZ</v>
          </cell>
          <cell r="AN53" t="str">
            <v>13. URUBAMBA</v>
          </cell>
          <cell r="BA53" t="str">
            <v>13. YUNGUYO</v>
          </cell>
          <cell r="BF53" t="str">
            <v>013. MANCOMUNIDAD MUNICIPAL DEL VALLE DE LOS VOLCANES</v>
          </cell>
        </row>
        <row r="54">
          <cell r="A54" t="str">
            <v>183. INSTITUTO NACIONAL DE DEFENSA DE LA COMPETENCIA Y DE LA PROTECCION DE LA PROPIEDAD INTELECTUAL</v>
          </cell>
          <cell r="D54">
            <v>0</v>
          </cell>
          <cell r="E54">
            <v>0</v>
          </cell>
          <cell r="H54">
            <v>0</v>
          </cell>
          <cell r="I54" t="str">
            <v>518. U.N. AGRARIA LA MOLINA</v>
          </cell>
          <cell r="J54">
            <v>0</v>
          </cell>
          <cell r="K54">
            <v>0</v>
          </cell>
          <cell r="L54">
            <v>0</v>
          </cell>
          <cell r="S54">
            <v>0</v>
          </cell>
          <cell r="Z54">
            <v>0</v>
          </cell>
          <cell r="AB54">
            <v>0</v>
          </cell>
          <cell r="AF54" t="str">
            <v>453. GOBIERNO REGIONAL DEL DEPARTAMENTO DE LORETO</v>
          </cell>
          <cell r="AH54" t="str">
            <v>14. OCROS</v>
          </cell>
          <cell r="BF54" t="str">
            <v>014. MANCOMUNIDAD MUNICIPAL DE LA CUENCA DEL RIO SAN JUAN</v>
          </cell>
        </row>
        <row r="55">
          <cell r="A55">
            <v>0</v>
          </cell>
          <cell r="D55">
            <v>0</v>
          </cell>
          <cell r="E55">
            <v>0</v>
          </cell>
          <cell r="H55">
            <v>0</v>
          </cell>
          <cell r="I55" t="str">
            <v>519. U.N. DE LA AMAZONIA PERUANA</v>
          </cell>
          <cell r="K55">
            <v>0</v>
          </cell>
          <cell r="L55">
            <v>0</v>
          </cell>
          <cell r="AB55">
            <v>0</v>
          </cell>
          <cell r="AF55" t="str">
            <v>454. GOBIERNO REGIONAL DEL DEPARTAMENTO DE MADRE DE DIOS</v>
          </cell>
          <cell r="AG55">
            <v>0</v>
          </cell>
          <cell r="AH55" t="str">
            <v>15. PALLASCA</v>
          </cell>
          <cell r="BF55" t="str">
            <v>015. MANCOMUNIDAD MUNICIPAL TALLAN</v>
          </cell>
        </row>
        <row r="56">
          <cell r="D56">
            <v>0</v>
          </cell>
          <cell r="E56">
            <v>0</v>
          </cell>
          <cell r="H56">
            <v>0</v>
          </cell>
          <cell r="I56" t="str">
            <v>520. U.N. DEL ALTIPLANO</v>
          </cell>
          <cell r="K56">
            <v>0</v>
          </cell>
          <cell r="L56">
            <v>0</v>
          </cell>
          <cell r="AB56">
            <v>0</v>
          </cell>
          <cell r="AF56" t="str">
            <v>455. GOBIERNO REGIONAL DEL DEPARTAMENTO DE MOQUEGUA</v>
          </cell>
          <cell r="AG56">
            <v>0</v>
          </cell>
          <cell r="AH56" t="str">
            <v>16. POMABAMBA</v>
          </cell>
          <cell r="BF56" t="str">
            <v>016. MANCOMUNIDAD MUNICIPAL LIMA ESTE</v>
          </cell>
        </row>
        <row r="57">
          <cell r="D57">
            <v>0</v>
          </cell>
          <cell r="H57">
            <v>0</v>
          </cell>
          <cell r="I57" t="str">
            <v>521. U.N. DE PIURA</v>
          </cell>
          <cell r="K57">
            <v>0</v>
          </cell>
          <cell r="AF57" t="str">
            <v>456. GOBIERNO REGIONAL DEL DEPARTAMENTO DE PASCO</v>
          </cell>
          <cell r="AG57">
            <v>0</v>
          </cell>
          <cell r="AH57" t="str">
            <v>17. RECUAY</v>
          </cell>
          <cell r="BF57" t="str">
            <v>017. MANCOMUNIDAD MUNICIPAL NUEVA REQUENA - PADRE MARQUEZ-NR-PM</v>
          </cell>
        </row>
        <row r="58">
          <cell r="D58">
            <v>0</v>
          </cell>
          <cell r="H58">
            <v>0</v>
          </cell>
          <cell r="I58" t="str">
            <v>522. U.N. DE CAJAMARCA</v>
          </cell>
          <cell r="K58">
            <v>0</v>
          </cell>
          <cell r="AF58" t="str">
            <v>457. GOBIERNO REGIONAL DEL DEPARTAMENTO DE PIURA</v>
          </cell>
          <cell r="AG58">
            <v>0</v>
          </cell>
          <cell r="AH58" t="str">
            <v>18. SANTA</v>
          </cell>
          <cell r="BF58" t="str">
            <v>018. MANCOMUNIDAD MUNICIPAL LOS WARI - MANWARI</v>
          </cell>
        </row>
        <row r="59">
          <cell r="D59">
            <v>0</v>
          </cell>
          <cell r="H59">
            <v>0</v>
          </cell>
          <cell r="I59" t="str">
            <v>523. U.N. PEDRO RUIZ GALLO</v>
          </cell>
          <cell r="K59">
            <v>0</v>
          </cell>
          <cell r="AF59" t="str">
            <v>458. GOBIERNO REGIONAL DEL DEPARTAMENTO DE PUNO</v>
          </cell>
          <cell r="AG59">
            <v>0</v>
          </cell>
          <cell r="AH59" t="str">
            <v>19. SIHUAS</v>
          </cell>
          <cell r="BF59" t="str">
            <v>019. MANCOMUNIDAD MUNICIPAL CUENCA MANTARO - MANTARO</v>
          </cell>
        </row>
        <row r="60">
          <cell r="A60">
            <v>0</v>
          </cell>
          <cell r="D60">
            <v>0</v>
          </cell>
          <cell r="I60" t="str">
            <v>524. U.N. FEDERICO VILLARREAL</v>
          </cell>
          <cell r="K60">
            <v>0</v>
          </cell>
          <cell r="AF60" t="str">
            <v>459. GOBIERNO REGIONAL DEL DEPARTAMENTO DE SAN MARTIN</v>
          </cell>
          <cell r="AG60">
            <v>0</v>
          </cell>
          <cell r="AH60" t="str">
            <v>20. YUNGAY</v>
          </cell>
          <cell r="BF60" t="str">
            <v>020. MANCOMUNIDAD MUNICIPAL CUENCA DEL MANTARO VIZCATAN - VRAE</v>
          </cell>
        </row>
        <row r="61">
          <cell r="A61">
            <v>0</v>
          </cell>
          <cell r="D61">
            <v>0</v>
          </cell>
          <cell r="I61" t="str">
            <v>525. U.N. HERMILIO VALDIZAN</v>
          </cell>
          <cell r="K61">
            <v>0</v>
          </cell>
          <cell r="AF61" t="str">
            <v>460. GOBIERNO REGIONAL DEL DEPARTAMENTO DE TACNA</v>
          </cell>
          <cell r="AG61">
            <v>0</v>
          </cell>
          <cell r="BF61" t="str">
            <v>021. MANCOMUNIDAD MUNICIPAL DE LA QUEBRADA DEL MANTARO</v>
          </cell>
        </row>
        <row r="62">
          <cell r="A62">
            <v>0</v>
          </cell>
          <cell r="I62" t="str">
            <v>526. U.N. AGRARIA DE LA SELVA</v>
          </cell>
          <cell r="K62">
            <v>0</v>
          </cell>
          <cell r="AF62" t="str">
            <v>461. GOBIERNO REGIONAL DEL DEPARTAMENTO DE TUMBES</v>
          </cell>
          <cell r="BF62" t="str">
            <v>022. MANCOMUNIDAD MUNICIPAL UNION DE MUNICIPALIDADES ANDINAS DEL SUR - UMASUR</v>
          </cell>
        </row>
        <row r="63">
          <cell r="A63">
            <v>0</v>
          </cell>
          <cell r="I63" t="str">
            <v>527. U.N. DANIEL ALCIDES CARRION</v>
          </cell>
          <cell r="K63">
            <v>0</v>
          </cell>
          <cell r="AF63" t="str">
            <v>462. GOBIERNO REGIONAL DEL DEPARTAMENTO DE UCAYALI</v>
          </cell>
          <cell r="BF63" t="str">
            <v>023. MANCOMUNIDAD MUNICIPAL RIO CACHI - MANRIOCACHI</v>
          </cell>
        </row>
        <row r="64">
          <cell r="A64">
            <v>0</v>
          </cell>
          <cell r="I64" t="str">
            <v>528. U.N. DE EDUCACION ENRIQUE GUZMAN Y VALLE</v>
          </cell>
          <cell r="K64">
            <v>0</v>
          </cell>
          <cell r="AF64" t="str">
            <v>463. GOBIERNO REGIONAL DEL DEPARTAMENTO DE LIMA</v>
          </cell>
          <cell r="BF64" t="str">
            <v>024. MANCOMUNIDAD MUNICIPAL DE LA SUBCUENCA DEL RIO CHIPILLICO</v>
          </cell>
        </row>
        <row r="65">
          <cell r="A65">
            <v>0</v>
          </cell>
          <cell r="I65" t="str">
            <v>529. U.N. DEL CALLAO</v>
          </cell>
          <cell r="K65">
            <v>0</v>
          </cell>
          <cell r="AF65" t="str">
            <v>464. GOBIERNO REGIONAL DE LA PROVINCIA CONSTITUCIONAL DEL CALLAO</v>
          </cell>
          <cell r="BF65" t="str">
            <v>025. MANCOMUNIDAD MUNICIPAL TUPAC AMARU II</v>
          </cell>
        </row>
        <row r="66">
          <cell r="A66">
            <v>0</v>
          </cell>
          <cell r="I66" t="str">
            <v>530. U.N. JOSE FAUSTINO SANCHEZ CARRION</v>
          </cell>
          <cell r="K66">
            <v>0</v>
          </cell>
          <cell r="AF66" t="str">
            <v>465. MUNICIPALIDAD METROPOLITANA DE LIMA</v>
          </cell>
          <cell r="BF66" t="str">
            <v>026. MANCOMUNIDAD MUNICIPAL DE LA CUENCA VALLE DE LURIN</v>
          </cell>
        </row>
        <row r="67">
          <cell r="A67">
            <v>0</v>
          </cell>
          <cell r="I67" t="str">
            <v>531. U.N. JORGE BASADRE GROHMANN</v>
          </cell>
          <cell r="K67">
            <v>0</v>
          </cell>
          <cell r="AF67">
            <v>0</v>
          </cell>
          <cell r="BF67" t="str">
            <v>027. MANCOMUNIDAD MUNICIPAL DEL CORREDOR MANTARO</v>
          </cell>
        </row>
        <row r="68">
          <cell r="A68">
            <v>0</v>
          </cell>
          <cell r="I68" t="str">
            <v>532. U.N. SANTIAGO ANTUNEZ DE MAYOLO</v>
          </cell>
          <cell r="K68">
            <v>0</v>
          </cell>
          <cell r="AF68">
            <v>0</v>
          </cell>
          <cell r="BF68" t="str">
            <v>028. MANCOMUNIDAD MUNICIPAL DE HATUN HUAYLAS</v>
          </cell>
        </row>
        <row r="69">
          <cell r="A69">
            <v>0</v>
          </cell>
          <cell r="I69" t="str">
            <v>533. U.N. DE SAN MARTIN</v>
          </cell>
          <cell r="K69">
            <v>0</v>
          </cell>
          <cell r="BF69" t="str">
            <v>029. MANCOMUNIDAD MUNICIPAL CUENCA CACHI</v>
          </cell>
        </row>
        <row r="70">
          <cell r="A70">
            <v>0</v>
          </cell>
          <cell r="I70" t="str">
            <v>534. U.N. DE UCAYALI</v>
          </cell>
          <cell r="K70">
            <v>0</v>
          </cell>
          <cell r="AF70">
            <v>0</v>
          </cell>
          <cell r="BF70" t="str">
            <v>030. MANCOMUNIDAD MUNICIPAL ANGARAES SUR</v>
          </cell>
        </row>
        <row r="71">
          <cell r="A71">
            <v>0</v>
          </cell>
          <cell r="I71" t="str">
            <v>535. U.N. DE TUMBES</v>
          </cell>
          <cell r="K71">
            <v>0</v>
          </cell>
          <cell r="AF71">
            <v>0</v>
          </cell>
          <cell r="BF71" t="str">
            <v>031. MANCOMUNIDAD MUNICIPAL LIMA CENTRO</v>
          </cell>
        </row>
        <row r="72">
          <cell r="A72">
            <v>0</v>
          </cell>
          <cell r="I72" t="str">
            <v>536. U.N. DEL SANTA</v>
          </cell>
          <cell r="K72">
            <v>0</v>
          </cell>
          <cell r="AF72">
            <v>0</v>
          </cell>
          <cell r="BF72" t="str">
            <v>032. MANCOMUNIDAD MUNICIPAL DE LA CUENCA DEL RIO SANTO TOMAS</v>
          </cell>
        </row>
        <row r="73">
          <cell r="A73">
            <v>0</v>
          </cell>
          <cell r="I73" t="str">
            <v>537. U.N. DE HUANCAVELICA</v>
          </cell>
          <cell r="J73">
            <v>0</v>
          </cell>
          <cell r="K73">
            <v>0</v>
          </cell>
          <cell r="S73">
            <v>0</v>
          </cell>
          <cell r="AF73">
            <v>0</v>
          </cell>
          <cell r="BF73" t="str">
            <v>033. MANCOMUNIDAD MUNICIPAL CHILLAOS - REGION AMAZONAS</v>
          </cell>
        </row>
        <row r="74">
          <cell r="I74" t="str">
            <v>538. U.N. AMAZONICA DE MADRE DE DIOS</v>
          </cell>
          <cell r="J74">
            <v>0</v>
          </cell>
          <cell r="K74">
            <v>0</v>
          </cell>
          <cell r="L74">
            <v>0</v>
          </cell>
          <cell r="S74">
            <v>0</v>
          </cell>
          <cell r="Z74">
            <v>0</v>
          </cell>
          <cell r="AB74">
            <v>0</v>
          </cell>
          <cell r="AF74">
            <v>0</v>
          </cell>
          <cell r="BF74" t="str">
            <v>034. MANCOMUNIDAD MUNICIPAL QHAPAQ QOLLA</v>
          </cell>
        </row>
        <row r="75">
          <cell r="I75" t="str">
            <v>539. U.N. MICAELA BASTIDAS DE APURIMAC</v>
          </cell>
          <cell r="J75">
            <v>0</v>
          </cell>
          <cell r="K75">
            <v>0</v>
          </cell>
          <cell r="L75">
            <v>0</v>
          </cell>
          <cell r="S75">
            <v>0</v>
          </cell>
          <cell r="Z75">
            <v>0</v>
          </cell>
          <cell r="AB75">
            <v>0</v>
          </cell>
          <cell r="AF75">
            <v>0</v>
          </cell>
          <cell r="BF75" t="str">
            <v>035. MANCOMUNIDAD MUNICIPAL LIMA NORTE</v>
          </cell>
        </row>
        <row r="76">
          <cell r="I76" t="str">
            <v>541. U.N. TORIBIO RODRIGUEZ DE MENDOZA DE AMAZONAS</v>
          </cell>
          <cell r="K76">
            <v>0</v>
          </cell>
          <cell r="AF76">
            <v>0</v>
          </cell>
          <cell r="BF76" t="str">
            <v>036. MANCOMUNIDAD MUNICIPAL DEL VALLE SANTA EULALIA</v>
          </cell>
        </row>
        <row r="77">
          <cell r="I77" t="str">
            <v>542. U.N. INTERCULTURAL DE LA AMAZONIA</v>
          </cell>
          <cell r="K77">
            <v>0</v>
          </cell>
          <cell r="AF77">
            <v>0</v>
          </cell>
          <cell r="BF77" t="str">
            <v>037. MANCOMUNIDAD MUNICIPAL DEL VALLE FORTALEZA Y DEL SANTA</v>
          </cell>
        </row>
        <row r="78">
          <cell r="I78" t="str">
            <v>543. U.N. TECNOLOGICA DE LIMA SUR</v>
          </cell>
          <cell r="K78">
            <v>0</v>
          </cell>
          <cell r="AF78">
            <v>0</v>
          </cell>
          <cell r="BF78" t="str">
            <v>038. MANCOMUNIDAD MUNICIPAL MARGEN DERECHA DE CAYLLOMA</v>
          </cell>
        </row>
        <row r="79">
          <cell r="I79" t="str">
            <v>544. U.N. JOSE MARIA ARGUEDAS</v>
          </cell>
          <cell r="K79">
            <v>0</v>
          </cell>
          <cell r="AF79">
            <v>0</v>
          </cell>
          <cell r="BF79" t="str">
            <v>039. MANCOMUNIDAD MUNICIPAL DE LAS CABEZADAS DEL SUR DE LUCANAS - AYACUCHO</v>
          </cell>
        </row>
        <row r="80">
          <cell r="I80" t="str">
            <v>545. U.N. DE MOQUEGUA</v>
          </cell>
          <cell r="K80">
            <v>0</v>
          </cell>
          <cell r="AF80">
            <v>0</v>
          </cell>
          <cell r="BF80" t="str">
            <v>040. MANCOMUNIDAD MUNICIPAL SEÑOR CAUTIVO DE AYABACA</v>
          </cell>
        </row>
        <row r="81">
          <cell r="H81">
            <v>0</v>
          </cell>
          <cell r="I81" t="str">
            <v>546. U.N. DE JAEN</v>
          </cell>
          <cell r="J81">
            <v>0</v>
          </cell>
          <cell r="K81">
            <v>0</v>
          </cell>
          <cell r="L81">
            <v>0</v>
          </cell>
          <cell r="S81">
            <v>0</v>
          </cell>
          <cell r="Z81">
            <v>0</v>
          </cell>
          <cell r="AB81">
            <v>0</v>
          </cell>
          <cell r="AF81">
            <v>0</v>
          </cell>
          <cell r="BF81" t="str">
            <v>041. MANCOMUNIDAD MUNICIPAL DEL YACUS</v>
          </cell>
        </row>
        <row r="82">
          <cell r="I82" t="str">
            <v>547. U.N. DE CAÑETE</v>
          </cell>
          <cell r="K82">
            <v>0</v>
          </cell>
          <cell r="AF82">
            <v>0</v>
          </cell>
          <cell r="BF82" t="str">
            <v>042. MANCOMUNIDAD MUNICIPAL WARAQ</v>
          </cell>
        </row>
        <row r="83">
          <cell r="I83" t="str">
            <v>548. U.N. DE FRONTERA</v>
          </cell>
          <cell r="K83">
            <v>0</v>
          </cell>
          <cell r="AF83">
            <v>0</v>
          </cell>
          <cell r="BF83" t="str">
            <v>043. MANCOMUNIDAD MUNICIPAL CUENCA DEL RIO CUMBAZA</v>
          </cell>
        </row>
        <row r="84">
          <cell r="D84">
            <v>0</v>
          </cell>
          <cell r="E84">
            <v>0</v>
          </cell>
          <cell r="H84">
            <v>0</v>
          </cell>
          <cell r="I84" t="str">
            <v>549. U.N. DE BARRANCA</v>
          </cell>
          <cell r="J84">
            <v>0</v>
          </cell>
          <cell r="K84">
            <v>0</v>
          </cell>
          <cell r="L84">
            <v>0</v>
          </cell>
          <cell r="S84">
            <v>0</v>
          </cell>
          <cell r="Z84">
            <v>0</v>
          </cell>
          <cell r="AB84">
            <v>0</v>
          </cell>
          <cell r="AF84">
            <v>0</v>
          </cell>
          <cell r="BF84" t="str">
            <v>044. MANCOMUNIDAD MUNICIPAL DEL VALLE DE YANAMARCA</v>
          </cell>
        </row>
        <row r="85">
          <cell r="I85" t="str">
            <v>550. U.N. AUTÓNOMA DE CHOTA</v>
          </cell>
          <cell r="K85">
            <v>0</v>
          </cell>
          <cell r="AF85">
            <v>0</v>
          </cell>
          <cell r="BF85" t="str">
            <v>045. MANCOMUNIDAD MUNICIPAL TRES CUENCAS SANTA - FORTALEZA - PATIVILCA</v>
          </cell>
        </row>
        <row r="86">
          <cell r="D86">
            <v>0</v>
          </cell>
          <cell r="E86">
            <v>0</v>
          </cell>
          <cell r="H86">
            <v>0</v>
          </cell>
          <cell r="I86" t="str">
            <v>551. U.N. INTERCULTURAL DE LA SELVA CENTRAL JUAN SANTOS ATAHUALPA</v>
          </cell>
          <cell r="K86">
            <v>0</v>
          </cell>
          <cell r="L86">
            <v>0</v>
          </cell>
          <cell r="AB86">
            <v>0</v>
          </cell>
          <cell r="AF86">
            <v>0</v>
          </cell>
          <cell r="AG86">
            <v>0</v>
          </cell>
          <cell r="BF86" t="str">
            <v>046. MANCOMUNIDAD MUNICIPAL CIRCUITO MOCHICA</v>
          </cell>
        </row>
        <row r="87">
          <cell r="I87" t="str">
            <v>552. U.N. DE JULIACA</v>
          </cell>
          <cell r="K87">
            <v>0</v>
          </cell>
          <cell r="AF87">
            <v>0</v>
          </cell>
          <cell r="BF87" t="str">
            <v>047. MANCOMUNIDAD MUNICIPAL DE LOS DISTRITOS DE OXAPAMPA</v>
          </cell>
        </row>
        <row r="88">
          <cell r="D88">
            <v>0</v>
          </cell>
          <cell r="E88">
            <v>0</v>
          </cell>
          <cell r="H88">
            <v>0</v>
          </cell>
          <cell r="I88" t="str">
            <v>553. U.N. AUTÓNOMA ALTOANDINA DE TARMA</v>
          </cell>
          <cell r="K88">
            <v>0</v>
          </cell>
          <cell r="L88">
            <v>0</v>
          </cell>
          <cell r="AB88">
            <v>0</v>
          </cell>
          <cell r="AF88">
            <v>0</v>
          </cell>
          <cell r="AG88">
            <v>0</v>
          </cell>
          <cell r="BF88" t="str">
            <v>048. MANCOMUNIDAD MUNICIPAL FORESTACION SIN FRONTERAS</v>
          </cell>
        </row>
        <row r="89">
          <cell r="I89" t="str">
            <v>554. U.N. AUTÓNOMA DE HUANTA</v>
          </cell>
          <cell r="K89">
            <v>0</v>
          </cell>
          <cell r="AF89">
            <v>0</v>
          </cell>
          <cell r="BF89" t="str">
            <v>049. MANCOMUNIDAD MUNICIPAL LIMA SUR</v>
          </cell>
        </row>
        <row r="90">
          <cell r="D90">
            <v>0</v>
          </cell>
          <cell r="H90">
            <v>0</v>
          </cell>
          <cell r="I90" t="str">
            <v>555. U.N. INTERCULTURAL FABIOLA SALAZAR LEGUIA DE BAGUA</v>
          </cell>
          <cell r="K90">
            <v>0</v>
          </cell>
          <cell r="AF90">
            <v>0</v>
          </cell>
          <cell r="AG90">
            <v>0</v>
          </cell>
          <cell r="BF90" t="str">
            <v>050. MANCOMUNIDAD MUNICIPAL DE LAS CUENCAS DEL CHOTANO-CONCHANO MANUEL JOSE BECERRA SILVA</v>
          </cell>
        </row>
        <row r="91">
          <cell r="D91">
            <v>0</v>
          </cell>
          <cell r="H91">
            <v>0</v>
          </cell>
          <cell r="I91" t="str">
            <v>556. U.N. INTERCULTURAL DE QUILLABAMBA</v>
          </cell>
          <cell r="K91">
            <v>0</v>
          </cell>
          <cell r="AF91">
            <v>0</v>
          </cell>
          <cell r="AG91">
            <v>0</v>
          </cell>
          <cell r="BF91" t="str">
            <v>051. MANCOMUNIDAD MUNICIPAL QANCHI DE LA PROVINCIA DE CANCHIS</v>
          </cell>
        </row>
        <row r="92">
          <cell r="D92">
            <v>0</v>
          </cell>
          <cell r="H92">
            <v>0</v>
          </cell>
          <cell r="I92" t="str">
            <v>557. U.N. AUTÓNOMA DE ALTO AMAZONAS</v>
          </cell>
          <cell r="K92">
            <v>0</v>
          </cell>
          <cell r="AF92">
            <v>0</v>
          </cell>
          <cell r="AG92">
            <v>0</v>
          </cell>
          <cell r="BF92" t="str">
            <v>052. MANCOMUNIDAD MUNICIPAL POR LA INTEGRACION DE SAN MARTIN Y LORETO</v>
          </cell>
        </row>
        <row r="93">
          <cell r="A93">
            <v>0</v>
          </cell>
          <cell r="D93">
            <v>0</v>
          </cell>
          <cell r="I93" t="str">
            <v>558. U.N. AUTÓNOMA DE TAYACAJA DANIEL HERNÁNDEZ MORILLO</v>
          </cell>
          <cell r="K93">
            <v>0</v>
          </cell>
          <cell r="AF93">
            <v>0</v>
          </cell>
          <cell r="AG93">
            <v>0</v>
          </cell>
          <cell r="BF93" t="str">
            <v>053. MANCOMUNIDAD MUNICIPAL CUENCA MISHQUIYACU - SAUCE</v>
          </cell>
        </row>
        <row r="94">
          <cell r="I94" t="str">
            <v>559. U.N. CIRO ALEGRÍA</v>
          </cell>
          <cell r="K94">
            <v>0</v>
          </cell>
          <cell r="AF94">
            <v>0</v>
          </cell>
          <cell r="BF94" t="str">
            <v>054. MANCOMUNIDAD MUNICIPAL VRAEM DEL NORTE</v>
          </cell>
        </row>
      </sheetData>
      <sheetData sheetId="2">
        <row r="3">
          <cell r="A3" t="str">
            <v>1. GOBIERNO NACIONAL</v>
          </cell>
        </row>
      </sheetData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S"/>
      <sheetName val="ING"/>
      <sheetName val="PLAN"/>
      <sheetName val="SIAF"/>
      <sheetName val="LIQUIDACIONES"/>
      <sheetName val="METAS-2007"/>
      <sheetName val="442"/>
      <sheetName val="301.01.01"/>
      <sheetName val="301.02"/>
      <sheetName val="ACUMULADO"/>
      <sheetName val="31.101"/>
      <sheetName val="31.102"/>
      <sheetName val="PCSS"/>
      <sheetName val="NOTA "/>
      <sheetName val="333.01.01"/>
      <sheetName val="335"/>
      <sheetName val="336.04.01"/>
      <sheetName val="336.09.01"/>
      <sheetName val="341.01.01"/>
      <sheetName val="341.04"/>
      <sheetName val="349"/>
      <sheetName val="351.01"/>
      <sheetName val="361"/>
      <sheetName val="371"/>
      <sheetName val="379"/>
      <sheetName val="382"/>
      <sheetName val="383.09"/>
      <sheetName val="384.02"/>
      <sheetName val="385.01"/>
      <sheetName val="385.04"/>
      <sheetName val="389.09"/>
      <sheetName val="391.01"/>
      <sheetName val="392.01"/>
      <sheetName val="392.02"/>
      <sheetName val="392.03"/>
      <sheetName val="397"/>
      <sheetName val="399"/>
      <sheetName val="listaDesplegableUE"/>
      <sheetName val="Lista desplegableGener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BRETE"/>
      <sheetName val="F-1 CONTENIDO"/>
      <sheetName val="F-2(1) INFORME MENSUAL"/>
      <sheetName val="F-2(2) INFORME MENSUAL"/>
      <sheetName val="F-2(3) INFORME MENSUAL"/>
      <sheetName val="F-2(4) INFORME MENSUAL "/>
      <sheetName val="F-2(5) INFORME MENSUAL "/>
      <sheetName val="F-3 RESUMEN VALORIZACION  "/>
      <sheetName val="F-31 VALORIZACION"/>
      <sheetName val="F-32 VALORIZ. MAYOR METRADO"/>
      <sheetName val="F-33 VALORIZ. PARTIDAS NUEVAS"/>
      <sheetName val="F-34 VALORIZ. DEDUCTIVOS"/>
      <sheetName val="F-4 METRADOS DIARIOS"/>
      <sheetName val="F-4 METRADOS DIARIOS_MM"/>
      <sheetName val="F-4 METRADOS DIARIOS_PN"/>
      <sheetName val="F-5 CRONOGRAMA"/>
      <sheetName val="F-6 RESUMEN ALMACEN "/>
      <sheetName val="F-61 AL F-66 ALMACEN"/>
      <sheetName val="F-67 ALMACEN DIARIO"/>
      <sheetName val="F-7 RESUMEN MAQUINARIA"/>
      <sheetName val="F-71 MOVIMIENTO MAQUINARIA"/>
      <sheetName val="F-72 MAQUINARIA DIARIO"/>
      <sheetName val="F-8 AUXILIAR"/>
      <sheetName val="F-10 CONTROL CALIDAD"/>
      <sheetName val="F-11 ADICIONALES"/>
      <sheetName val="F-11-B ADICIONALES "/>
      <sheetName val="F-12 FOTOS"/>
      <sheetName val="F-12 FOTOS (2)"/>
      <sheetName val="F-12 FOTOS (3)"/>
      <sheetName val="F-12 FOTOS (4)"/>
      <sheetName val="F-12 FOTOS (5)"/>
      <sheetName val="F-12 FOTOS (6)"/>
      <sheetName val="F-13 CUADERNO OBRA"/>
      <sheetName val="Hoja1"/>
      <sheetName val="384.02"/>
    </sheetNames>
    <sheetDataSet>
      <sheetData sheetId="0">
        <row r="8">
          <cell r="B8" t="str">
            <v>ABRIL DEL 2011</v>
          </cell>
        </row>
        <row r="11">
          <cell r="E11" t="str">
            <v>ING. DEBORAH MAGALY GUTIERREZ PINTO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"/>
      <sheetName val="0.MEMBRETE"/>
      <sheetName val="1.CARATULA"/>
      <sheetName val="CONTENIDO"/>
      <sheetName val="CONT2"/>
      <sheetName val="RESIDENTE"/>
      <sheetName val="INFORME"/>
      <sheetName val="N1"/>
      <sheetName val="0 F.T."/>
      <sheetName val="1. M. EXP."/>
      <sheetName val="2.M. DESC."/>
      <sheetName val="3.6. S"/>
      <sheetName val="3.6..Resu Val"/>
      <sheetName val="3.6. Val Pro"/>
      <sheetName val="3.8. Val Equ"/>
      <sheetName val="3.8. Val Maq"/>
      <sheetName val="3.9. Alm"/>
      <sheetName val="3.11.ResEjecFin"/>
      <sheetName val="3.11. ManGasto"/>
      <sheetName val="3.12. FOTOS"/>
      <sheetName val="5. CONCLUCIONES"/>
      <sheetName val="4.BalanceFis-Fin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CIONES"/>
      <sheetName val="DESCRIPCION PROCESO"/>
      <sheetName val="3-MAPA DE RIESGOS"/>
      <sheetName val="4-ANALISIS DE VALOR"/>
      <sheetName val="5-PLAN DE CONTROL"/>
      <sheetName val="6-LISTADO MAESTRO DOCUMENTOS"/>
      <sheetName val="7-LISTADO MAESTRO REGISTROS"/>
      <sheetName val="8-LISTADO DE INDICADORES"/>
      <sheetName val="9-PLAN DE MEJORAMIENTO"/>
      <sheetName val="DATOS"/>
      <sheetName val="BD"/>
    </sheetNames>
    <sheetDataSet>
      <sheetData sheetId="0" refreshError="1"/>
      <sheetData sheetId="1">
        <row r="8">
          <cell r="C8" t="str">
            <v>1.  Planificación del proyecto</v>
          </cell>
        </row>
        <row r="9">
          <cell r="C9" t="str">
            <v>2.  Definición del sistema</v>
          </cell>
        </row>
        <row r="10">
          <cell r="C10" t="str">
            <v>3.  Recolección y análisis de los Procesos del "SIVET"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AMPAR"/>
      <sheetName val="FINAL"/>
      <sheetName val="FINAL (2)"/>
      <sheetName val="FICHA SOSEM (2)"/>
      <sheetName val="INFO SOSEM"/>
      <sheetName val="INFORME SUP."/>
      <sheetName val="CD"/>
      <sheetName val="Fold"/>
      <sheetName val="Carat"/>
      <sheetName val="Conte"/>
      <sheetName val="FE-01"/>
      <sheetName val="FE-02"/>
      <sheetName val="FE-02A"/>
      <sheetName val="FE 03"/>
      <sheetName val="FE-05"/>
      <sheetName val="F-07-05 VAL-MM"/>
      <sheetName val="F-07-06 VAL-PART NUEV"/>
      <sheetName val="F-07-07. PROG VAL ANUAL DEL PR "/>
      <sheetName val="F-08-01. EJEC FINAN."/>
      <sheetName val="F-08-02. RES GAST FINAN."/>
      <sheetName val="F-08-03. (a) EJF X ESPEC (2)"/>
      <sheetName val="F-08-03. (b)  EJF P.ANALIT"/>
      <sheetName val="F-08-04.EJF X ESPC "/>
      <sheetName val="F-08-05 CALEND COMP"/>
      <sheetName val="F-08-06 PROG FINAN X EPEC"/>
      <sheetName val="F- 09 C-T-A (2)"/>
      <sheetName val="AUXILIAR ESTANDAR"/>
      <sheetName val="F-17 Gast. MxEsp (PROGRAMADO)"/>
      <sheetName val="FE 07"/>
      <sheetName val="F-07A"/>
      <sheetName val="F-07-1"/>
      <sheetName val="F-07-01A"/>
      <sheetName val="F-07-2"/>
      <sheetName val="F-07-02-A"/>
      <sheetName val="F-09 R U"/>
      <sheetName val="FE-11"/>
      <sheetName val="FE-12"/>
      <sheetName val="FE-18"/>
      <sheetName val="Control"/>
      <sheetName val="D."/>
      <sheetName val="Hoja1"/>
      <sheetName val="TAREO"/>
      <sheetName val="TAREO (2)"/>
      <sheetName val="F-14-01"/>
      <sheetName val="F-14-02"/>
      <sheetName val="F-14-03"/>
      <sheetName val="CARATULA"/>
      <sheetName val="FE-03"/>
      <sheetName val="FE-04"/>
      <sheetName val="FE-06"/>
      <sheetName val="FE-07"/>
      <sheetName val="FE-08"/>
      <sheetName val="FE-09"/>
      <sheetName val="FE-10"/>
      <sheetName val="FE-13"/>
      <sheetName val="FE-14"/>
      <sheetName val="FE-15N"/>
      <sheetName val="FE-17"/>
      <sheetName val="FE-16"/>
      <sheetName val="FE-19"/>
      <sheetName val="FE-20"/>
      <sheetName val="FE-21"/>
      <sheetName val="FE-22"/>
      <sheetName val="FE-23"/>
      <sheetName val="FE-24"/>
      <sheetName val="FE-25"/>
      <sheetName val="FE-26"/>
      <sheetName val="FE-27"/>
      <sheetName val="FE-28"/>
      <sheetName val="FE-29"/>
      <sheetName val="FE-30"/>
      <sheetName val="FE-31"/>
      <sheetName val="FE-32"/>
      <sheetName val="FE-33"/>
      <sheetName val="FE-34"/>
      <sheetName val="Hoja3"/>
      <sheetName val="FE03"/>
      <sheetName val="FE-07-1 "/>
      <sheetName val="FE-15"/>
      <sheetName val="HOJA 1"/>
      <sheetName val="HOJA 2"/>
      <sheetName val="FE-02 "/>
      <sheetName val="FE - 07"/>
      <sheetName val="FE - 08"/>
      <sheetName val="FF-10"/>
      <sheetName val="FE-10 MES"/>
      <sheetName val="FE-11 "/>
      <sheetName val="Cronograma"/>
      <sheetName val="cronograma II"/>
      <sheetName val="METRADOS ESTRUCTURAS ORIG"/>
      <sheetName val="1. Partidas Est."/>
      <sheetName val="1.1 Sust. de Acero"/>
      <sheetName val="01.03.01. Explanaciones"/>
      <sheetName val="RESUMEN FINANCIERO"/>
      <sheetName val="02 y 03"/>
      <sheetName val="1.5 Biodigestor"/>
      <sheetName val="Acero Buzones"/>
      <sheetName val="1.4 Buzones"/>
      <sheetName val="1.3 Red Alcan."/>
      <sheetName val="1.2 Conex. Domic."/>
      <sheetName val="Acero"/>
      <sheetName val="1.1 Letrina"/>
      <sheetName val="M.D FE-01"/>
      <sheetName val="FICHA FE-02"/>
      <sheetName val="F.T F-02"/>
      <sheetName val="MM1 FE-03"/>
      <sheetName val="M.PRIN.FE-03(RESUMEN)"/>
      <sheetName val="MM1 FE-04"/>
      <sheetName val="PN1 FE-04"/>
      <sheetName val="PN1 FE-03"/>
      <sheetName val="R.V FE-05"/>
      <sheetName val="V.P FE-06"/>
      <sheetName val="V.P.FE-07"/>
      <sheetName val="MM1 FE-08"/>
      <sheetName val="MM2 FE-08"/>
      <sheetName val="MM3 FE-08"/>
      <sheetName val="PN1 FE-08"/>
      <sheetName val="RESUM. PROG"/>
      <sheetName val="PROG. F-09"/>
      <sheetName val="RES.C.O.FE-09"/>
      <sheetName val="VAL. CAMIONETA"/>
      <sheetName val="VAL MEZCLADORA"/>
      <sheetName val="C.FRON.FE-14"/>
      <sheetName val="CARG.FE-14"/>
      <sheetName val="MEZC.FE-14"/>
      <sheetName val="COMP.FE-14"/>
      <sheetName val="TEOD.FE-14"/>
      <sheetName val="NIV.FE-14"/>
      <sheetName val="FINANCIERO"/>
      <sheetName val="Sheet1"/>
      <sheetName val="HELP"/>
      <sheetName val="FICHA TECNICA"/>
      <sheetName val="no tocar"/>
      <sheetName val="DESCRIPCION PROCESO"/>
    </sheetNames>
    <sheetDataSet>
      <sheetData sheetId="0">
        <row r="1">
          <cell r="I1">
            <v>0</v>
          </cell>
        </row>
        <row r="15">
          <cell r="G15">
            <v>15.75</v>
          </cell>
          <cell r="H15">
            <v>15.75</v>
          </cell>
        </row>
        <row r="16">
          <cell r="G16">
            <v>1</v>
          </cell>
        </row>
        <row r="17">
          <cell r="G17">
            <v>0</v>
          </cell>
        </row>
        <row r="18">
          <cell r="G18">
            <v>4.16</v>
          </cell>
        </row>
        <row r="19">
          <cell r="G19">
            <v>0</v>
          </cell>
        </row>
        <row r="20">
          <cell r="G20">
            <v>1.24</v>
          </cell>
        </row>
        <row r="21">
          <cell r="G21">
            <v>1.83</v>
          </cell>
        </row>
        <row r="22">
          <cell r="G22">
            <v>0.06</v>
          </cell>
        </row>
        <row r="23">
          <cell r="G23">
            <v>2.52</v>
          </cell>
        </row>
        <row r="24">
          <cell r="G24">
            <v>2.23</v>
          </cell>
        </row>
        <row r="25">
          <cell r="G25">
            <v>15.95</v>
          </cell>
        </row>
        <row r="26">
          <cell r="G26">
            <v>3.05</v>
          </cell>
        </row>
        <row r="27">
          <cell r="G27">
            <v>0.5</v>
          </cell>
        </row>
        <row r="28">
          <cell r="G28">
            <v>0.5</v>
          </cell>
        </row>
        <row r="29">
          <cell r="G29">
            <v>0</v>
          </cell>
        </row>
        <row r="30">
          <cell r="G30">
            <v>1.56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331.14</v>
          </cell>
          <cell r="H33">
            <v>331.14</v>
          </cell>
        </row>
        <row r="34">
          <cell r="G34">
            <v>0</v>
          </cell>
        </row>
        <row r="35">
          <cell r="G35">
            <v>335</v>
          </cell>
          <cell r="H35">
            <v>330</v>
          </cell>
        </row>
        <row r="36">
          <cell r="G36">
            <v>335</v>
          </cell>
          <cell r="H36">
            <v>330</v>
          </cell>
        </row>
        <row r="37">
          <cell r="G37">
            <v>335</v>
          </cell>
          <cell r="H37">
            <v>330</v>
          </cell>
        </row>
        <row r="38">
          <cell r="G38">
            <v>335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335</v>
          </cell>
        </row>
        <row r="42">
          <cell r="G42">
            <v>1</v>
          </cell>
        </row>
        <row r="43">
          <cell r="G43">
            <v>0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17.64</v>
          </cell>
          <cell r="H46">
            <v>17.64</v>
          </cell>
        </row>
        <row r="47">
          <cell r="G47">
            <v>0</v>
          </cell>
        </row>
        <row r="48">
          <cell r="G48">
            <v>17.64</v>
          </cell>
          <cell r="H48">
            <v>17.64</v>
          </cell>
        </row>
        <row r="49">
          <cell r="G49">
            <v>0</v>
          </cell>
        </row>
        <row r="50">
          <cell r="G50">
            <v>11.56</v>
          </cell>
        </row>
        <row r="51">
          <cell r="G51">
            <v>5.94</v>
          </cell>
        </row>
        <row r="52">
          <cell r="G52">
            <v>13.97</v>
          </cell>
        </row>
        <row r="53">
          <cell r="G53">
            <v>327.60000000000002</v>
          </cell>
        </row>
        <row r="54">
          <cell r="G54">
            <v>22.32</v>
          </cell>
        </row>
        <row r="55">
          <cell r="G55">
            <v>49.61</v>
          </cell>
        </row>
        <row r="56">
          <cell r="G56">
            <v>8.41</v>
          </cell>
        </row>
        <row r="57">
          <cell r="G57">
            <v>17.54</v>
          </cell>
        </row>
        <row r="58">
          <cell r="G58">
            <v>22.66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0.99</v>
          </cell>
          <cell r="H63">
            <v>0.99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2016</v>
          </cell>
          <cell r="H75">
            <v>2016</v>
          </cell>
        </row>
        <row r="76">
          <cell r="G76">
            <v>0</v>
          </cell>
        </row>
        <row r="77">
          <cell r="G77">
            <v>2000</v>
          </cell>
          <cell r="H77">
            <v>1900</v>
          </cell>
        </row>
        <row r="78">
          <cell r="G78">
            <v>2000</v>
          </cell>
          <cell r="H78">
            <v>1900</v>
          </cell>
        </row>
        <row r="79">
          <cell r="G79">
            <v>2000</v>
          </cell>
          <cell r="H79">
            <v>1900</v>
          </cell>
        </row>
        <row r="80">
          <cell r="G80">
            <v>2000</v>
          </cell>
        </row>
        <row r="81">
          <cell r="G81">
            <v>0</v>
          </cell>
        </row>
        <row r="82">
          <cell r="G82">
            <v>1100</v>
          </cell>
        </row>
        <row r="83">
          <cell r="G83">
            <v>460</v>
          </cell>
        </row>
        <row r="84">
          <cell r="G84">
            <v>390</v>
          </cell>
        </row>
        <row r="85">
          <cell r="G85">
            <v>6</v>
          </cell>
        </row>
        <row r="86">
          <cell r="G86">
            <v>0</v>
          </cell>
        </row>
        <row r="87">
          <cell r="G87">
            <v>1</v>
          </cell>
        </row>
        <row r="88">
          <cell r="G88">
            <v>1</v>
          </cell>
        </row>
        <row r="89">
          <cell r="G89">
            <v>1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4.92</v>
          </cell>
          <cell r="H93">
            <v>4.92</v>
          </cell>
        </row>
        <row r="94">
          <cell r="G94">
            <v>0</v>
          </cell>
        </row>
        <row r="95">
          <cell r="G95">
            <v>1.69</v>
          </cell>
        </row>
        <row r="96">
          <cell r="G96">
            <v>0.06</v>
          </cell>
        </row>
        <row r="97">
          <cell r="G97">
            <v>3.14</v>
          </cell>
        </row>
        <row r="98">
          <cell r="G98">
            <v>7.81</v>
          </cell>
        </row>
        <row r="99">
          <cell r="G99">
            <v>11.06</v>
          </cell>
        </row>
        <row r="100">
          <cell r="G100">
            <v>0</v>
          </cell>
        </row>
        <row r="101">
          <cell r="G101">
            <v>7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9.42</v>
          </cell>
          <cell r="H104">
            <v>9.42</v>
          </cell>
        </row>
        <row r="105">
          <cell r="G105">
            <v>0</v>
          </cell>
        </row>
        <row r="106">
          <cell r="G106">
            <v>5.25</v>
          </cell>
        </row>
        <row r="107">
          <cell r="G107">
            <v>2.2000000000000002</v>
          </cell>
        </row>
        <row r="108">
          <cell r="G108">
            <v>5.5916666666666668</v>
          </cell>
        </row>
        <row r="109">
          <cell r="G109">
            <v>75.600000000000009</v>
          </cell>
        </row>
        <row r="110">
          <cell r="G110">
            <v>27.9</v>
          </cell>
        </row>
        <row r="111">
          <cell r="G111">
            <v>46.4</v>
          </cell>
        </row>
        <row r="112">
          <cell r="G112">
            <v>16.650000000000002</v>
          </cell>
        </row>
        <row r="113">
          <cell r="G113">
            <v>0</v>
          </cell>
        </row>
        <row r="114">
          <cell r="G114">
            <v>3</v>
          </cell>
        </row>
        <row r="115">
          <cell r="G115">
            <v>1</v>
          </cell>
        </row>
        <row r="116">
          <cell r="G116">
            <v>1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1.86</v>
          </cell>
          <cell r="H119">
            <v>1.86</v>
          </cell>
        </row>
        <row r="120">
          <cell r="G120">
            <v>0</v>
          </cell>
        </row>
        <row r="121">
          <cell r="G121">
            <v>0.82</v>
          </cell>
        </row>
        <row r="122">
          <cell r="G122">
            <v>0.03</v>
          </cell>
        </row>
        <row r="123">
          <cell r="G123">
            <v>1.79</v>
          </cell>
        </row>
        <row r="124">
          <cell r="G124">
            <v>4.46</v>
          </cell>
        </row>
        <row r="125">
          <cell r="G125">
            <v>11.52</v>
          </cell>
        </row>
        <row r="126">
          <cell r="G126">
            <v>0</v>
          </cell>
        </row>
        <row r="127">
          <cell r="G127">
            <v>1</v>
          </cell>
        </row>
        <row r="128">
          <cell r="G128">
            <v>2</v>
          </cell>
        </row>
        <row r="129">
          <cell r="G129">
            <v>1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0.127</v>
          </cell>
          <cell r="H135">
            <v>1.7000000000000001E-2</v>
          </cell>
        </row>
      </sheetData>
      <sheetData sheetId="1"/>
      <sheetData sheetId="2"/>
      <sheetData sheetId="3"/>
      <sheetData sheetId="4">
        <row r="1">
          <cell r="I1">
            <v>0</v>
          </cell>
        </row>
      </sheetData>
      <sheetData sheetId="5"/>
      <sheetData sheetId="6"/>
      <sheetData sheetId="7"/>
      <sheetData sheetId="8">
        <row r="1">
          <cell r="I1">
            <v>0</v>
          </cell>
        </row>
      </sheetData>
      <sheetData sheetId="9"/>
      <sheetData sheetId="10"/>
      <sheetData sheetId="11"/>
      <sheetData sheetId="12">
        <row r="1">
          <cell r="I1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>
        <row r="1">
          <cell r="I1">
            <v>0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>
        <row r="1">
          <cell r="I1">
            <v>0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>
        <row r="1">
          <cell r="I1">
            <v>0</v>
          </cell>
        </row>
      </sheetData>
      <sheetData sheetId="92"/>
      <sheetData sheetId="93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>
        <row r="4">
          <cell r="I4">
            <v>0</v>
          </cell>
        </row>
      </sheetData>
      <sheetData sheetId="104">
        <row r="4">
          <cell r="I4">
            <v>0</v>
          </cell>
        </row>
      </sheetData>
      <sheetData sheetId="105"/>
      <sheetData sheetId="106">
        <row r="4">
          <cell r="I4">
            <v>0</v>
          </cell>
        </row>
      </sheetData>
      <sheetData sheetId="107">
        <row r="4">
          <cell r="I4">
            <v>0</v>
          </cell>
        </row>
      </sheetData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16">
          <cell r="G16">
            <v>0</v>
          </cell>
        </row>
      </sheetData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LA"/>
      <sheetName val="no tocar"/>
      <sheetName val="TAREO GG"/>
      <sheetName val="TAREO INSPECTOR"/>
      <sheetName val="TAREO OBRERO"/>
      <sheetName val="BD"/>
      <sheetName val="DATOS"/>
    </sheetNames>
    <sheetDataSet>
      <sheetData sheetId="0"/>
      <sheetData sheetId="1">
        <row r="8">
          <cell r="I8" t="str">
            <v>PEON</v>
          </cell>
        </row>
        <row r="9">
          <cell r="I9" t="str">
            <v>OFICIAL</v>
          </cell>
        </row>
        <row r="10">
          <cell r="I10" t="str">
            <v>OPERARIO</v>
          </cell>
        </row>
        <row r="11">
          <cell r="I11" t="str">
            <v>ASISTENTE TECNICO</v>
          </cell>
        </row>
        <row r="12">
          <cell r="I12" t="str">
            <v>MAESTRO</v>
          </cell>
        </row>
        <row r="13">
          <cell r="I13" t="str">
            <v>OPERADOR DE EQUIPO PESADO</v>
          </cell>
        </row>
        <row r="14">
          <cell r="I14" t="str">
            <v>CONDUCTOR</v>
          </cell>
        </row>
        <row r="15">
          <cell r="I15" t="str">
            <v>ASISTENTE ADMINISTRATIVO</v>
          </cell>
        </row>
        <row r="16">
          <cell r="I16" t="str">
            <v>AUXILIAR DE PROYECTO</v>
          </cell>
        </row>
        <row r="17">
          <cell r="I17" t="str">
            <v>RESIDENTE</v>
          </cell>
        </row>
      </sheetData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"/>
      <sheetName val="0.MEMBRETE"/>
      <sheetName val="1.CARATULA"/>
      <sheetName val="2.CONTENIDO"/>
      <sheetName val="RESIDENTE"/>
      <sheetName val="N1"/>
      <sheetName val="Memo"/>
      <sheetName val="Hoja3"/>
      <sheetName val="N2"/>
      <sheetName val="F.T."/>
      <sheetName val="N3"/>
      <sheetName val="N3.1"/>
      <sheetName val="RVAL"/>
      <sheetName val="N3.2"/>
      <sheetName val="N3.3"/>
      <sheetName val="N4"/>
      <sheetName val="N4.1"/>
      <sheetName val="N4.2"/>
      <sheetName val="N5"/>
      <sheetName val="N6"/>
      <sheetName val="N7"/>
      <sheetName val="FINANCIERO"/>
      <sheetName val="N8.1"/>
      <sheetName val="N8.2"/>
      <sheetName val="N8.3"/>
      <sheetName val="N8.4"/>
      <sheetName val="N8.5"/>
      <sheetName val="ALMACEN"/>
      <sheetName val="N9"/>
      <sheetName val="N9.1"/>
      <sheetName val="N9.2"/>
      <sheetName val="N9.3"/>
      <sheetName val="N9.4"/>
      <sheetName val="N9.5"/>
      <sheetName val="MAQ"/>
      <sheetName val="N10.1"/>
      <sheetName val="R.Maq"/>
      <sheetName val="N10.2"/>
      <sheetName val="MDMa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nog. Permanencia "/>
      <sheetName val="Evaluacion"/>
      <sheetName val="INDICE"/>
      <sheetName val="Titulo"/>
      <sheetName val="F-1 Inf Actividade."/>
      <sheetName val="F-2 Ficha Resumen."/>
      <sheetName val="F-3 Inf General."/>
      <sheetName val="F-4 Asp Tec-Adm"/>
      <sheetName val="F-5 Asp Finan"/>
      <sheetName val="F-6 Cronog."/>
      <sheetName val="F-6 Cronog. (2)"/>
      <sheetName val="F-6 Cronog"/>
      <sheetName val="F-7 Metrados"/>
      <sheetName val="F-7 Mem Descript"/>
      <sheetName val="F-8 Res Metrados "/>
      <sheetName val="F-8-A Des Metrados"/>
      <sheetName val="F-9 Res Val Total"/>
      <sheetName val="FORMATO -9A"/>
      <sheetName val="F-9-B Valoriz Progr"/>
      <sheetName val="F-9-C Adic MM,PN Y Ded"/>
      <sheetName val="F-2 Ficha Resumen"/>
      <sheetName val="F-9-D Sust Modific"/>
      <sheetName val="F-12 "/>
      <sheetName val="F-12 Adic y Dedu"/>
      <sheetName val="F-10 Res Financ"/>
      <sheetName val="F-10 Res Gasto Finan"/>
      <sheetName val="Ad y Dedu"/>
      <sheetName val="F-11. Res Almacen"/>
      <sheetName val="F-11-A Mov Almacen"/>
      <sheetName val="F-12. Res Eq Mec"/>
      <sheetName val="F-12-A Mov Maq"/>
      <sheetName val="F-13-Res Val Planilla"/>
      <sheetName val="F-13-A Planilla Men"/>
      <sheetName val="F-14 Seguridad "/>
      <sheetName val="F-15 Control de Calidad"/>
      <sheetName val="F-16 Fotos Prueba"/>
      <sheetName val="F-17 Cuad Obra"/>
      <sheetName val="F-18 - A  CD Seguimiento Obra"/>
      <sheetName val="Almacen"/>
      <sheetName val="Adicionar"/>
      <sheetName val="Hoja1"/>
      <sheetName val="F-18-B CD Consolidado Obra"/>
      <sheetName val="CD 1"/>
      <sheetName val="Plant. Mens"/>
      <sheetName val="BD"/>
    </sheetNames>
    <sheetDataSet>
      <sheetData sheetId="0" refreshError="1"/>
      <sheetData sheetId="1" refreshError="1"/>
      <sheetData sheetId="2" refreshError="1"/>
      <sheetData sheetId="3">
        <row r="33">
          <cell r="E33" t="str">
            <v>Ing. Miguel Angel Guevara Reime</v>
          </cell>
        </row>
      </sheetData>
      <sheetData sheetId="4" refreshError="1"/>
      <sheetData sheetId="5" refreshError="1"/>
      <sheetData sheetId="6">
        <row r="8">
          <cell r="F8">
            <v>2318316.89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4">
          <cell r="B14" t="str">
            <v>PROGRAMADO</v>
          </cell>
        </row>
      </sheetData>
      <sheetData sheetId="17" refreshError="1"/>
      <sheetData sheetId="18">
        <row r="6">
          <cell r="Q6" t="str">
            <v>Ing. Miguel Angel Guevara Reime</v>
          </cell>
        </row>
        <row r="12">
          <cell r="B12">
            <v>1</v>
          </cell>
          <cell r="C12" t="str">
            <v>SISTEMA DE AGUA POTABLE</v>
          </cell>
          <cell r="G12">
            <v>1154130.0091000001</v>
          </cell>
          <cell r="I12">
            <v>511941.70000000007</v>
          </cell>
          <cell r="L12">
            <v>37924.725279999999</v>
          </cell>
          <cell r="O12">
            <v>549866.42528000008</v>
          </cell>
        </row>
        <row r="13">
          <cell r="B13" t="str">
            <v>01.01</v>
          </cell>
          <cell r="C13" t="str">
            <v>CAPTACION DE MANANTE TIPO LADERA (08UND)</v>
          </cell>
          <cell r="G13">
            <v>47980.302199999991</v>
          </cell>
          <cell r="I13">
            <v>0</v>
          </cell>
          <cell r="L13">
            <v>20694.058799999999</v>
          </cell>
          <cell r="O13">
            <v>20694.058799999999</v>
          </cell>
        </row>
        <row r="14">
          <cell r="B14" t="str">
            <v>01.01.01</v>
          </cell>
          <cell r="C14" t="str">
            <v xml:space="preserve">      LIMPIEZA DE TERRENO MANUAL</v>
          </cell>
          <cell r="D14" t="str">
            <v>m2</v>
          </cell>
          <cell r="E14">
            <v>51.92</v>
          </cell>
          <cell r="F14">
            <v>0.72</v>
          </cell>
          <cell r="G14">
            <v>37.382399999999997</v>
          </cell>
          <cell r="H14">
            <v>0</v>
          </cell>
          <cell r="I14">
            <v>0</v>
          </cell>
          <cell r="J14">
            <v>0</v>
          </cell>
          <cell r="K14">
            <v>25.98</v>
          </cell>
          <cell r="L14">
            <v>18.7056</v>
          </cell>
          <cell r="M14">
            <v>0.50038520801232667</v>
          </cell>
          <cell r="N14">
            <v>25.98</v>
          </cell>
          <cell r="O14">
            <v>18.7056</v>
          </cell>
          <cell r="P14">
            <v>0.50038520801232667</v>
          </cell>
          <cell r="Q14">
            <v>25.94</v>
          </cell>
          <cell r="R14">
            <v>18.6768</v>
          </cell>
          <cell r="S14">
            <v>0.49961479198767333</v>
          </cell>
        </row>
        <row r="15">
          <cell r="B15" t="str">
            <v>01.01.02</v>
          </cell>
          <cell r="C15" t="str">
            <v xml:space="preserve">      TRAZO Y REPLANTEO PRELIMINAR</v>
          </cell>
          <cell r="D15" t="str">
            <v>m2</v>
          </cell>
          <cell r="E15">
            <v>51.92</v>
          </cell>
          <cell r="F15">
            <v>1.44</v>
          </cell>
          <cell r="G15">
            <v>74.764799999999994</v>
          </cell>
          <cell r="H15">
            <v>0</v>
          </cell>
          <cell r="I15">
            <v>0</v>
          </cell>
          <cell r="J15">
            <v>0</v>
          </cell>
          <cell r="K15">
            <v>25.98</v>
          </cell>
          <cell r="L15">
            <v>37.411200000000001</v>
          </cell>
          <cell r="M15">
            <v>0.50038520801232667</v>
          </cell>
          <cell r="N15">
            <v>25.98</v>
          </cell>
          <cell r="O15">
            <v>37.411200000000001</v>
          </cell>
          <cell r="P15">
            <v>0.50038520801232667</v>
          </cell>
          <cell r="Q15">
            <v>25.94</v>
          </cell>
          <cell r="R15">
            <v>37.3536</v>
          </cell>
          <cell r="S15">
            <v>0.49961479198767333</v>
          </cell>
        </row>
        <row r="16">
          <cell r="B16" t="str">
            <v>01.01.03</v>
          </cell>
          <cell r="C16" t="str">
            <v xml:space="preserve">      EXCAVACION MANUAL</v>
          </cell>
          <cell r="D16" t="str">
            <v>m3</v>
          </cell>
          <cell r="E16">
            <v>72.790000000000006</v>
          </cell>
          <cell r="F16">
            <v>47.22</v>
          </cell>
          <cell r="G16">
            <v>3437.1438000000003</v>
          </cell>
          <cell r="H16">
            <v>0</v>
          </cell>
          <cell r="I16">
            <v>0</v>
          </cell>
          <cell r="J16">
            <v>0</v>
          </cell>
          <cell r="K16">
            <v>36.395000000000003</v>
          </cell>
          <cell r="L16">
            <v>1718.5719000000001</v>
          </cell>
          <cell r="M16">
            <v>0.5</v>
          </cell>
          <cell r="N16">
            <v>36.395000000000003</v>
          </cell>
          <cell r="O16">
            <v>1718.5719000000001</v>
          </cell>
          <cell r="P16">
            <v>0.5</v>
          </cell>
          <cell r="Q16">
            <v>36.395000000000003</v>
          </cell>
          <cell r="R16">
            <v>1718.5719000000001</v>
          </cell>
          <cell r="S16">
            <v>0.5</v>
          </cell>
        </row>
        <row r="17">
          <cell r="B17" t="str">
            <v>01.01.04</v>
          </cell>
          <cell r="C17" t="str">
            <v xml:space="preserve">      REFINE, NIVELACION Y COMPACTACION</v>
          </cell>
          <cell r="D17" t="str">
            <v>m2</v>
          </cell>
          <cell r="E17">
            <v>16.72</v>
          </cell>
          <cell r="F17">
            <v>3.15</v>
          </cell>
          <cell r="G17">
            <v>52.667999999999992</v>
          </cell>
          <cell r="H17">
            <v>0</v>
          </cell>
          <cell r="I17">
            <v>0</v>
          </cell>
          <cell r="J17">
            <v>0</v>
          </cell>
          <cell r="K17">
            <v>15.36</v>
          </cell>
          <cell r="L17">
            <v>48.384</v>
          </cell>
          <cell r="M17">
            <v>0.91866028708133973</v>
          </cell>
          <cell r="N17">
            <v>15.36</v>
          </cell>
          <cell r="O17">
            <v>48.384</v>
          </cell>
          <cell r="P17">
            <v>0.91866028708133973</v>
          </cell>
          <cell r="Q17">
            <v>1.3599999999999994</v>
          </cell>
          <cell r="R17">
            <v>4.283999999999998</v>
          </cell>
          <cell r="S17">
            <v>8.1339712918660254E-2</v>
          </cell>
        </row>
        <row r="18">
          <cell r="B18" t="str">
            <v>01.01.05</v>
          </cell>
          <cell r="C18" t="str">
            <v xml:space="preserve">      RELLENO CON MATERIAL PROPIO</v>
          </cell>
          <cell r="D18" t="str">
            <v>m3</v>
          </cell>
          <cell r="E18">
            <v>5.83</v>
          </cell>
          <cell r="F18">
            <v>19.260000000000002</v>
          </cell>
          <cell r="G18">
            <v>112.28580000000001</v>
          </cell>
          <cell r="H18">
            <v>0</v>
          </cell>
          <cell r="I18">
            <v>0</v>
          </cell>
          <cell r="J18">
            <v>0</v>
          </cell>
          <cell r="K18">
            <v>2.915</v>
          </cell>
          <cell r="L18">
            <v>56.142900000000004</v>
          </cell>
          <cell r="M18">
            <v>0.5</v>
          </cell>
          <cell r="N18">
            <v>2.915</v>
          </cell>
          <cell r="O18">
            <v>56.142900000000004</v>
          </cell>
          <cell r="P18">
            <v>0.5</v>
          </cell>
          <cell r="Q18">
            <v>2.915</v>
          </cell>
          <cell r="R18">
            <v>56.142900000000004</v>
          </cell>
          <cell r="S18">
            <v>0.5</v>
          </cell>
        </row>
        <row r="19">
          <cell r="B19" t="str">
            <v>01.01.06</v>
          </cell>
          <cell r="C19" t="str">
            <v xml:space="preserve">      ACARREO DE MATERIAL EXCEDENTE</v>
          </cell>
          <cell r="D19" t="str">
            <v>m3</v>
          </cell>
          <cell r="E19">
            <v>83.7</v>
          </cell>
          <cell r="F19">
            <v>6.29</v>
          </cell>
          <cell r="G19">
            <v>526.47300000000007</v>
          </cell>
          <cell r="H19">
            <v>0</v>
          </cell>
          <cell r="I19">
            <v>0</v>
          </cell>
          <cell r="J19">
            <v>0</v>
          </cell>
          <cell r="K19">
            <v>41.8</v>
          </cell>
          <cell r="L19">
            <v>262.92199999999997</v>
          </cell>
          <cell r="M19">
            <v>0.49940262843488648</v>
          </cell>
          <cell r="N19">
            <v>41.8</v>
          </cell>
          <cell r="O19">
            <v>262.92199999999997</v>
          </cell>
          <cell r="P19">
            <v>0</v>
          </cell>
          <cell r="Q19">
            <v>41.900000000000006</v>
          </cell>
          <cell r="R19">
            <v>263.55100000000004</v>
          </cell>
          <cell r="S19">
            <v>0.50059737156511352</v>
          </cell>
        </row>
        <row r="20">
          <cell r="B20" t="str">
            <v>01.01.07</v>
          </cell>
          <cell r="C20" t="str">
            <v xml:space="preserve">      ENCOFRADO Y DESENCOFRADO</v>
          </cell>
          <cell r="D20" t="str">
            <v>m2</v>
          </cell>
          <cell r="E20">
            <v>199.84</v>
          </cell>
          <cell r="F20">
            <v>42.88</v>
          </cell>
          <cell r="G20">
            <v>8569.1392000000014</v>
          </cell>
          <cell r="H20">
            <v>0</v>
          </cell>
          <cell r="I20">
            <v>0</v>
          </cell>
          <cell r="J20">
            <v>0</v>
          </cell>
          <cell r="K20">
            <v>99.92</v>
          </cell>
          <cell r="L20">
            <v>4284.5696000000007</v>
          </cell>
          <cell r="M20">
            <v>0.5</v>
          </cell>
          <cell r="N20">
            <v>99.92</v>
          </cell>
          <cell r="O20">
            <v>4284.5696000000007</v>
          </cell>
          <cell r="P20">
            <v>0.5</v>
          </cell>
          <cell r="Q20">
            <v>99.92</v>
          </cell>
          <cell r="R20">
            <v>4284.5696000000007</v>
          </cell>
          <cell r="S20">
            <v>0.5</v>
          </cell>
        </row>
        <row r="21">
          <cell r="B21" t="str">
            <v>01.01.08</v>
          </cell>
          <cell r="C21" t="str">
            <v xml:space="preserve">      ACERO DE REFUERZO FY= 4200 KG/CM2.</v>
          </cell>
          <cell r="D21" t="str">
            <v>kg</v>
          </cell>
          <cell r="E21">
            <v>280.02</v>
          </cell>
          <cell r="F21">
            <v>6.38</v>
          </cell>
          <cell r="G21">
            <v>1786.5275999999999</v>
          </cell>
          <cell r="H21">
            <v>0</v>
          </cell>
          <cell r="I21">
            <v>0</v>
          </cell>
          <cell r="J21">
            <v>0</v>
          </cell>
          <cell r="K21">
            <v>140</v>
          </cell>
          <cell r="L21">
            <v>893.19999999999993</v>
          </cell>
          <cell r="M21">
            <v>0.49996428826512396</v>
          </cell>
          <cell r="N21">
            <v>140</v>
          </cell>
          <cell r="O21">
            <v>893.19999999999993</v>
          </cell>
          <cell r="P21">
            <v>0.49996428826512396</v>
          </cell>
          <cell r="Q21">
            <v>140.01999999999998</v>
          </cell>
          <cell r="R21">
            <v>893.32759999999985</v>
          </cell>
          <cell r="S21">
            <v>0.50003571173487604</v>
          </cell>
        </row>
        <row r="22">
          <cell r="B22" t="str">
            <v>01.01.09</v>
          </cell>
          <cell r="C22" t="str">
            <v xml:space="preserve">      SOLADO PARA CIMENTACIONES H= 2"</v>
          </cell>
          <cell r="D22" t="str">
            <v>m2</v>
          </cell>
          <cell r="E22">
            <v>16.72</v>
          </cell>
          <cell r="F22">
            <v>33.39</v>
          </cell>
          <cell r="G22">
            <v>558.2808</v>
          </cell>
          <cell r="H22">
            <v>0</v>
          </cell>
          <cell r="I22">
            <v>0</v>
          </cell>
          <cell r="J22">
            <v>0</v>
          </cell>
          <cell r="K22">
            <v>8.36</v>
          </cell>
          <cell r="L22">
            <v>279.1404</v>
          </cell>
          <cell r="M22">
            <v>0.5</v>
          </cell>
          <cell r="N22">
            <v>8.36</v>
          </cell>
          <cell r="O22">
            <v>279.1404</v>
          </cell>
          <cell r="P22">
            <v>0.5</v>
          </cell>
          <cell r="Q22">
            <v>8.36</v>
          </cell>
          <cell r="R22">
            <v>279.1404</v>
          </cell>
          <cell r="S22">
            <v>0.5</v>
          </cell>
        </row>
        <row r="23">
          <cell r="B23" t="str">
            <v>01.01.10</v>
          </cell>
          <cell r="C23" t="str">
            <v xml:space="preserve">      SELLADO DE MANANTE</v>
          </cell>
          <cell r="D23" t="str">
            <v>m2</v>
          </cell>
          <cell r="E23">
            <v>176</v>
          </cell>
          <cell r="F23">
            <v>35.44</v>
          </cell>
          <cell r="G23">
            <v>6237.44</v>
          </cell>
          <cell r="H23">
            <v>0</v>
          </cell>
          <cell r="I23">
            <v>0</v>
          </cell>
          <cell r="J23">
            <v>0</v>
          </cell>
          <cell r="K23">
            <v>88</v>
          </cell>
          <cell r="L23">
            <v>3118.72</v>
          </cell>
          <cell r="M23">
            <v>0.5</v>
          </cell>
          <cell r="N23">
            <v>88</v>
          </cell>
          <cell r="O23">
            <v>3118.72</v>
          </cell>
          <cell r="P23">
            <v>0.5</v>
          </cell>
          <cell r="Q23">
            <v>88</v>
          </cell>
          <cell r="R23">
            <v>3118.72</v>
          </cell>
          <cell r="S23">
            <v>0.5</v>
          </cell>
        </row>
        <row r="24">
          <cell r="B24" t="str">
            <v>01.01.11</v>
          </cell>
          <cell r="C24" t="str">
            <v xml:space="preserve">      CONCRETO F'C= 175 KG/CM2.</v>
          </cell>
          <cell r="D24" t="str">
            <v>m3</v>
          </cell>
          <cell r="E24">
            <v>18.440000000000001</v>
          </cell>
          <cell r="F24">
            <v>570.78</v>
          </cell>
          <cell r="G24">
            <v>10525.183199999999</v>
          </cell>
          <cell r="H24">
            <v>0</v>
          </cell>
          <cell r="I24">
            <v>0</v>
          </cell>
          <cell r="J24">
            <v>0</v>
          </cell>
          <cell r="K24">
            <v>9.23</v>
          </cell>
          <cell r="L24">
            <v>5268.2993999999999</v>
          </cell>
          <cell r="M24">
            <v>0.50054229934924077</v>
          </cell>
          <cell r="N24">
            <v>9.23</v>
          </cell>
          <cell r="O24">
            <v>5268.2993999999999</v>
          </cell>
          <cell r="P24">
            <v>0.50054229934924077</v>
          </cell>
          <cell r="Q24">
            <v>9.2100000000000009</v>
          </cell>
          <cell r="R24">
            <v>5256.8838000000005</v>
          </cell>
          <cell r="S24">
            <v>0.49945770065075923</v>
          </cell>
        </row>
        <row r="25">
          <cell r="B25" t="str">
            <v>01.01.12</v>
          </cell>
          <cell r="C25" t="str">
            <v xml:space="preserve">      TARRAJEO CON IMPERMEABILIZANTE, MEZCLA 1:2 E=  1.5CM.</v>
          </cell>
          <cell r="D25" t="str">
            <v>m2</v>
          </cell>
          <cell r="E25">
            <v>33.28</v>
          </cell>
          <cell r="F25">
            <v>34.32</v>
          </cell>
          <cell r="G25">
            <v>1142.1695999999999</v>
          </cell>
          <cell r="H25">
            <v>0</v>
          </cell>
          <cell r="I25">
            <v>0</v>
          </cell>
          <cell r="J25">
            <v>0</v>
          </cell>
          <cell r="K25">
            <v>16.64</v>
          </cell>
          <cell r="L25">
            <v>571.08479999999997</v>
          </cell>
          <cell r="M25">
            <v>0.5</v>
          </cell>
          <cell r="N25">
            <v>16.64</v>
          </cell>
          <cell r="O25">
            <v>571.08479999999997</v>
          </cell>
          <cell r="P25">
            <v>0.5</v>
          </cell>
          <cell r="Q25">
            <v>16.64</v>
          </cell>
          <cell r="R25">
            <v>571.08479999999997</v>
          </cell>
          <cell r="S25">
            <v>0.5</v>
          </cell>
        </row>
        <row r="26">
          <cell r="B26" t="str">
            <v>01.01.13</v>
          </cell>
          <cell r="C26" t="str">
            <v xml:space="preserve">      TARRAJEO EN EXTERIORES, MORTERO 1:5</v>
          </cell>
          <cell r="D26" t="str">
            <v>m2</v>
          </cell>
          <cell r="E26">
            <v>151.68</v>
          </cell>
          <cell r="F26">
            <v>23.45</v>
          </cell>
          <cell r="G26">
            <v>3556.8960000000002</v>
          </cell>
          <cell r="H26">
            <v>0</v>
          </cell>
          <cell r="I26">
            <v>0</v>
          </cell>
          <cell r="J26">
            <v>0</v>
          </cell>
          <cell r="K26">
            <v>75.86</v>
          </cell>
          <cell r="L26">
            <v>1778.9169999999999</v>
          </cell>
          <cell r="M26">
            <v>0.50013185654008441</v>
          </cell>
          <cell r="N26">
            <v>75.86</v>
          </cell>
          <cell r="O26">
            <v>1778.9169999999999</v>
          </cell>
          <cell r="P26">
            <v>0.50013185654008441</v>
          </cell>
          <cell r="Q26">
            <v>75.820000000000007</v>
          </cell>
          <cell r="R26">
            <v>1777.979</v>
          </cell>
          <cell r="S26">
            <v>0.49986814345991565</v>
          </cell>
        </row>
        <row r="27">
          <cell r="B27" t="str">
            <v>01.01.14</v>
          </cell>
          <cell r="C27" t="str">
            <v xml:space="preserve">      ACCESORIOS CAPTACION D=1 1/2", COSTO GLOBAL</v>
          </cell>
          <cell r="D27" t="str">
            <v>GLB</v>
          </cell>
          <cell r="E27">
            <v>2</v>
          </cell>
          <cell r="F27">
            <v>253.3</v>
          </cell>
          <cell r="G27">
            <v>506.6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2</v>
          </cell>
          <cell r="R27">
            <v>506.6</v>
          </cell>
          <cell r="S27">
            <v>1</v>
          </cell>
        </row>
        <row r="28">
          <cell r="B28" t="str">
            <v>01.01.15</v>
          </cell>
          <cell r="C28" t="str">
            <v xml:space="preserve">      ACCESORIOS CAPTACION D=1", COSTO GLOBAL</v>
          </cell>
          <cell r="D28" t="str">
            <v>GLB</v>
          </cell>
          <cell r="E28">
            <v>7</v>
          </cell>
          <cell r="F28">
            <v>129.1</v>
          </cell>
          <cell r="G28">
            <v>903.69999999999993</v>
          </cell>
          <cell r="H28">
            <v>0</v>
          </cell>
          <cell r="I28">
            <v>0</v>
          </cell>
          <cell r="J28">
            <v>0</v>
          </cell>
          <cell r="K28">
            <v>4</v>
          </cell>
          <cell r="L28">
            <v>516.4</v>
          </cell>
          <cell r="M28">
            <v>0.5714285714285714</v>
          </cell>
          <cell r="N28">
            <v>4</v>
          </cell>
          <cell r="O28">
            <v>516.4</v>
          </cell>
          <cell r="P28">
            <v>0.5714285714285714</v>
          </cell>
          <cell r="Q28">
            <v>3</v>
          </cell>
          <cell r="R28">
            <v>387.29999999999995</v>
          </cell>
          <cell r="S28">
            <v>0.42857142857142855</v>
          </cell>
        </row>
        <row r="29">
          <cell r="B29" t="str">
            <v>01.01.16</v>
          </cell>
          <cell r="C29" t="str">
            <v xml:space="preserve">      SUMINISTRO DE ACCESORIOS PARA CAPTACION REVOSE Y DRENAJE</v>
          </cell>
          <cell r="D29" t="str">
            <v>GLB</v>
          </cell>
          <cell r="E29">
            <v>1</v>
          </cell>
          <cell r="F29">
            <v>67.3</v>
          </cell>
          <cell r="G29">
            <v>67.3</v>
          </cell>
          <cell r="H29">
            <v>0</v>
          </cell>
          <cell r="I29">
            <v>0</v>
          </cell>
          <cell r="J29">
            <v>0</v>
          </cell>
          <cell r="K29">
            <v>0.505</v>
          </cell>
          <cell r="L29">
            <v>33.986499999999999</v>
          </cell>
          <cell r="M29">
            <v>0.505</v>
          </cell>
          <cell r="N29">
            <v>0.505</v>
          </cell>
          <cell r="O29">
            <v>33.986499999999999</v>
          </cell>
          <cell r="P29">
            <v>0.505</v>
          </cell>
          <cell r="Q29">
            <v>0.495</v>
          </cell>
          <cell r="R29">
            <v>33.313499999999998</v>
          </cell>
          <cell r="S29">
            <v>0.495</v>
          </cell>
        </row>
        <row r="30">
          <cell r="B30" t="str">
            <v>01.01.17</v>
          </cell>
          <cell r="C30" t="str">
            <v xml:space="preserve">      COLOCACION DE ACCESORIOS PROMEDIO</v>
          </cell>
          <cell r="D30" t="str">
            <v>und</v>
          </cell>
          <cell r="E30">
            <v>136</v>
          </cell>
          <cell r="F30">
            <v>3.5700000000000003</v>
          </cell>
          <cell r="G30">
            <v>485.52000000000004</v>
          </cell>
          <cell r="H30">
            <v>0</v>
          </cell>
          <cell r="I30">
            <v>0</v>
          </cell>
          <cell r="J30">
            <v>0</v>
          </cell>
          <cell r="K30">
            <v>68</v>
          </cell>
          <cell r="L30">
            <v>242.76000000000002</v>
          </cell>
          <cell r="M30">
            <v>0.5</v>
          </cell>
          <cell r="N30">
            <v>68</v>
          </cell>
          <cell r="O30">
            <v>242.76000000000002</v>
          </cell>
          <cell r="P30">
            <v>0.5</v>
          </cell>
          <cell r="Q30">
            <v>68</v>
          </cell>
          <cell r="R30">
            <v>242.76000000000002</v>
          </cell>
          <cell r="S30">
            <v>0.5</v>
          </cell>
        </row>
        <row r="31">
          <cell r="B31" t="str">
            <v>01.01.18</v>
          </cell>
          <cell r="C31" t="str">
            <v xml:space="preserve">      TAPA METALICA 0.60 X 0.60M. X 1/8"</v>
          </cell>
          <cell r="D31" t="str">
            <v>und</v>
          </cell>
          <cell r="E31">
            <v>8</v>
          </cell>
          <cell r="F31">
            <v>141.59</v>
          </cell>
          <cell r="G31">
            <v>1132.72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8</v>
          </cell>
          <cell r="R31">
            <v>1132.72</v>
          </cell>
          <cell r="S31">
            <v>1</v>
          </cell>
        </row>
        <row r="32">
          <cell r="B32" t="str">
            <v>01.01.19</v>
          </cell>
          <cell r="C32" t="str">
            <v xml:space="preserve">      TAPA METALICA 0.40 X 0.40M. X 1/8"</v>
          </cell>
          <cell r="D32" t="str">
            <v>und</v>
          </cell>
          <cell r="E32">
            <v>9</v>
          </cell>
          <cell r="F32">
            <v>111.59</v>
          </cell>
          <cell r="G32">
            <v>1004.3100000000001</v>
          </cell>
          <cell r="H32">
            <v>0</v>
          </cell>
          <cell r="I32">
            <v>0</v>
          </cell>
          <cell r="J32">
            <v>0</v>
          </cell>
          <cell r="K32">
            <v>4</v>
          </cell>
          <cell r="L32">
            <v>446.36</v>
          </cell>
          <cell r="M32">
            <v>0.44444444444444442</v>
          </cell>
          <cell r="N32">
            <v>4</v>
          </cell>
          <cell r="O32">
            <v>446.36</v>
          </cell>
          <cell r="P32">
            <v>0.44444444444444442</v>
          </cell>
          <cell r="Q32">
            <v>5</v>
          </cell>
          <cell r="R32">
            <v>557.95000000000005</v>
          </cell>
          <cell r="S32">
            <v>0.55555555555555558</v>
          </cell>
        </row>
        <row r="33">
          <cell r="B33" t="str">
            <v>01.01.20</v>
          </cell>
          <cell r="C33" t="str">
            <v xml:space="preserve">      FILTRO DE GRAVA</v>
          </cell>
          <cell r="D33" t="str">
            <v>m3</v>
          </cell>
          <cell r="E33">
            <v>13.32</v>
          </cell>
          <cell r="F33">
            <v>163.95000000000002</v>
          </cell>
          <cell r="G33">
            <v>2183.8140000000003</v>
          </cell>
          <cell r="H33">
            <v>0</v>
          </cell>
          <cell r="I33">
            <v>0</v>
          </cell>
          <cell r="J33">
            <v>0</v>
          </cell>
          <cell r="K33">
            <v>6.66</v>
          </cell>
          <cell r="L33">
            <v>1091.9070000000002</v>
          </cell>
          <cell r="M33">
            <v>0.5</v>
          </cell>
          <cell r="N33">
            <v>6.66</v>
          </cell>
          <cell r="O33">
            <v>1091.9070000000002</v>
          </cell>
          <cell r="P33">
            <v>0.5</v>
          </cell>
          <cell r="Q33">
            <v>6.66</v>
          </cell>
          <cell r="R33">
            <v>1091.9070000000002</v>
          </cell>
          <cell r="S33">
            <v>0.5</v>
          </cell>
        </row>
        <row r="34">
          <cell r="B34" t="str">
            <v>01.01.21</v>
          </cell>
          <cell r="C34" t="str">
            <v xml:space="preserve">      CODO DE VENTILACIOMN</v>
          </cell>
          <cell r="D34" t="str">
            <v>und</v>
          </cell>
          <cell r="E34">
            <v>8</v>
          </cell>
          <cell r="F34">
            <v>67.989999999999995</v>
          </cell>
          <cell r="G34">
            <v>543.91999999999996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8</v>
          </cell>
          <cell r="R34">
            <v>543.91999999999996</v>
          </cell>
          <cell r="S34">
            <v>1</v>
          </cell>
        </row>
        <row r="35">
          <cell r="B35" t="str">
            <v>01.01.22</v>
          </cell>
          <cell r="C35" t="str">
            <v xml:space="preserve">      PRUEBA HIDRAULICA Y DESINFECCION EN CAPTACION</v>
          </cell>
          <cell r="D35" t="str">
            <v>GLB</v>
          </cell>
          <cell r="E35">
            <v>8</v>
          </cell>
          <cell r="F35">
            <v>222.84</v>
          </cell>
          <cell r="G35">
            <v>1782.72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8</v>
          </cell>
          <cell r="R35">
            <v>1782.72</v>
          </cell>
          <cell r="S35">
            <v>1</v>
          </cell>
        </row>
        <row r="36">
          <cell r="B36" t="str">
            <v>01.01.23</v>
          </cell>
          <cell r="C36" t="str">
            <v xml:space="preserve">      CURADO DE CONCRETO</v>
          </cell>
          <cell r="D36" t="str">
            <v>m2</v>
          </cell>
          <cell r="E36">
            <v>184.96</v>
          </cell>
          <cell r="F36">
            <v>1.1500000000000001</v>
          </cell>
          <cell r="G36">
            <v>212.70400000000004</v>
          </cell>
          <cell r="H36">
            <v>0</v>
          </cell>
          <cell r="I36">
            <v>0</v>
          </cell>
          <cell r="J36">
            <v>0</v>
          </cell>
          <cell r="K36">
            <v>23.11</v>
          </cell>
          <cell r="L36">
            <v>26.576500000000003</v>
          </cell>
          <cell r="M36">
            <v>0.12494593425605535</v>
          </cell>
          <cell r="N36">
            <v>23.11</v>
          </cell>
          <cell r="O36">
            <v>26.576500000000003</v>
          </cell>
          <cell r="P36">
            <v>0.12494593425605535</v>
          </cell>
          <cell r="Q36">
            <v>161.85000000000002</v>
          </cell>
          <cell r="R36">
            <v>186.12750000000005</v>
          </cell>
          <cell r="S36">
            <v>0.87505406574394473</v>
          </cell>
        </row>
        <row r="37">
          <cell r="B37" t="str">
            <v>01.01.24</v>
          </cell>
          <cell r="C37" t="str">
            <v xml:space="preserve">      PINTURA EN EXTERIORES AL LATEX</v>
          </cell>
          <cell r="D37" t="str">
            <v>m2</v>
          </cell>
          <cell r="E37">
            <v>151.68</v>
          </cell>
          <cell r="F37">
            <v>16.75</v>
          </cell>
          <cell r="G37">
            <v>2540.6400000000003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151.68</v>
          </cell>
          <cell r="R37">
            <v>2540.6400000000003</v>
          </cell>
          <cell r="S37">
            <v>1</v>
          </cell>
        </row>
        <row r="38">
          <cell r="B38" t="str">
            <v>01.01.25</v>
          </cell>
          <cell r="C38" t="str">
            <v>TRABAJOS DE PROTECCION EN CAPTACION DE MANANTE1</v>
          </cell>
          <cell r="G38">
            <v>7847.8788000000004</v>
          </cell>
          <cell r="I38">
            <v>0</v>
          </cell>
          <cell r="L38">
            <v>0</v>
          </cell>
          <cell r="O38">
            <v>0</v>
          </cell>
        </row>
        <row r="39">
          <cell r="B39" t="str">
            <v>01.01.25.01</v>
          </cell>
          <cell r="C39" t="str">
            <v xml:space="preserve">         EXCAVACION DE ZANJAS CUNETAS DE CORONACION</v>
          </cell>
          <cell r="D39" t="str">
            <v>m</v>
          </cell>
          <cell r="E39">
            <v>160</v>
          </cell>
          <cell r="F39">
            <v>4.72</v>
          </cell>
          <cell r="G39">
            <v>755.19999999999993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160</v>
          </cell>
          <cell r="R39">
            <v>755.19999999999993</v>
          </cell>
          <cell r="S39">
            <v>1</v>
          </cell>
        </row>
        <row r="40">
          <cell r="B40" t="str">
            <v>01.01.25.02</v>
          </cell>
          <cell r="C40" t="str">
            <v xml:space="preserve">         EXCAVACION MANUAL</v>
          </cell>
          <cell r="D40" t="str">
            <v>m3</v>
          </cell>
          <cell r="E40">
            <v>8.06</v>
          </cell>
          <cell r="F40">
            <v>47.22</v>
          </cell>
          <cell r="G40">
            <v>380.59320000000002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8.06</v>
          </cell>
          <cell r="R40">
            <v>380.59320000000002</v>
          </cell>
          <cell r="S40">
            <v>1</v>
          </cell>
        </row>
        <row r="41">
          <cell r="B41" t="str">
            <v>01.01.25.03</v>
          </cell>
          <cell r="C41" t="str">
            <v xml:space="preserve">         CONCRETO F'C=140 KG/CM2 +30% P.M.</v>
          </cell>
          <cell r="D41" t="str">
            <v>m3</v>
          </cell>
          <cell r="E41">
            <v>8.06</v>
          </cell>
          <cell r="F41">
            <v>442.76</v>
          </cell>
          <cell r="G41">
            <v>3568.6456000000003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8.06</v>
          </cell>
          <cell r="R41">
            <v>3568.6456000000003</v>
          </cell>
          <cell r="S41">
            <v>1</v>
          </cell>
        </row>
        <row r="42">
          <cell r="B42" t="str">
            <v>01.01.25.04</v>
          </cell>
          <cell r="C42" t="str">
            <v xml:space="preserve">         CERCO CON ALAMBRE DE PUAS</v>
          </cell>
          <cell r="D42" t="str">
            <v>m</v>
          </cell>
          <cell r="E42">
            <v>128</v>
          </cell>
          <cell r="F42">
            <v>22.48</v>
          </cell>
          <cell r="G42">
            <v>2877.44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128</v>
          </cell>
          <cell r="R42">
            <v>2877.44</v>
          </cell>
          <cell r="S42">
            <v>1</v>
          </cell>
        </row>
        <row r="43">
          <cell r="B43" t="str">
            <v>01.01.25.05</v>
          </cell>
          <cell r="C43" t="str">
            <v xml:space="preserve">         PUERTA DE MADERA CON CALAMINA GALV. 2.00X0.83M</v>
          </cell>
          <cell r="D43" t="str">
            <v>und</v>
          </cell>
          <cell r="E43">
            <v>8</v>
          </cell>
          <cell r="F43">
            <v>33.25</v>
          </cell>
          <cell r="G43">
            <v>266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8</v>
          </cell>
          <cell r="R43">
            <v>266</v>
          </cell>
          <cell r="S43">
            <v>1</v>
          </cell>
        </row>
        <row r="44">
          <cell r="B44" t="str">
            <v>01.02</v>
          </cell>
          <cell r="C44" t="str">
            <v>REFACCION DE CAPTACION (02 UND)</v>
          </cell>
          <cell r="G44">
            <v>3620.8809000000001</v>
          </cell>
          <cell r="I44">
            <v>0</v>
          </cell>
          <cell r="L44">
            <v>0</v>
          </cell>
          <cell r="O44">
            <v>0</v>
          </cell>
        </row>
        <row r="45">
          <cell r="B45" t="str">
            <v>01.02.01</v>
          </cell>
          <cell r="C45" t="str">
            <v xml:space="preserve">      LIMPIEZA DE TERRENO MANUAL</v>
          </cell>
          <cell r="D45" t="str">
            <v>m2</v>
          </cell>
          <cell r="E45">
            <v>12.08</v>
          </cell>
          <cell r="F45">
            <v>0.72</v>
          </cell>
          <cell r="G45">
            <v>8.6975999999999996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12.08</v>
          </cell>
          <cell r="R45">
            <v>8.6975999999999996</v>
          </cell>
          <cell r="S45">
            <v>1</v>
          </cell>
        </row>
        <row r="46">
          <cell r="B46" t="str">
            <v>01.02.02</v>
          </cell>
          <cell r="C46" t="str">
            <v xml:space="preserve">      TARRAJEO CON IMPERMEABILIZANTE, MEZCLA 1:2 E=  1.5CM.</v>
          </cell>
          <cell r="D46" t="str">
            <v>m2</v>
          </cell>
          <cell r="E46">
            <v>7.1400000000000006</v>
          </cell>
          <cell r="F46">
            <v>34.32</v>
          </cell>
          <cell r="G46">
            <v>245.04480000000001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7.1400000000000006</v>
          </cell>
          <cell r="R46">
            <v>245.04480000000001</v>
          </cell>
          <cell r="S46">
            <v>1</v>
          </cell>
        </row>
        <row r="47">
          <cell r="B47" t="str">
            <v>01.02.03</v>
          </cell>
          <cell r="C47" t="str">
            <v xml:space="preserve">      TARRAJEO EN EXTERIORES, MORTERO 1:5</v>
          </cell>
          <cell r="D47" t="str">
            <v>m2</v>
          </cell>
          <cell r="E47">
            <v>37.04</v>
          </cell>
          <cell r="F47">
            <v>23.45</v>
          </cell>
          <cell r="G47">
            <v>868.58799999999997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37.04</v>
          </cell>
          <cell r="R47">
            <v>868.58799999999997</v>
          </cell>
          <cell r="S47">
            <v>1</v>
          </cell>
        </row>
        <row r="48">
          <cell r="B48" t="str">
            <v>01.02.04</v>
          </cell>
          <cell r="C48" t="str">
            <v xml:space="preserve">      ACCESORIOS CAPTACION D=1", COSTO GLOBAL</v>
          </cell>
          <cell r="D48" t="str">
            <v>GLB</v>
          </cell>
          <cell r="E48">
            <v>2</v>
          </cell>
          <cell r="F48">
            <v>129.1</v>
          </cell>
          <cell r="G48">
            <v>258.2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2</v>
          </cell>
          <cell r="R48">
            <v>258.2</v>
          </cell>
          <cell r="S48">
            <v>1</v>
          </cell>
        </row>
        <row r="49">
          <cell r="B49" t="str">
            <v>01.02.05</v>
          </cell>
          <cell r="C49" t="str">
            <v xml:space="preserve">      COLOCACION DE ACCESORIOS PROMEDIO</v>
          </cell>
          <cell r="D49" t="str">
            <v>und</v>
          </cell>
          <cell r="E49">
            <v>34</v>
          </cell>
          <cell r="F49">
            <v>3.5700000000000003</v>
          </cell>
          <cell r="G49">
            <v>121.38000000000001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34</v>
          </cell>
          <cell r="R49">
            <v>121.38000000000001</v>
          </cell>
          <cell r="S49">
            <v>1</v>
          </cell>
        </row>
        <row r="50">
          <cell r="B50" t="str">
            <v>01.02.06</v>
          </cell>
          <cell r="C50" t="str">
            <v xml:space="preserve">      TAPA METALICA 0.60 X 0.60M. X 1/8"</v>
          </cell>
          <cell r="D50" t="str">
            <v>und</v>
          </cell>
          <cell r="E50">
            <v>2</v>
          </cell>
          <cell r="F50">
            <v>141.59</v>
          </cell>
          <cell r="G50">
            <v>283.18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2</v>
          </cell>
          <cell r="R50">
            <v>283.18</v>
          </cell>
          <cell r="S50">
            <v>1</v>
          </cell>
        </row>
        <row r="51">
          <cell r="B51" t="str">
            <v>01.02.07</v>
          </cell>
          <cell r="C51" t="str">
            <v xml:space="preserve">      TAPA METALICA 0.40 X 0.40M. X 1/8"</v>
          </cell>
          <cell r="D51" t="str">
            <v>und</v>
          </cell>
          <cell r="E51">
            <v>2</v>
          </cell>
          <cell r="F51">
            <v>111.59</v>
          </cell>
          <cell r="G51">
            <v>223.18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2</v>
          </cell>
          <cell r="R51">
            <v>223.18</v>
          </cell>
          <cell r="S51">
            <v>1</v>
          </cell>
        </row>
        <row r="52">
          <cell r="B52" t="str">
            <v>01.02.08</v>
          </cell>
          <cell r="C52" t="str">
            <v xml:space="preserve">      FILTRO DE GRAVA</v>
          </cell>
          <cell r="D52" t="str">
            <v>m3</v>
          </cell>
          <cell r="E52">
            <v>3.33</v>
          </cell>
          <cell r="F52">
            <v>163.95000000000002</v>
          </cell>
          <cell r="G52">
            <v>545.95350000000008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3.33</v>
          </cell>
          <cell r="R52">
            <v>545.95350000000008</v>
          </cell>
          <cell r="S52">
            <v>1</v>
          </cell>
        </row>
        <row r="53">
          <cell r="B53" t="str">
            <v>01.02.09</v>
          </cell>
          <cell r="C53" t="str">
            <v xml:space="preserve">      PRUEBA HIDRAULICA Y DESINFECCION EN CAPTACION</v>
          </cell>
          <cell r="D53" t="str">
            <v>GLB</v>
          </cell>
          <cell r="E53">
            <v>2</v>
          </cell>
          <cell r="F53">
            <v>222.84</v>
          </cell>
          <cell r="G53">
            <v>445.68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2</v>
          </cell>
          <cell r="R53">
            <v>445.68</v>
          </cell>
          <cell r="S53">
            <v>1</v>
          </cell>
        </row>
        <row r="54">
          <cell r="B54" t="str">
            <v>01.02.10</v>
          </cell>
          <cell r="C54" t="str">
            <v xml:space="preserve">      CURADO DE CONCRETO</v>
          </cell>
          <cell r="D54" t="str">
            <v>m2</v>
          </cell>
          <cell r="E54">
            <v>44.18</v>
          </cell>
          <cell r="F54">
            <v>1.1500000000000001</v>
          </cell>
          <cell r="G54">
            <v>50.807000000000002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44.18</v>
          </cell>
          <cell r="R54">
            <v>50.807000000000002</v>
          </cell>
          <cell r="S54">
            <v>1</v>
          </cell>
        </row>
        <row r="55">
          <cell r="B55" t="str">
            <v>01.02.11</v>
          </cell>
          <cell r="C55" t="str">
            <v xml:space="preserve">      PINTURA EN EXTERIORES AL LATEX</v>
          </cell>
          <cell r="D55" t="str">
            <v>m2</v>
          </cell>
          <cell r="E55">
            <v>34.04</v>
          </cell>
          <cell r="F55">
            <v>16.75</v>
          </cell>
          <cell r="G55">
            <v>570.16999999999996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34.04</v>
          </cell>
          <cell r="R55">
            <v>570.16999999999996</v>
          </cell>
          <cell r="S55">
            <v>1</v>
          </cell>
        </row>
        <row r="56">
          <cell r="B56" t="str">
            <v>01.02.12</v>
          </cell>
          <cell r="C56" t="str">
            <v>TRABAJOS DE PROTECCION EN CAPTACION DE MANANTE</v>
          </cell>
          <cell r="G56">
            <v>1964.4196000000002</v>
          </cell>
          <cell r="I56">
            <v>0</v>
          </cell>
          <cell r="L56">
            <v>0</v>
          </cell>
          <cell r="O56">
            <v>0</v>
          </cell>
        </row>
        <row r="57">
          <cell r="B57" t="str">
            <v>01.02.12.01</v>
          </cell>
          <cell r="C57" t="str">
            <v xml:space="preserve">         EXCAVACION DE ZANJAS CUNETAS DE CORONACION</v>
          </cell>
          <cell r="D57" t="str">
            <v>m</v>
          </cell>
          <cell r="E57">
            <v>40</v>
          </cell>
          <cell r="F57">
            <v>4.72</v>
          </cell>
          <cell r="G57">
            <v>188.79999999999998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40</v>
          </cell>
          <cell r="R57">
            <v>188.79999999999998</v>
          </cell>
          <cell r="S57">
            <v>1</v>
          </cell>
        </row>
        <row r="58">
          <cell r="B58" t="str">
            <v>01.02.12.02</v>
          </cell>
          <cell r="C58" t="str">
            <v xml:space="preserve">         EXCAVACION MANUAL</v>
          </cell>
          <cell r="D58" t="str">
            <v>m3</v>
          </cell>
          <cell r="E58">
            <v>2.02</v>
          </cell>
          <cell r="F58">
            <v>47.22</v>
          </cell>
          <cell r="G58">
            <v>95.384399999999999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2.02</v>
          </cell>
          <cell r="R58">
            <v>95.384399999999999</v>
          </cell>
          <cell r="S58">
            <v>1</v>
          </cell>
        </row>
        <row r="59">
          <cell r="B59" t="str">
            <v>01.02.12.03</v>
          </cell>
          <cell r="C59" t="str">
            <v xml:space="preserve">         CONCRETO F'C=140 KG/CM2 +30% P.M.</v>
          </cell>
          <cell r="D59" t="str">
            <v>m3</v>
          </cell>
          <cell r="E59">
            <v>2.02</v>
          </cell>
          <cell r="F59">
            <v>442.76</v>
          </cell>
          <cell r="G59">
            <v>894.37519999999995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2.02</v>
          </cell>
          <cell r="R59">
            <v>894.37519999999995</v>
          </cell>
          <cell r="S59">
            <v>1</v>
          </cell>
        </row>
        <row r="60">
          <cell r="B60" t="str">
            <v>01.02.12.04</v>
          </cell>
          <cell r="C60" t="str">
            <v xml:space="preserve">         CERCO CON ALAMBRE DE PUAS</v>
          </cell>
          <cell r="D60" t="str">
            <v>m</v>
          </cell>
          <cell r="E60">
            <v>32</v>
          </cell>
          <cell r="F60">
            <v>22.48</v>
          </cell>
          <cell r="G60">
            <v>719.36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32</v>
          </cell>
          <cell r="R60">
            <v>719.36</v>
          </cell>
          <cell r="S60">
            <v>1</v>
          </cell>
        </row>
        <row r="61">
          <cell r="B61" t="str">
            <v>01.02.12.05</v>
          </cell>
          <cell r="C61" t="str">
            <v xml:space="preserve">         PUERTA DE MADERA CON CALAMINA GALV. 2.00X0.83M</v>
          </cell>
          <cell r="D61" t="str">
            <v>und</v>
          </cell>
          <cell r="E61">
            <v>2</v>
          </cell>
          <cell r="F61">
            <v>33.25</v>
          </cell>
          <cell r="G61">
            <v>66.5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2</v>
          </cell>
          <cell r="R61">
            <v>66.5</v>
          </cell>
          <cell r="S61">
            <v>1</v>
          </cell>
        </row>
        <row r="62">
          <cell r="B62" t="str">
            <v>01.03</v>
          </cell>
          <cell r="C62" t="str">
            <v>CAMARA DE REUNION (02 UND.)</v>
          </cell>
          <cell r="G62">
            <v>3936.3679999999995</v>
          </cell>
          <cell r="I62">
            <v>0</v>
          </cell>
          <cell r="L62">
            <v>0</v>
          </cell>
          <cell r="O62">
            <v>0</v>
          </cell>
        </row>
        <row r="63">
          <cell r="B63" t="str">
            <v>01.03.01</v>
          </cell>
          <cell r="C63" t="str">
            <v xml:space="preserve">      LIMPIEZA DE TERRENO MANUAL</v>
          </cell>
          <cell r="D63" t="str">
            <v>m2</v>
          </cell>
          <cell r="E63">
            <v>2.64</v>
          </cell>
          <cell r="F63">
            <v>0.72</v>
          </cell>
          <cell r="G63">
            <v>1.9008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2.64</v>
          </cell>
          <cell r="R63">
            <v>1.9008</v>
          </cell>
          <cell r="S63">
            <v>1</v>
          </cell>
        </row>
        <row r="64">
          <cell r="B64" t="str">
            <v>01.03.02</v>
          </cell>
          <cell r="C64" t="str">
            <v xml:space="preserve">      TRAZO Y REPLANTEO PRELIMINAR</v>
          </cell>
          <cell r="D64" t="str">
            <v>m2</v>
          </cell>
          <cell r="E64">
            <v>2.64</v>
          </cell>
          <cell r="F64">
            <v>1.44</v>
          </cell>
          <cell r="G64">
            <v>3.8016000000000001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2.64</v>
          </cell>
          <cell r="R64">
            <v>3.8016000000000001</v>
          </cell>
          <cell r="S64">
            <v>1</v>
          </cell>
        </row>
        <row r="65">
          <cell r="B65" t="str">
            <v>01.03.03</v>
          </cell>
          <cell r="C65" t="str">
            <v xml:space="preserve">      EXCAVACION MANUAL</v>
          </cell>
          <cell r="D65" t="str">
            <v>m3</v>
          </cell>
          <cell r="E65">
            <v>2.11</v>
          </cell>
          <cell r="F65">
            <v>47.22</v>
          </cell>
          <cell r="G65">
            <v>99.634199999999993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2.11</v>
          </cell>
          <cell r="R65">
            <v>99.634199999999993</v>
          </cell>
          <cell r="S65">
            <v>1</v>
          </cell>
        </row>
        <row r="66">
          <cell r="B66" t="str">
            <v>01.03.04</v>
          </cell>
          <cell r="C66" t="str">
            <v xml:space="preserve">      REFINE, NIVELACION Y COMPACTACION</v>
          </cell>
          <cell r="D66" t="str">
            <v>m2</v>
          </cell>
          <cell r="E66">
            <v>2.64</v>
          </cell>
          <cell r="F66">
            <v>3.15</v>
          </cell>
          <cell r="G66">
            <v>8.3160000000000007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2.64</v>
          </cell>
          <cell r="R66">
            <v>8.3160000000000007</v>
          </cell>
          <cell r="S66">
            <v>1</v>
          </cell>
        </row>
        <row r="67">
          <cell r="B67" t="str">
            <v>01.03.05</v>
          </cell>
          <cell r="C67" t="str">
            <v xml:space="preserve">      RELLENO CON MATERIAL PROPIO</v>
          </cell>
          <cell r="D67" t="str">
            <v>m3</v>
          </cell>
          <cell r="E67">
            <v>1.1300000000000001</v>
          </cell>
          <cell r="F67">
            <v>19.260000000000002</v>
          </cell>
          <cell r="G67">
            <v>21.763800000000003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1.1300000000000001</v>
          </cell>
          <cell r="R67">
            <v>21.763800000000003</v>
          </cell>
          <cell r="S67">
            <v>1</v>
          </cell>
        </row>
        <row r="68">
          <cell r="B68" t="str">
            <v>01.03.06</v>
          </cell>
          <cell r="C68" t="str">
            <v xml:space="preserve">      ACARREO DE MATERIAL EXCEDENTE</v>
          </cell>
          <cell r="D68" t="str">
            <v>m3</v>
          </cell>
          <cell r="E68">
            <v>1.4000000000000001</v>
          </cell>
          <cell r="F68">
            <v>6.29</v>
          </cell>
          <cell r="G68">
            <v>8.8060000000000009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1.4000000000000001</v>
          </cell>
          <cell r="R68">
            <v>8.8060000000000009</v>
          </cell>
          <cell r="S68">
            <v>1</v>
          </cell>
        </row>
        <row r="69">
          <cell r="B69" t="str">
            <v>01.03.07</v>
          </cell>
          <cell r="C69" t="str">
            <v xml:space="preserve">      ENCOFRADO Y DESENCOFRADO</v>
          </cell>
          <cell r="D69" t="str">
            <v>m2</v>
          </cell>
          <cell r="E69">
            <v>12.280000000000001</v>
          </cell>
          <cell r="F69">
            <v>42.88</v>
          </cell>
          <cell r="G69">
            <v>526.56640000000004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12.280000000000001</v>
          </cell>
          <cell r="R69">
            <v>526.56640000000004</v>
          </cell>
          <cell r="S69">
            <v>1</v>
          </cell>
        </row>
        <row r="70">
          <cell r="B70" t="str">
            <v>01.03.08</v>
          </cell>
          <cell r="C70" t="str">
            <v xml:space="preserve">      ACERO DE REFUERZO FY= 4200 KG/CM2.</v>
          </cell>
          <cell r="D70" t="str">
            <v>kg</v>
          </cell>
          <cell r="E70">
            <v>47.53</v>
          </cell>
          <cell r="F70">
            <v>6.38</v>
          </cell>
          <cell r="G70">
            <v>303.2414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47.53</v>
          </cell>
          <cell r="R70">
            <v>303.2414</v>
          </cell>
          <cell r="S70">
            <v>1</v>
          </cell>
        </row>
        <row r="71">
          <cell r="B71" t="str">
            <v>01.03.09</v>
          </cell>
          <cell r="C71" t="str">
            <v xml:space="preserve">      SOLADO PARA CIMENTACIONES H= 2"</v>
          </cell>
          <cell r="D71" t="str">
            <v>m2</v>
          </cell>
          <cell r="E71">
            <v>2.64</v>
          </cell>
          <cell r="F71">
            <v>33.39</v>
          </cell>
          <cell r="G71">
            <v>88.149600000000007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2.64</v>
          </cell>
          <cell r="R71">
            <v>88.149600000000007</v>
          </cell>
          <cell r="S71">
            <v>1</v>
          </cell>
        </row>
        <row r="72">
          <cell r="B72" t="str">
            <v>01.03.10</v>
          </cell>
          <cell r="C72" t="str">
            <v xml:space="preserve">      CONCRETO F'C= 175 KG/CM2.</v>
          </cell>
          <cell r="D72" t="str">
            <v>m3</v>
          </cell>
          <cell r="E72">
            <v>1.37</v>
          </cell>
          <cell r="F72">
            <v>570.78</v>
          </cell>
          <cell r="G72">
            <v>781.96860000000004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1.37</v>
          </cell>
          <cell r="R72">
            <v>781.96860000000004</v>
          </cell>
          <cell r="S72">
            <v>1</v>
          </cell>
        </row>
        <row r="73">
          <cell r="B73" t="str">
            <v>01.03.11</v>
          </cell>
          <cell r="C73" t="str">
            <v xml:space="preserve">      TARRAJEO CON IMPERMEABILIZANTE, MEZCLA 1:2 E=  1.5CM.</v>
          </cell>
          <cell r="D73" t="str">
            <v>m2</v>
          </cell>
          <cell r="E73">
            <v>4.68</v>
          </cell>
          <cell r="F73">
            <v>34.32</v>
          </cell>
          <cell r="G73">
            <v>160.61759999999998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4.68</v>
          </cell>
          <cell r="R73">
            <v>160.61759999999998</v>
          </cell>
          <cell r="S73">
            <v>1</v>
          </cell>
        </row>
        <row r="74">
          <cell r="B74" t="str">
            <v>01.03.12</v>
          </cell>
          <cell r="C74" t="str">
            <v xml:space="preserve">      TARRAJEO EN EXTERIORES, MORTERO 1:5</v>
          </cell>
          <cell r="D74" t="str">
            <v>m2</v>
          </cell>
          <cell r="E74">
            <v>7.6000000000000005</v>
          </cell>
          <cell r="F74">
            <v>23.45</v>
          </cell>
          <cell r="G74">
            <v>178.22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7.6000000000000005</v>
          </cell>
          <cell r="R74">
            <v>178.22</v>
          </cell>
          <cell r="S74">
            <v>1</v>
          </cell>
        </row>
        <row r="75">
          <cell r="B75" t="str">
            <v>01.03.13</v>
          </cell>
          <cell r="C75" t="str">
            <v xml:space="preserve">      TAPA METALICA 0.60 X 0.60M. X 1/8"</v>
          </cell>
          <cell r="D75" t="str">
            <v>und</v>
          </cell>
          <cell r="E75">
            <v>2</v>
          </cell>
          <cell r="F75">
            <v>141.59</v>
          </cell>
          <cell r="G75">
            <v>283.18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2</v>
          </cell>
          <cell r="R75">
            <v>283.18</v>
          </cell>
          <cell r="S75">
            <v>1</v>
          </cell>
        </row>
        <row r="76">
          <cell r="B76" t="str">
            <v>01.03.14</v>
          </cell>
          <cell r="C76" t="str">
            <v xml:space="preserve">      ACCESORIOS CAPTACION D=1", COSTO GLOBAL</v>
          </cell>
          <cell r="D76" t="str">
            <v>GLB</v>
          </cell>
          <cell r="E76">
            <v>2</v>
          </cell>
          <cell r="F76">
            <v>129.1</v>
          </cell>
          <cell r="G76">
            <v>258.2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2</v>
          </cell>
          <cell r="R76">
            <v>258.2</v>
          </cell>
          <cell r="S76">
            <v>1</v>
          </cell>
        </row>
        <row r="77">
          <cell r="B77" t="str">
            <v>01.03.15</v>
          </cell>
          <cell r="C77" t="str">
            <v xml:space="preserve">      ACCESORIOS CAJA DE REUNION INGRESO 1"</v>
          </cell>
          <cell r="D77" t="str">
            <v>GLB</v>
          </cell>
          <cell r="E77">
            <v>4</v>
          </cell>
          <cell r="F77">
            <v>90.100000000000009</v>
          </cell>
          <cell r="G77">
            <v>360.40000000000003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4</v>
          </cell>
          <cell r="R77">
            <v>360.40000000000003</v>
          </cell>
          <cell r="S77">
            <v>1</v>
          </cell>
        </row>
        <row r="78">
          <cell r="B78" t="str">
            <v>01.03.16</v>
          </cell>
          <cell r="C78" t="str">
            <v xml:space="preserve">      COLOCACION DE ACCESORIOS PROMEDIO</v>
          </cell>
          <cell r="D78" t="str">
            <v>und</v>
          </cell>
          <cell r="E78">
            <v>36</v>
          </cell>
          <cell r="F78">
            <v>3.5700000000000003</v>
          </cell>
          <cell r="G78">
            <v>128.52000000000001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36</v>
          </cell>
          <cell r="R78">
            <v>128.52000000000001</v>
          </cell>
          <cell r="S78">
            <v>1</v>
          </cell>
        </row>
        <row r="79">
          <cell r="B79" t="str">
            <v>01.03.17</v>
          </cell>
          <cell r="C79" t="str">
            <v xml:space="preserve">      CODO DE VENTILACIOMN</v>
          </cell>
          <cell r="D79" t="str">
            <v>und</v>
          </cell>
          <cell r="E79">
            <v>2</v>
          </cell>
          <cell r="F79">
            <v>67.989999999999995</v>
          </cell>
          <cell r="G79">
            <v>135.97999999999999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2</v>
          </cell>
          <cell r="R79">
            <v>135.97999999999999</v>
          </cell>
          <cell r="S79">
            <v>1</v>
          </cell>
        </row>
        <row r="80">
          <cell r="B80" t="str">
            <v>01.03.18</v>
          </cell>
          <cell r="C80" t="str">
            <v xml:space="preserve">      PRUEBA HIDRAULICA Y DESINFECCION EN CAPTACION</v>
          </cell>
          <cell r="D80" t="str">
            <v>GLB</v>
          </cell>
          <cell r="E80">
            <v>2</v>
          </cell>
          <cell r="F80">
            <v>222.84</v>
          </cell>
          <cell r="G80">
            <v>445.68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2</v>
          </cell>
          <cell r="R80">
            <v>445.68</v>
          </cell>
          <cell r="S80">
            <v>1</v>
          </cell>
        </row>
        <row r="81">
          <cell r="B81" t="str">
            <v>01.03.19</v>
          </cell>
          <cell r="C81" t="str">
            <v xml:space="preserve">      CURADO DE CONCRETO</v>
          </cell>
          <cell r="D81" t="str">
            <v>m2</v>
          </cell>
          <cell r="E81">
            <v>12.280000000000001</v>
          </cell>
          <cell r="F81">
            <v>1.1500000000000001</v>
          </cell>
          <cell r="G81">
            <v>14.122000000000003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12.280000000000001</v>
          </cell>
          <cell r="R81">
            <v>14.122000000000003</v>
          </cell>
          <cell r="S81">
            <v>1</v>
          </cell>
        </row>
        <row r="82">
          <cell r="B82" t="str">
            <v>01.03.20</v>
          </cell>
          <cell r="C82" t="str">
            <v xml:space="preserve">      PINTURA EN EXTERIORES AL LATEX</v>
          </cell>
          <cell r="D82" t="str">
            <v>m2</v>
          </cell>
          <cell r="E82">
            <v>7.6000000000000005</v>
          </cell>
          <cell r="F82">
            <v>16.75</v>
          </cell>
          <cell r="G82">
            <v>127.30000000000001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7.6000000000000005</v>
          </cell>
          <cell r="R82">
            <v>127.30000000000001</v>
          </cell>
          <cell r="S82">
            <v>1</v>
          </cell>
        </row>
        <row r="83">
          <cell r="B83" t="str">
            <v>01.04</v>
          </cell>
          <cell r="C83" t="str">
            <v>LINEA DE CONDUCCION (9,965.0 ML.)</v>
          </cell>
          <cell r="G83">
            <v>286255.13000000006</v>
          </cell>
          <cell r="I83">
            <v>203040.15</v>
          </cell>
          <cell r="L83">
            <v>0</v>
          </cell>
          <cell r="O83">
            <v>203040.15</v>
          </cell>
        </row>
        <row r="84">
          <cell r="B84" t="str">
            <v>01.04.01</v>
          </cell>
          <cell r="C84" t="str">
            <v xml:space="preserve">      TRAZO, NIVELACION Y REPLANTEO DE ZANJAS</v>
          </cell>
          <cell r="D84" t="str">
            <v>m</v>
          </cell>
          <cell r="E84">
            <v>9965</v>
          </cell>
          <cell r="F84">
            <v>1.02</v>
          </cell>
          <cell r="G84">
            <v>10164.299999999999</v>
          </cell>
          <cell r="H84">
            <v>9965</v>
          </cell>
          <cell r="I84">
            <v>10164.299999999999</v>
          </cell>
          <cell r="J84">
            <v>1</v>
          </cell>
          <cell r="K84">
            <v>0</v>
          </cell>
          <cell r="L84">
            <v>0</v>
          </cell>
          <cell r="M84">
            <v>0</v>
          </cell>
          <cell r="N84">
            <v>9965</v>
          </cell>
          <cell r="O84">
            <v>10164.299999999999</v>
          </cell>
          <cell r="P84">
            <v>1</v>
          </cell>
          <cell r="Q84">
            <v>0</v>
          </cell>
          <cell r="R84">
            <v>0</v>
          </cell>
          <cell r="S84">
            <v>0</v>
          </cell>
        </row>
        <row r="85">
          <cell r="B85" t="str">
            <v>01.04.02</v>
          </cell>
          <cell r="C85" t="str">
            <v xml:space="preserve">      EXCAVACION MANUAL  EN TIERRA COMPACTA</v>
          </cell>
          <cell r="D85" t="str">
            <v>ML</v>
          </cell>
          <cell r="E85">
            <v>4765</v>
          </cell>
          <cell r="F85">
            <v>13.49</v>
          </cell>
          <cell r="G85">
            <v>64279.85</v>
          </cell>
          <cell r="H85">
            <v>4765</v>
          </cell>
          <cell r="I85">
            <v>64279.85</v>
          </cell>
          <cell r="J85">
            <v>1</v>
          </cell>
          <cell r="K85">
            <v>0</v>
          </cell>
          <cell r="L85">
            <v>0</v>
          </cell>
          <cell r="M85">
            <v>0</v>
          </cell>
          <cell r="N85">
            <v>4765</v>
          </cell>
          <cell r="O85">
            <v>64279.85</v>
          </cell>
          <cell r="P85">
            <v>1</v>
          </cell>
          <cell r="Q85">
            <v>0</v>
          </cell>
          <cell r="R85">
            <v>0</v>
          </cell>
          <cell r="S85">
            <v>0</v>
          </cell>
        </row>
        <row r="86">
          <cell r="B86" t="str">
            <v>01.04.03</v>
          </cell>
          <cell r="C86" t="str">
            <v xml:space="preserve">      EXCAVACION MANUAL  EN ROCA SUELTA</v>
          </cell>
          <cell r="D86" t="str">
            <v>ML</v>
          </cell>
          <cell r="E86">
            <v>5200</v>
          </cell>
          <cell r="F86">
            <v>24.73</v>
          </cell>
          <cell r="G86">
            <v>128596</v>
          </cell>
          <cell r="H86">
            <v>5200</v>
          </cell>
          <cell r="I86">
            <v>128596</v>
          </cell>
          <cell r="J86">
            <v>1</v>
          </cell>
          <cell r="K86">
            <v>0</v>
          </cell>
          <cell r="L86">
            <v>0</v>
          </cell>
          <cell r="M86">
            <v>0</v>
          </cell>
          <cell r="N86">
            <v>5200</v>
          </cell>
          <cell r="O86">
            <v>128596</v>
          </cell>
          <cell r="P86">
            <v>1</v>
          </cell>
          <cell r="Q86">
            <v>0</v>
          </cell>
          <cell r="R86">
            <v>0</v>
          </cell>
          <cell r="S86">
            <v>0</v>
          </cell>
        </row>
        <row r="87">
          <cell r="B87" t="str">
            <v>01.04.04</v>
          </cell>
          <cell r="C87" t="str">
            <v xml:space="preserve">      REFINE, NIVELACION Y FONDOS PARA TUBERIA HASTA 6"</v>
          </cell>
          <cell r="D87" t="str">
            <v>m</v>
          </cell>
          <cell r="E87">
            <v>9965</v>
          </cell>
          <cell r="F87">
            <v>1.26</v>
          </cell>
          <cell r="G87">
            <v>12555.9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9965</v>
          </cell>
          <cell r="R87">
            <v>12555.9</v>
          </cell>
          <cell r="S87">
            <v>1</v>
          </cell>
        </row>
        <row r="88">
          <cell r="B88" t="str">
            <v>01.04.05</v>
          </cell>
          <cell r="C88" t="str">
            <v xml:space="preserve">      CAMA DE APOYO PARA TUBERIAS MENORES DE 6"</v>
          </cell>
          <cell r="D88" t="str">
            <v>m</v>
          </cell>
          <cell r="E88">
            <v>9965</v>
          </cell>
          <cell r="F88">
            <v>1.58</v>
          </cell>
          <cell r="G88">
            <v>15744.7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9965</v>
          </cell>
          <cell r="R88">
            <v>15744.7</v>
          </cell>
          <cell r="S88">
            <v>1</v>
          </cell>
        </row>
        <row r="89">
          <cell r="B89" t="str">
            <v>01.04.06</v>
          </cell>
          <cell r="C89" t="str">
            <v xml:space="preserve">      TUBERIA PVC SAP 1" C-.10</v>
          </cell>
          <cell r="D89" t="str">
            <v>m</v>
          </cell>
          <cell r="E89">
            <v>9965</v>
          </cell>
          <cell r="F89">
            <v>4.01</v>
          </cell>
          <cell r="G89">
            <v>39959.65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9965</v>
          </cell>
          <cell r="R89">
            <v>39959.65</v>
          </cell>
          <cell r="S89">
            <v>1</v>
          </cell>
        </row>
        <row r="90">
          <cell r="B90" t="str">
            <v>01.04.07</v>
          </cell>
          <cell r="C90" t="str">
            <v xml:space="preserve">      RELLENO COMPACTADO DE ZANJAS PARA TUBERIAS</v>
          </cell>
          <cell r="D90" t="str">
            <v>ML</v>
          </cell>
          <cell r="E90">
            <v>9965</v>
          </cell>
          <cell r="F90">
            <v>0.95000000000000007</v>
          </cell>
          <cell r="G90">
            <v>9466.75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9965</v>
          </cell>
          <cell r="R90">
            <v>9466.75</v>
          </cell>
          <cell r="S90">
            <v>1</v>
          </cell>
        </row>
        <row r="91">
          <cell r="B91" t="str">
            <v>01.04.08</v>
          </cell>
          <cell r="C91" t="str">
            <v xml:space="preserve">      ACCESORIOS LINEA DE CONDUCCION</v>
          </cell>
          <cell r="D91" t="str">
            <v>GLB</v>
          </cell>
          <cell r="E91">
            <v>1</v>
          </cell>
          <cell r="F91">
            <v>204.9</v>
          </cell>
          <cell r="G91">
            <v>204.9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1</v>
          </cell>
          <cell r="R91">
            <v>204.9</v>
          </cell>
          <cell r="S91">
            <v>1</v>
          </cell>
        </row>
        <row r="92">
          <cell r="B92" t="str">
            <v>01.04.09</v>
          </cell>
          <cell r="C92" t="str">
            <v xml:space="preserve">      COLOCACION DE ACCESORIOS, PROMEDIO</v>
          </cell>
          <cell r="D92" t="str">
            <v>und</v>
          </cell>
          <cell r="E92">
            <v>74</v>
          </cell>
          <cell r="F92">
            <v>4.42</v>
          </cell>
          <cell r="G92">
            <v>327.08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74</v>
          </cell>
          <cell r="R92">
            <v>327.08</v>
          </cell>
          <cell r="S92">
            <v>1</v>
          </cell>
        </row>
        <row r="93">
          <cell r="B93" t="str">
            <v>01.04.10</v>
          </cell>
          <cell r="C93" t="str">
            <v xml:space="preserve">      PRUEBA HIDRAULICA Y DESINFECCION EN REDES DE AGUA</v>
          </cell>
          <cell r="D93" t="str">
            <v>m</v>
          </cell>
          <cell r="E93">
            <v>11800</v>
          </cell>
          <cell r="F93">
            <v>0.42</v>
          </cell>
          <cell r="G93">
            <v>4956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11800</v>
          </cell>
          <cell r="R93">
            <v>4956</v>
          </cell>
          <cell r="S93">
            <v>1</v>
          </cell>
        </row>
        <row r="94">
          <cell r="B94" t="str">
            <v>01.05</v>
          </cell>
          <cell r="C94" t="str">
            <v>CAMARA DISTRIBUIDORA DE CAUDALES / ADOSADOR (10 UND.)</v>
          </cell>
          <cell r="G94">
            <v>75323.865799999985</v>
          </cell>
          <cell r="I94">
            <v>0</v>
          </cell>
          <cell r="L94">
            <v>0</v>
          </cell>
          <cell r="O94">
            <v>0</v>
          </cell>
        </row>
        <row r="95">
          <cell r="B95" t="str">
            <v>01.05.01</v>
          </cell>
          <cell r="C95" t="str">
            <v xml:space="preserve">      LIMPIEZA DE TERRENO MANUAL</v>
          </cell>
          <cell r="D95" t="str">
            <v>m2</v>
          </cell>
          <cell r="E95">
            <v>52.7</v>
          </cell>
          <cell r="F95">
            <v>0.72</v>
          </cell>
          <cell r="G95">
            <v>37.944000000000003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52.7</v>
          </cell>
          <cell r="R95">
            <v>37.944000000000003</v>
          </cell>
          <cell r="S95">
            <v>1</v>
          </cell>
        </row>
        <row r="96">
          <cell r="B96" t="str">
            <v>01.05.02</v>
          </cell>
          <cell r="C96" t="str">
            <v xml:space="preserve">      TRAZO Y REPLANTEO PRELIMINAR</v>
          </cell>
          <cell r="D96" t="str">
            <v>m2</v>
          </cell>
          <cell r="E96">
            <v>52.7</v>
          </cell>
          <cell r="F96">
            <v>1.44</v>
          </cell>
          <cell r="G96">
            <v>75.888000000000005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52.7</v>
          </cell>
          <cell r="R96">
            <v>75.888000000000005</v>
          </cell>
          <cell r="S96">
            <v>1</v>
          </cell>
        </row>
        <row r="97">
          <cell r="B97" t="str">
            <v>01.05.03</v>
          </cell>
          <cell r="C97" t="str">
            <v xml:space="preserve">      EXCAVACION MANUAL</v>
          </cell>
          <cell r="D97" t="str">
            <v>m3</v>
          </cell>
          <cell r="E97">
            <v>60.61</v>
          </cell>
          <cell r="F97">
            <v>47.22</v>
          </cell>
          <cell r="G97">
            <v>2862.0041999999999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60.61</v>
          </cell>
          <cell r="R97">
            <v>2862.0041999999999</v>
          </cell>
          <cell r="S97">
            <v>1</v>
          </cell>
        </row>
        <row r="98">
          <cell r="B98" t="str">
            <v>01.05.04</v>
          </cell>
          <cell r="C98" t="str">
            <v xml:space="preserve">      REFINE, NIVELACION Y COMPACTACION</v>
          </cell>
          <cell r="D98" t="str">
            <v>m</v>
          </cell>
          <cell r="E98">
            <v>52.7</v>
          </cell>
          <cell r="F98">
            <v>3.15</v>
          </cell>
          <cell r="G98">
            <v>166.005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52.7</v>
          </cell>
          <cell r="R98">
            <v>166.005</v>
          </cell>
          <cell r="S98">
            <v>1</v>
          </cell>
        </row>
        <row r="99">
          <cell r="B99" t="str">
            <v>01.05.05</v>
          </cell>
          <cell r="C99" t="str">
            <v xml:space="preserve">      RELLENO CON MATERIAL PROPIO</v>
          </cell>
          <cell r="D99" t="str">
            <v>m3</v>
          </cell>
          <cell r="E99">
            <v>17.11</v>
          </cell>
          <cell r="F99">
            <v>19.260000000000002</v>
          </cell>
          <cell r="G99">
            <v>329.53860000000003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17.11</v>
          </cell>
          <cell r="R99">
            <v>329.53860000000003</v>
          </cell>
          <cell r="S99">
            <v>1</v>
          </cell>
        </row>
        <row r="100">
          <cell r="B100" t="str">
            <v>01.05.06</v>
          </cell>
          <cell r="C100" t="str">
            <v xml:space="preserve">      ACARREO DE MATERIAL EXCEDENTE</v>
          </cell>
          <cell r="D100" t="str">
            <v>m3</v>
          </cell>
          <cell r="E100">
            <v>52.2</v>
          </cell>
          <cell r="F100">
            <v>6.29</v>
          </cell>
          <cell r="G100">
            <v>328.33800000000002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52.2</v>
          </cell>
          <cell r="R100">
            <v>328.33800000000002</v>
          </cell>
          <cell r="S100">
            <v>1</v>
          </cell>
        </row>
        <row r="101">
          <cell r="B101" t="str">
            <v>01.05.07</v>
          </cell>
          <cell r="C101" t="str">
            <v xml:space="preserve">      ENCOFRADO Y DESENCOFRADO</v>
          </cell>
          <cell r="D101" t="str">
            <v>m2</v>
          </cell>
          <cell r="E101">
            <v>239.15</v>
          </cell>
          <cell r="F101">
            <v>42.88</v>
          </cell>
          <cell r="G101">
            <v>10254.752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239.15</v>
          </cell>
          <cell r="R101">
            <v>10254.752</v>
          </cell>
          <cell r="S101">
            <v>1</v>
          </cell>
        </row>
        <row r="102">
          <cell r="B102" t="str">
            <v>01.05.08</v>
          </cell>
          <cell r="C102" t="str">
            <v xml:space="preserve">      ACERO DE REFUERZO FY= 4200 KG/CM2.</v>
          </cell>
          <cell r="D102" t="str">
            <v>kg</v>
          </cell>
          <cell r="E102">
            <v>1092.93</v>
          </cell>
          <cell r="F102">
            <v>6.38</v>
          </cell>
          <cell r="G102">
            <v>6972.8933999999999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1092.93</v>
          </cell>
          <cell r="R102">
            <v>6972.8933999999999</v>
          </cell>
          <cell r="S102">
            <v>1</v>
          </cell>
        </row>
        <row r="103">
          <cell r="B103" t="str">
            <v>01.05.09</v>
          </cell>
          <cell r="C103" t="str">
            <v xml:space="preserve">      SOLADO PARA CIMENTACIONES H= 2"</v>
          </cell>
          <cell r="D103" t="str">
            <v>m2</v>
          </cell>
          <cell r="E103">
            <v>33</v>
          </cell>
          <cell r="F103">
            <v>33.39</v>
          </cell>
          <cell r="G103">
            <v>1101.8700000000001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33</v>
          </cell>
          <cell r="R103">
            <v>1101.8700000000001</v>
          </cell>
          <cell r="S103">
            <v>1</v>
          </cell>
        </row>
        <row r="104">
          <cell r="B104" t="str">
            <v>01.05.10</v>
          </cell>
          <cell r="C104" t="str">
            <v xml:space="preserve">      CONCRETO F'C= 175 KG/CM2.</v>
          </cell>
          <cell r="D104" t="str">
            <v>m3</v>
          </cell>
          <cell r="E104">
            <v>51.77</v>
          </cell>
          <cell r="F104">
            <v>570.78</v>
          </cell>
          <cell r="G104">
            <v>29549.280600000002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51.77</v>
          </cell>
          <cell r="R104">
            <v>29549.280600000002</v>
          </cell>
          <cell r="S104">
            <v>1</v>
          </cell>
        </row>
        <row r="105">
          <cell r="B105" t="str">
            <v>01.05.11</v>
          </cell>
          <cell r="C105" t="str">
            <v xml:space="preserve">      TARRAJEO CON IMPERMEABILIZANTE, MEZCLA 1:2 E=  1.5CM.</v>
          </cell>
          <cell r="D105" t="str">
            <v>m2</v>
          </cell>
          <cell r="E105">
            <v>92.600000000000009</v>
          </cell>
          <cell r="F105">
            <v>34.32</v>
          </cell>
          <cell r="G105">
            <v>3178.0320000000002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92.600000000000009</v>
          </cell>
          <cell r="R105">
            <v>3178.0320000000002</v>
          </cell>
          <cell r="S105">
            <v>1</v>
          </cell>
        </row>
        <row r="106">
          <cell r="B106" t="str">
            <v>01.05.12</v>
          </cell>
          <cell r="C106" t="str">
            <v xml:space="preserve">      TARRAJEO EN EXTERIORES, MORTERO 1:5</v>
          </cell>
          <cell r="D106" t="str">
            <v>m2</v>
          </cell>
          <cell r="E106">
            <v>101.8</v>
          </cell>
          <cell r="F106">
            <v>23.45</v>
          </cell>
          <cell r="G106">
            <v>2387.21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101.8</v>
          </cell>
          <cell r="R106">
            <v>2387.21</v>
          </cell>
          <cell r="S106">
            <v>1</v>
          </cell>
        </row>
        <row r="107">
          <cell r="B107" t="str">
            <v>01.05.13</v>
          </cell>
          <cell r="C107" t="str">
            <v xml:space="preserve">      TAPA METALICA 0.60 X 0.60M. X 1/8"</v>
          </cell>
          <cell r="D107" t="str">
            <v>und</v>
          </cell>
          <cell r="E107">
            <v>40</v>
          </cell>
          <cell r="F107">
            <v>141.59</v>
          </cell>
          <cell r="G107">
            <v>5663.6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40</v>
          </cell>
          <cell r="R107">
            <v>5663.6</v>
          </cell>
          <cell r="S107">
            <v>1</v>
          </cell>
        </row>
        <row r="108">
          <cell r="B108" t="str">
            <v>01.05.14</v>
          </cell>
          <cell r="C108" t="str">
            <v xml:space="preserve">      ACCESORIOS CAJA DISTRIBUIDORA DE CAUDALES, INGRESO 1 1/2"</v>
          </cell>
          <cell r="D108" t="str">
            <v>GLB</v>
          </cell>
          <cell r="E108">
            <v>2</v>
          </cell>
          <cell r="F108">
            <v>110.4</v>
          </cell>
          <cell r="G108">
            <v>220.8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2</v>
          </cell>
          <cell r="R108">
            <v>220.8</v>
          </cell>
          <cell r="S108">
            <v>1</v>
          </cell>
        </row>
        <row r="109">
          <cell r="B109" t="str">
            <v>01.05.15</v>
          </cell>
          <cell r="C109" t="str">
            <v xml:space="preserve">      ACCESORIOS CAJA DISTRIBUIDORA DE CAUDALES, INGRESO 1"</v>
          </cell>
          <cell r="D109" t="str">
            <v>GLB</v>
          </cell>
          <cell r="E109">
            <v>8</v>
          </cell>
          <cell r="F109">
            <v>89.5</v>
          </cell>
          <cell r="G109">
            <v>716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8</v>
          </cell>
          <cell r="R109">
            <v>716</v>
          </cell>
          <cell r="S109">
            <v>1</v>
          </cell>
        </row>
        <row r="110">
          <cell r="B110" t="str">
            <v>01.05.16</v>
          </cell>
          <cell r="C110" t="str">
            <v xml:space="preserve">      ACCESORIOS CAJA DISTRIBUIDORA DE CAUDALES, SALIDA 1 1/2"</v>
          </cell>
          <cell r="D110" t="str">
            <v>GLB</v>
          </cell>
          <cell r="E110">
            <v>2</v>
          </cell>
          <cell r="F110">
            <v>310.8</v>
          </cell>
          <cell r="G110">
            <v>621.6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2</v>
          </cell>
          <cell r="R110">
            <v>621.6</v>
          </cell>
          <cell r="S110">
            <v>1</v>
          </cell>
        </row>
        <row r="111">
          <cell r="B111" t="str">
            <v>01.05.17</v>
          </cell>
          <cell r="C111" t="str">
            <v xml:space="preserve">      ACCESORIOS CAJA DISTRIBUIDORA DE CAUDALES, SALIDA 1"</v>
          </cell>
          <cell r="D111" t="str">
            <v>GLB</v>
          </cell>
          <cell r="E111">
            <v>15</v>
          </cell>
          <cell r="F111">
            <v>153.6</v>
          </cell>
          <cell r="G111">
            <v>2304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15</v>
          </cell>
          <cell r="R111">
            <v>2304</v>
          </cell>
          <cell r="S111">
            <v>1</v>
          </cell>
        </row>
        <row r="112">
          <cell r="B112" t="str">
            <v>01.05.18</v>
          </cell>
          <cell r="C112" t="str">
            <v xml:space="preserve">      ACCESORIOS CAJA DISTRIBUIDORA DE CAUDALES, SALIDA 3/4"</v>
          </cell>
          <cell r="D112" t="str">
            <v>GLB</v>
          </cell>
          <cell r="E112">
            <v>2</v>
          </cell>
          <cell r="F112">
            <v>134.5</v>
          </cell>
          <cell r="G112">
            <v>269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2</v>
          </cell>
          <cell r="R112">
            <v>269</v>
          </cell>
          <cell r="S112">
            <v>1</v>
          </cell>
        </row>
        <row r="113">
          <cell r="B113" t="str">
            <v>01.05.19</v>
          </cell>
          <cell r="C113" t="str">
            <v xml:space="preserve">      ACCESORIOS CAJA DISTRIBUIDORA DE CAUDALES, REBOSE 2"</v>
          </cell>
          <cell r="D113" t="str">
            <v>GLB</v>
          </cell>
          <cell r="E113">
            <v>10</v>
          </cell>
          <cell r="F113">
            <v>132.4</v>
          </cell>
          <cell r="G113">
            <v>1324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10</v>
          </cell>
          <cell r="R113">
            <v>1324</v>
          </cell>
          <cell r="S113">
            <v>1</v>
          </cell>
        </row>
        <row r="114">
          <cell r="B114" t="str">
            <v>01.05.20</v>
          </cell>
          <cell r="C114" t="str">
            <v xml:space="preserve">      ACCESORIOS  DE DRENAJE EN CAJA DE VALVULAS</v>
          </cell>
          <cell r="D114" t="str">
            <v>GLB</v>
          </cell>
          <cell r="E114">
            <v>20</v>
          </cell>
          <cell r="F114">
            <v>47.300000000000004</v>
          </cell>
          <cell r="G114">
            <v>946.00000000000011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20</v>
          </cell>
          <cell r="R114">
            <v>946.00000000000011</v>
          </cell>
          <cell r="S114">
            <v>1</v>
          </cell>
        </row>
        <row r="115">
          <cell r="B115" t="str">
            <v>01.05.21</v>
          </cell>
          <cell r="C115" t="str">
            <v xml:space="preserve">      COLOCACION DE ACCESORIOS PROMEDIO</v>
          </cell>
          <cell r="D115" t="str">
            <v>und</v>
          </cell>
          <cell r="E115">
            <v>330</v>
          </cell>
          <cell r="F115">
            <v>3.5700000000000003</v>
          </cell>
          <cell r="G115">
            <v>1178.1000000000001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330</v>
          </cell>
          <cell r="R115">
            <v>1178.1000000000001</v>
          </cell>
          <cell r="S115">
            <v>1</v>
          </cell>
        </row>
        <row r="116">
          <cell r="B116" t="str">
            <v>01.05.22</v>
          </cell>
          <cell r="C116" t="str">
            <v xml:space="preserve">      CODO DE VENTILACION</v>
          </cell>
          <cell r="D116" t="str">
            <v>und</v>
          </cell>
          <cell r="E116">
            <v>10</v>
          </cell>
          <cell r="F116">
            <v>67.989999999999995</v>
          </cell>
          <cell r="G116">
            <v>679.9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10</v>
          </cell>
          <cell r="R116">
            <v>679.9</v>
          </cell>
          <cell r="S116">
            <v>1</v>
          </cell>
        </row>
        <row r="117">
          <cell r="B117" t="str">
            <v>01.05.23</v>
          </cell>
          <cell r="C117" t="str">
            <v xml:space="preserve">      PRUEBA HIDRAULICA Y DESINFECCION EN CAPTACION</v>
          </cell>
          <cell r="D117" t="str">
            <v>GLB</v>
          </cell>
          <cell r="E117">
            <v>10</v>
          </cell>
          <cell r="F117">
            <v>222.84</v>
          </cell>
          <cell r="G117">
            <v>2228.4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10</v>
          </cell>
          <cell r="R117">
            <v>2228.4</v>
          </cell>
          <cell r="S117">
            <v>1</v>
          </cell>
        </row>
        <row r="118">
          <cell r="B118" t="str">
            <v>01.05.24</v>
          </cell>
          <cell r="C118" t="str">
            <v xml:space="preserve">      CURADO DE CONCRETO</v>
          </cell>
          <cell r="D118" t="str">
            <v>m2</v>
          </cell>
          <cell r="E118">
            <v>194.4</v>
          </cell>
          <cell r="F118">
            <v>1.1500000000000001</v>
          </cell>
          <cell r="G118">
            <v>223.56000000000003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194.4</v>
          </cell>
          <cell r="R118">
            <v>223.56000000000003</v>
          </cell>
          <cell r="S118">
            <v>1</v>
          </cell>
        </row>
        <row r="119">
          <cell r="B119" t="str">
            <v>01.05.25</v>
          </cell>
          <cell r="C119" t="str">
            <v xml:space="preserve">      PINTURA EN EXTERIORES AL LATEX</v>
          </cell>
          <cell r="D119" t="str">
            <v>m2</v>
          </cell>
          <cell r="E119">
            <v>101.8</v>
          </cell>
          <cell r="F119">
            <v>16.75</v>
          </cell>
          <cell r="G119">
            <v>1705.1499999999999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101.8</v>
          </cell>
          <cell r="R119">
            <v>1705.1499999999999</v>
          </cell>
          <cell r="S119">
            <v>1</v>
          </cell>
        </row>
        <row r="120">
          <cell r="B120" t="str">
            <v>01.05.26</v>
          </cell>
          <cell r="C120" t="str">
            <v>TRABAJOS DE PROTECCION EN CAPTACION DE MANANTE2</v>
          </cell>
          <cell r="G120">
            <v>9812.2983999999997</v>
          </cell>
          <cell r="I120">
            <v>0</v>
          </cell>
          <cell r="L120">
            <v>0</v>
          </cell>
          <cell r="O120">
            <v>0</v>
          </cell>
        </row>
        <row r="121">
          <cell r="B121" t="str">
            <v>01.05.26.01</v>
          </cell>
          <cell r="C121" t="str">
            <v xml:space="preserve">         EXCAVACION DE ZANJAS CUNETAS DE CORONACION</v>
          </cell>
          <cell r="D121" t="str">
            <v>m</v>
          </cell>
          <cell r="E121">
            <v>200</v>
          </cell>
          <cell r="F121">
            <v>4.72</v>
          </cell>
          <cell r="G121">
            <v>944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200</v>
          </cell>
          <cell r="R121">
            <v>944</v>
          </cell>
          <cell r="S121">
            <v>1</v>
          </cell>
        </row>
        <row r="122">
          <cell r="B122" t="str">
            <v>01.05.26.02</v>
          </cell>
          <cell r="C122" t="str">
            <v xml:space="preserve">         EXCAVACION MANUAL</v>
          </cell>
          <cell r="D122" t="str">
            <v>m3</v>
          </cell>
          <cell r="E122">
            <v>10.08</v>
          </cell>
          <cell r="F122">
            <v>47.22</v>
          </cell>
          <cell r="G122">
            <v>475.9776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10.08</v>
          </cell>
          <cell r="R122">
            <v>475.9776</v>
          </cell>
          <cell r="S122">
            <v>1</v>
          </cell>
        </row>
        <row r="123">
          <cell r="B123" t="str">
            <v>01.05.26.03</v>
          </cell>
          <cell r="C123" t="str">
            <v xml:space="preserve">         CONCRETO F'C=140 KG/CM2 +30% P.M.</v>
          </cell>
          <cell r="D123" t="str">
            <v>m3</v>
          </cell>
          <cell r="E123">
            <v>10.08</v>
          </cell>
          <cell r="F123">
            <v>442.76</v>
          </cell>
          <cell r="G123">
            <v>4463.0208000000002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10.08</v>
          </cell>
          <cell r="R123">
            <v>4463.0208000000002</v>
          </cell>
          <cell r="S123">
            <v>1</v>
          </cell>
        </row>
        <row r="124">
          <cell r="B124" t="str">
            <v>01.05.26.04</v>
          </cell>
          <cell r="C124" t="str">
            <v xml:space="preserve">         CERCO CON ALAMBRE DE PUAS</v>
          </cell>
          <cell r="D124" t="str">
            <v>m</v>
          </cell>
          <cell r="E124">
            <v>160</v>
          </cell>
          <cell r="F124">
            <v>22.48</v>
          </cell>
          <cell r="G124">
            <v>3596.8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160</v>
          </cell>
          <cell r="R124">
            <v>3596.8</v>
          </cell>
          <cell r="S124">
            <v>1</v>
          </cell>
        </row>
        <row r="125">
          <cell r="B125" t="str">
            <v>01.05.26.05</v>
          </cell>
          <cell r="C125" t="str">
            <v xml:space="preserve">         PUERTA DE MADERA CON CALAMINA GALV. 2.00X0.83M</v>
          </cell>
          <cell r="D125" t="str">
            <v>und</v>
          </cell>
          <cell r="E125">
            <v>10</v>
          </cell>
          <cell r="F125">
            <v>33.25</v>
          </cell>
          <cell r="G125">
            <v>332.5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10</v>
          </cell>
          <cell r="R125">
            <v>332.5</v>
          </cell>
          <cell r="S125">
            <v>1</v>
          </cell>
        </row>
        <row r="126">
          <cell r="B126" t="str">
            <v>01.06</v>
          </cell>
          <cell r="C126" t="str">
            <v>CAMARA ROMPE PRESION T-6 (05 UND.)</v>
          </cell>
          <cell r="G126">
            <v>8357.0356999999985</v>
          </cell>
          <cell r="I126">
            <v>0</v>
          </cell>
          <cell r="L126">
            <v>0</v>
          </cell>
          <cell r="O126">
            <v>0</v>
          </cell>
        </row>
        <row r="127">
          <cell r="B127" t="str">
            <v>01.06.01</v>
          </cell>
          <cell r="C127" t="str">
            <v xml:space="preserve">      LIMPIEZA DE TERRENO MANUAL</v>
          </cell>
          <cell r="D127" t="str">
            <v>m2</v>
          </cell>
          <cell r="E127">
            <v>6.6000000000000005</v>
          </cell>
          <cell r="F127">
            <v>0.72</v>
          </cell>
          <cell r="G127">
            <v>4.7519999999999998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6.6000000000000005</v>
          </cell>
          <cell r="R127">
            <v>4.7519999999999998</v>
          </cell>
          <cell r="S127">
            <v>1</v>
          </cell>
        </row>
        <row r="128">
          <cell r="B128" t="str">
            <v>01.06.02</v>
          </cell>
          <cell r="C128" t="str">
            <v xml:space="preserve">      TRAZO Y REPLANTEO PRELIMINAR</v>
          </cell>
          <cell r="D128" t="str">
            <v>m2</v>
          </cell>
          <cell r="E128">
            <v>6.6000000000000005</v>
          </cell>
          <cell r="F128">
            <v>1.44</v>
          </cell>
          <cell r="G128">
            <v>9.5039999999999996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6.6000000000000005</v>
          </cell>
          <cell r="R128">
            <v>9.5039999999999996</v>
          </cell>
          <cell r="S128">
            <v>1</v>
          </cell>
        </row>
        <row r="129">
          <cell r="B129" t="str">
            <v>01.06.03</v>
          </cell>
          <cell r="C129" t="str">
            <v xml:space="preserve">      EXCAVACION MANUAL</v>
          </cell>
          <cell r="D129" t="str">
            <v>m3</v>
          </cell>
          <cell r="E129">
            <v>5.28</v>
          </cell>
          <cell r="F129">
            <v>47.22</v>
          </cell>
          <cell r="G129">
            <v>249.32160000000002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5.28</v>
          </cell>
          <cell r="R129">
            <v>249.32160000000002</v>
          </cell>
          <cell r="S129">
            <v>1</v>
          </cell>
        </row>
        <row r="130">
          <cell r="B130" t="str">
            <v>01.06.04</v>
          </cell>
          <cell r="C130" t="str">
            <v xml:space="preserve">      REFINE, NIVELACION Y COMPACTACION</v>
          </cell>
          <cell r="D130" t="str">
            <v>m2</v>
          </cell>
          <cell r="E130">
            <v>6.6000000000000005</v>
          </cell>
          <cell r="F130">
            <v>3.15</v>
          </cell>
          <cell r="G130">
            <v>20.790000000000003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6.6000000000000005</v>
          </cell>
          <cell r="R130">
            <v>20.790000000000003</v>
          </cell>
          <cell r="S130">
            <v>1</v>
          </cell>
        </row>
        <row r="131">
          <cell r="B131" t="str">
            <v>01.06.05</v>
          </cell>
          <cell r="C131" t="str">
            <v xml:space="preserve">      RELLENO CON MATERIAL PROPIO</v>
          </cell>
          <cell r="D131" t="str">
            <v>m3</v>
          </cell>
          <cell r="E131">
            <v>2.83</v>
          </cell>
          <cell r="F131">
            <v>19.260000000000002</v>
          </cell>
          <cell r="G131">
            <v>54.505800000000008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2.83</v>
          </cell>
          <cell r="R131">
            <v>54.505800000000008</v>
          </cell>
          <cell r="S131">
            <v>1</v>
          </cell>
        </row>
        <row r="132">
          <cell r="B132" t="str">
            <v>01.06.06</v>
          </cell>
          <cell r="C132" t="str">
            <v xml:space="preserve">      ACARREO DE MATERIAL EXCEDENTE</v>
          </cell>
          <cell r="D132" t="str">
            <v>m3</v>
          </cell>
          <cell r="E132">
            <v>3.5100000000000002</v>
          </cell>
          <cell r="F132">
            <v>6.29</v>
          </cell>
          <cell r="G132">
            <v>22.077900000000003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3.5100000000000002</v>
          </cell>
          <cell r="R132">
            <v>22.077900000000003</v>
          </cell>
          <cell r="S132">
            <v>1</v>
          </cell>
        </row>
        <row r="133">
          <cell r="B133" t="str">
            <v>01.06.07</v>
          </cell>
          <cell r="C133" t="str">
            <v xml:space="preserve">      ENCOFRADO Y DESENCOFRADO</v>
          </cell>
          <cell r="D133" t="str">
            <v>m2</v>
          </cell>
          <cell r="E133">
            <v>30.7</v>
          </cell>
          <cell r="F133">
            <v>42.88</v>
          </cell>
          <cell r="G133">
            <v>1316.4159999999999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30.7</v>
          </cell>
          <cell r="R133">
            <v>1316.4159999999999</v>
          </cell>
          <cell r="S133">
            <v>1</v>
          </cell>
        </row>
        <row r="134">
          <cell r="B134" t="str">
            <v>01.06.08</v>
          </cell>
          <cell r="C134" t="str">
            <v xml:space="preserve">      ACERO DE REFUERZO FY= 4200 KG/CM2.</v>
          </cell>
          <cell r="D134" t="str">
            <v>kg</v>
          </cell>
          <cell r="E134">
            <v>118.81</v>
          </cell>
          <cell r="F134">
            <v>6.38</v>
          </cell>
          <cell r="G134">
            <v>758.00779999999997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118.81</v>
          </cell>
          <cell r="R134">
            <v>758.00779999999997</v>
          </cell>
          <cell r="S134">
            <v>1</v>
          </cell>
        </row>
        <row r="135">
          <cell r="B135" t="str">
            <v>01.06.09</v>
          </cell>
          <cell r="C135" t="str">
            <v xml:space="preserve">      SOLADO PARA CIMENTACIONES H= 2"</v>
          </cell>
          <cell r="D135" t="str">
            <v>m2</v>
          </cell>
          <cell r="E135">
            <v>6.6000000000000005</v>
          </cell>
          <cell r="F135">
            <v>33.39</v>
          </cell>
          <cell r="G135">
            <v>220.37400000000002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6.6000000000000005</v>
          </cell>
          <cell r="R135">
            <v>220.37400000000002</v>
          </cell>
          <cell r="S135">
            <v>1</v>
          </cell>
        </row>
        <row r="136">
          <cell r="B136" t="str">
            <v>01.06.10</v>
          </cell>
          <cell r="C136" t="str">
            <v xml:space="preserve">      CONCRETO F'C= 175 KG/CM2.</v>
          </cell>
          <cell r="D136" t="str">
            <v>m3</v>
          </cell>
          <cell r="E136">
            <v>3.42</v>
          </cell>
          <cell r="F136">
            <v>570.78</v>
          </cell>
          <cell r="G136">
            <v>1952.0675999999999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3.42</v>
          </cell>
          <cell r="R136">
            <v>1952.0675999999999</v>
          </cell>
          <cell r="S136">
            <v>1</v>
          </cell>
        </row>
        <row r="137">
          <cell r="B137" t="str">
            <v>01.06.11</v>
          </cell>
          <cell r="C137" t="str">
            <v xml:space="preserve">      TARRAJEO CON IMPERMEABILIZANTE, MEZCLA 1:2 E=  1.5CM.</v>
          </cell>
          <cell r="D137" t="str">
            <v>m2</v>
          </cell>
          <cell r="E137">
            <v>11.700000000000001</v>
          </cell>
          <cell r="F137">
            <v>34.32</v>
          </cell>
          <cell r="G137">
            <v>401.54400000000004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11.700000000000001</v>
          </cell>
          <cell r="R137">
            <v>401.54400000000004</v>
          </cell>
          <cell r="S137">
            <v>1</v>
          </cell>
        </row>
        <row r="138">
          <cell r="B138" t="str">
            <v>01.06.12</v>
          </cell>
          <cell r="C138" t="str">
            <v xml:space="preserve">      TARRAJEO EN EXTERIORES, MORTERO 1:5</v>
          </cell>
          <cell r="D138" t="str">
            <v>m2</v>
          </cell>
          <cell r="E138">
            <v>20.8</v>
          </cell>
          <cell r="F138">
            <v>23.45</v>
          </cell>
          <cell r="G138">
            <v>487.76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20.8</v>
          </cell>
          <cell r="R138">
            <v>487.76</v>
          </cell>
          <cell r="S138">
            <v>1</v>
          </cell>
        </row>
        <row r="139">
          <cell r="B139" t="str">
            <v>01.06.13</v>
          </cell>
          <cell r="C139" t="str">
            <v xml:space="preserve">      TAPA METALICA 0.60 X 0.60M. X 1/8"</v>
          </cell>
          <cell r="D139" t="str">
            <v>und</v>
          </cell>
          <cell r="E139">
            <v>5</v>
          </cell>
          <cell r="F139">
            <v>141.59</v>
          </cell>
          <cell r="G139">
            <v>707.95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5</v>
          </cell>
          <cell r="R139">
            <v>707.95</v>
          </cell>
          <cell r="S139">
            <v>1</v>
          </cell>
        </row>
        <row r="140">
          <cell r="B140" t="str">
            <v>01.06.14</v>
          </cell>
          <cell r="C140" t="str">
            <v xml:space="preserve">      ACCESORIOS CRP-06  D= 1", COSTO GLOBAL</v>
          </cell>
          <cell r="D140" t="str">
            <v>GLB</v>
          </cell>
          <cell r="E140">
            <v>5</v>
          </cell>
          <cell r="F140">
            <v>81.100000000000009</v>
          </cell>
          <cell r="G140">
            <v>405.50000000000006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5</v>
          </cell>
          <cell r="R140">
            <v>405.50000000000006</v>
          </cell>
          <cell r="S140">
            <v>1</v>
          </cell>
        </row>
        <row r="141">
          <cell r="B141" t="str">
            <v>01.06.15</v>
          </cell>
          <cell r="C141" t="str">
            <v xml:space="preserve">      COLOCACION DE ACCESORIOS PROMEDIO</v>
          </cell>
          <cell r="D141" t="str">
            <v>und</v>
          </cell>
          <cell r="E141">
            <v>50</v>
          </cell>
          <cell r="F141">
            <v>3.5700000000000003</v>
          </cell>
          <cell r="G141">
            <v>178.5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50</v>
          </cell>
          <cell r="R141">
            <v>178.5</v>
          </cell>
          <cell r="S141">
            <v>1</v>
          </cell>
        </row>
        <row r="142">
          <cell r="B142" t="str">
            <v>01.06.16</v>
          </cell>
          <cell r="C142" t="str">
            <v xml:space="preserve">      CODO DE VENTILACIOMN</v>
          </cell>
          <cell r="D142" t="str">
            <v>und</v>
          </cell>
          <cell r="E142">
            <v>1</v>
          </cell>
          <cell r="F142">
            <v>67.989999999999995</v>
          </cell>
          <cell r="G142">
            <v>67.989999999999995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1</v>
          </cell>
          <cell r="R142">
            <v>67.989999999999995</v>
          </cell>
          <cell r="S142">
            <v>1</v>
          </cell>
        </row>
        <row r="143">
          <cell r="B143" t="str">
            <v>01.06.17</v>
          </cell>
          <cell r="C143" t="str">
            <v xml:space="preserve">      PRUEBA HIDRAULICA Y DESINFECCION EN CAPTACION</v>
          </cell>
          <cell r="D143" t="str">
            <v>GLB</v>
          </cell>
          <cell r="E143">
            <v>5</v>
          </cell>
          <cell r="F143">
            <v>222.84</v>
          </cell>
          <cell r="G143">
            <v>1114.2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5</v>
          </cell>
          <cell r="R143">
            <v>1114.2</v>
          </cell>
          <cell r="S143">
            <v>1</v>
          </cell>
        </row>
        <row r="144">
          <cell r="B144" t="str">
            <v>01.06.18</v>
          </cell>
          <cell r="C144" t="str">
            <v xml:space="preserve">      CURADO DE CONCRETO</v>
          </cell>
          <cell r="D144" t="str">
            <v>m2</v>
          </cell>
          <cell r="E144">
            <v>32.5</v>
          </cell>
          <cell r="F144">
            <v>1.1500000000000001</v>
          </cell>
          <cell r="G144">
            <v>37.375000000000007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32.5</v>
          </cell>
          <cell r="R144">
            <v>37.375000000000007</v>
          </cell>
          <cell r="S144">
            <v>1</v>
          </cell>
        </row>
        <row r="145">
          <cell r="B145" t="str">
            <v>01.06.19</v>
          </cell>
          <cell r="C145" t="str">
            <v xml:space="preserve">      PINTURA EN EXTERIORES AL LATEX</v>
          </cell>
          <cell r="D145" t="str">
            <v>m2</v>
          </cell>
          <cell r="E145">
            <v>20.8</v>
          </cell>
          <cell r="F145">
            <v>16.75</v>
          </cell>
          <cell r="G145">
            <v>348.40000000000003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20.8</v>
          </cell>
          <cell r="R145">
            <v>348.40000000000003</v>
          </cell>
          <cell r="S145">
            <v>1</v>
          </cell>
        </row>
        <row r="146">
          <cell r="B146" t="str">
            <v>01.07</v>
          </cell>
          <cell r="C146" t="str">
            <v>REFACCION DE CRP T6 (03 UND)</v>
          </cell>
          <cell r="G146">
            <v>1816.7496000000001</v>
          </cell>
          <cell r="I146">
            <v>0</v>
          </cell>
          <cell r="L146">
            <v>0</v>
          </cell>
          <cell r="O146">
            <v>0</v>
          </cell>
        </row>
        <row r="147">
          <cell r="B147" t="str">
            <v>01.07.01</v>
          </cell>
          <cell r="C147" t="str">
            <v xml:space="preserve">      LIMPIEZA DE TERRENO MANUAL</v>
          </cell>
          <cell r="D147" t="str">
            <v>m2</v>
          </cell>
          <cell r="E147">
            <v>3.3000000000000003</v>
          </cell>
          <cell r="F147">
            <v>0.72</v>
          </cell>
          <cell r="G147">
            <v>2.3759999999999999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3.3000000000000003</v>
          </cell>
          <cell r="R147">
            <v>2.3759999999999999</v>
          </cell>
          <cell r="S147">
            <v>1</v>
          </cell>
        </row>
        <row r="148">
          <cell r="B148" t="str">
            <v>01.07.02</v>
          </cell>
          <cell r="C148" t="str">
            <v xml:space="preserve">      TARRAJEO CON IMPERMEABILIZANTE, MEZCLA 1:2 E=  1.5CM.</v>
          </cell>
          <cell r="D148" t="str">
            <v>m2</v>
          </cell>
          <cell r="E148">
            <v>6.48</v>
          </cell>
          <cell r="F148">
            <v>34.32</v>
          </cell>
          <cell r="G148">
            <v>222.39360000000002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6.48</v>
          </cell>
          <cell r="R148">
            <v>222.39360000000002</v>
          </cell>
          <cell r="S148">
            <v>1</v>
          </cell>
        </row>
        <row r="149">
          <cell r="B149" t="str">
            <v>01.07.03</v>
          </cell>
          <cell r="C149" t="str">
            <v xml:space="preserve">      TARRAJEO EN EXTERIORES, MORTERO 1:5</v>
          </cell>
          <cell r="D149" t="str">
            <v>m2</v>
          </cell>
          <cell r="E149">
            <v>11.88</v>
          </cell>
          <cell r="F149">
            <v>23.45</v>
          </cell>
          <cell r="G149">
            <v>278.58600000000001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11.88</v>
          </cell>
          <cell r="R149">
            <v>278.58600000000001</v>
          </cell>
          <cell r="S149">
            <v>1</v>
          </cell>
        </row>
        <row r="150">
          <cell r="B150" t="str">
            <v>01.07.04</v>
          </cell>
          <cell r="C150" t="str">
            <v xml:space="preserve">      TAPA METALICA 0.60 X 0.60M. X 1/8"</v>
          </cell>
          <cell r="D150" t="str">
            <v>und</v>
          </cell>
          <cell r="E150">
            <v>3</v>
          </cell>
          <cell r="F150">
            <v>141.59</v>
          </cell>
          <cell r="G150">
            <v>424.77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3</v>
          </cell>
          <cell r="R150">
            <v>424.77</v>
          </cell>
          <cell r="S150">
            <v>1</v>
          </cell>
        </row>
        <row r="151">
          <cell r="B151" t="str">
            <v>01.07.05</v>
          </cell>
          <cell r="C151" t="str">
            <v xml:space="preserve">      PRUEBA HIDRAULICA Y DESINFECCION EN CAPTACION</v>
          </cell>
          <cell r="D151" t="str">
            <v>GLB</v>
          </cell>
          <cell r="E151">
            <v>3</v>
          </cell>
          <cell r="F151">
            <v>222.84</v>
          </cell>
          <cell r="G151">
            <v>668.52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3</v>
          </cell>
          <cell r="R151">
            <v>668.52</v>
          </cell>
          <cell r="S151">
            <v>1</v>
          </cell>
        </row>
        <row r="152">
          <cell r="B152" t="str">
            <v>01.07.06</v>
          </cell>
          <cell r="C152" t="str">
            <v xml:space="preserve">      CURADO DE CONCRETO</v>
          </cell>
          <cell r="D152" t="str">
            <v>m2</v>
          </cell>
          <cell r="E152">
            <v>18.36</v>
          </cell>
          <cell r="F152">
            <v>1.1500000000000001</v>
          </cell>
          <cell r="G152">
            <v>21.114000000000001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18.36</v>
          </cell>
          <cell r="R152">
            <v>21.114000000000001</v>
          </cell>
          <cell r="S152">
            <v>1</v>
          </cell>
        </row>
        <row r="153">
          <cell r="B153" t="str">
            <v>01.07.07</v>
          </cell>
          <cell r="C153" t="str">
            <v xml:space="preserve">      PINTURA EN EXTERIORES AL LATEX</v>
          </cell>
          <cell r="D153" t="str">
            <v>m2</v>
          </cell>
          <cell r="E153">
            <v>11.88</v>
          </cell>
          <cell r="F153">
            <v>16.75</v>
          </cell>
          <cell r="G153">
            <v>198.99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11.88</v>
          </cell>
          <cell r="R153">
            <v>198.99</v>
          </cell>
          <cell r="S153">
            <v>1</v>
          </cell>
        </row>
        <row r="154">
          <cell r="B154" t="str">
            <v>01.08</v>
          </cell>
          <cell r="C154" t="str">
            <v>PASE AEREO L=18M Y L=24M (02 UND)</v>
          </cell>
          <cell r="G154">
            <v>15609.655400000001</v>
          </cell>
          <cell r="I154">
            <v>0</v>
          </cell>
          <cell r="L154">
            <v>0</v>
          </cell>
          <cell r="O154">
            <v>0</v>
          </cell>
        </row>
        <row r="155">
          <cell r="B155" t="str">
            <v>01.08.01</v>
          </cell>
          <cell r="C155" t="str">
            <v xml:space="preserve">      LIMPIEZA DE TERRENO MANUAL</v>
          </cell>
          <cell r="D155" t="str">
            <v>m2</v>
          </cell>
          <cell r="E155">
            <v>11.52</v>
          </cell>
          <cell r="F155">
            <v>0.72</v>
          </cell>
          <cell r="G155">
            <v>8.2943999999999996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11.52</v>
          </cell>
          <cell r="R155">
            <v>8.2943999999999996</v>
          </cell>
          <cell r="S155">
            <v>1</v>
          </cell>
        </row>
        <row r="156">
          <cell r="B156" t="str">
            <v>01.08.02</v>
          </cell>
          <cell r="C156" t="str">
            <v xml:space="preserve">      TRAZO Y REPLANTEO PRELIMINAR</v>
          </cell>
          <cell r="D156" t="str">
            <v>m2</v>
          </cell>
          <cell r="E156">
            <v>11.52</v>
          </cell>
          <cell r="F156">
            <v>1.44</v>
          </cell>
          <cell r="G156">
            <v>16.588799999999999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11.52</v>
          </cell>
          <cell r="R156">
            <v>16.588799999999999</v>
          </cell>
          <cell r="S156">
            <v>1</v>
          </cell>
        </row>
        <row r="157">
          <cell r="B157" t="str">
            <v>01.08.03</v>
          </cell>
          <cell r="C157" t="str">
            <v xml:space="preserve">      EXCAVACION MANUAL</v>
          </cell>
          <cell r="D157" t="str">
            <v>m3</v>
          </cell>
          <cell r="E157">
            <v>10.65</v>
          </cell>
          <cell r="F157">
            <v>47.22</v>
          </cell>
          <cell r="G157">
            <v>502.89300000000003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10.65</v>
          </cell>
          <cell r="R157">
            <v>502.89300000000003</v>
          </cell>
          <cell r="S157">
            <v>1</v>
          </cell>
        </row>
        <row r="158">
          <cell r="B158" t="str">
            <v>01.08.04</v>
          </cell>
          <cell r="C158" t="str">
            <v xml:space="preserve">      REFINE, NIVELACION Y COMPACTACION</v>
          </cell>
          <cell r="D158" t="str">
            <v>m</v>
          </cell>
          <cell r="E158">
            <v>11.52</v>
          </cell>
          <cell r="F158">
            <v>3.15</v>
          </cell>
          <cell r="G158">
            <v>36.287999999999997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11.52</v>
          </cell>
          <cell r="R158">
            <v>36.287999999999997</v>
          </cell>
          <cell r="S158">
            <v>1</v>
          </cell>
        </row>
        <row r="159">
          <cell r="B159" t="str">
            <v>01.08.05</v>
          </cell>
          <cell r="C159" t="str">
            <v xml:space="preserve">      RELLENO CON MATERIAL PROPIO</v>
          </cell>
          <cell r="D159" t="str">
            <v>m3</v>
          </cell>
          <cell r="E159">
            <v>3.87</v>
          </cell>
          <cell r="F159">
            <v>19.260000000000002</v>
          </cell>
          <cell r="G159">
            <v>74.536200000000008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3.87</v>
          </cell>
          <cell r="R159">
            <v>74.536200000000008</v>
          </cell>
          <cell r="S159">
            <v>1</v>
          </cell>
        </row>
        <row r="160">
          <cell r="B160" t="str">
            <v>01.08.06</v>
          </cell>
          <cell r="C160" t="str">
            <v xml:space="preserve">      ACARREO DE MATERIAL EXCEDENTE</v>
          </cell>
          <cell r="D160" t="str">
            <v>m3</v>
          </cell>
          <cell r="E160">
            <v>17.62</v>
          </cell>
          <cell r="F160">
            <v>6.29</v>
          </cell>
          <cell r="G160">
            <v>110.82980000000001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17.62</v>
          </cell>
          <cell r="R160">
            <v>110.82980000000001</v>
          </cell>
          <cell r="S160">
            <v>1</v>
          </cell>
        </row>
        <row r="161">
          <cell r="B161" t="str">
            <v>01.08.07</v>
          </cell>
          <cell r="C161" t="str">
            <v xml:space="preserve">      SOLADO PARA CIMENTACIONES H= 2"</v>
          </cell>
          <cell r="D161" t="str">
            <v>m2</v>
          </cell>
          <cell r="E161">
            <v>4.84</v>
          </cell>
          <cell r="F161">
            <v>33.39</v>
          </cell>
          <cell r="G161">
            <v>161.60759999999999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4.84</v>
          </cell>
          <cell r="R161">
            <v>161.60759999999999</v>
          </cell>
          <cell r="S161">
            <v>1</v>
          </cell>
        </row>
        <row r="162">
          <cell r="B162" t="str">
            <v>01.08.08</v>
          </cell>
          <cell r="C162" t="str">
            <v xml:space="preserve">      CONCRETO 1:8 + 30% PM</v>
          </cell>
          <cell r="D162" t="str">
            <v>m3</v>
          </cell>
          <cell r="E162">
            <v>5.8100000000000005</v>
          </cell>
          <cell r="F162">
            <v>423.46000000000004</v>
          </cell>
          <cell r="G162">
            <v>2460.3026000000004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5.8100000000000005</v>
          </cell>
          <cell r="R162">
            <v>2460.3026000000004</v>
          </cell>
          <cell r="S162">
            <v>1</v>
          </cell>
        </row>
        <row r="163">
          <cell r="B163" t="str">
            <v>01.08.09</v>
          </cell>
          <cell r="C163" t="str">
            <v xml:space="preserve">      ENCOFRADO Y DESENCOFRADO</v>
          </cell>
          <cell r="D163" t="str">
            <v>m2</v>
          </cell>
          <cell r="E163">
            <v>6.72</v>
          </cell>
          <cell r="F163">
            <v>42.88</v>
          </cell>
          <cell r="G163">
            <v>288.15359999999998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6.72</v>
          </cell>
          <cell r="R163">
            <v>288.15359999999998</v>
          </cell>
          <cell r="S163">
            <v>1</v>
          </cell>
        </row>
        <row r="164">
          <cell r="B164" t="str">
            <v>01.08.10</v>
          </cell>
          <cell r="C164" t="str">
            <v xml:space="preserve">      CONCRETO F'C= 210 KG/CM2.</v>
          </cell>
          <cell r="D164" t="str">
            <v>m3</v>
          </cell>
          <cell r="E164">
            <v>3.41</v>
          </cell>
          <cell r="F164">
            <v>572.51</v>
          </cell>
          <cell r="G164">
            <v>1952.2591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3.41</v>
          </cell>
          <cell r="R164">
            <v>1952.2591</v>
          </cell>
          <cell r="S164">
            <v>1</v>
          </cell>
        </row>
        <row r="165">
          <cell r="B165" t="str">
            <v>01.08.11</v>
          </cell>
          <cell r="C165" t="str">
            <v xml:space="preserve">      ACERO DE REFUERZO FY= 4200 KG/CM2.</v>
          </cell>
          <cell r="D165" t="str">
            <v>kg</v>
          </cell>
          <cell r="E165">
            <v>191.26</v>
          </cell>
          <cell r="F165">
            <v>6.38</v>
          </cell>
          <cell r="G165">
            <v>1220.2387999999999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191.26</v>
          </cell>
          <cell r="R165">
            <v>1220.2387999999999</v>
          </cell>
          <cell r="S165">
            <v>1</v>
          </cell>
        </row>
        <row r="166">
          <cell r="B166" t="str">
            <v>01.08.12</v>
          </cell>
          <cell r="C166" t="str">
            <v xml:space="preserve">      TARRAJEO EN EXTERIORES, MORTERO 1:5</v>
          </cell>
          <cell r="D166" t="str">
            <v>m2</v>
          </cell>
          <cell r="E166">
            <v>13.57</v>
          </cell>
          <cell r="F166">
            <v>23.45</v>
          </cell>
          <cell r="G166">
            <v>318.2165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13.57</v>
          </cell>
          <cell r="R166">
            <v>318.2165</v>
          </cell>
          <cell r="S166">
            <v>1</v>
          </cell>
        </row>
        <row r="167">
          <cell r="B167" t="str">
            <v>01.08.13</v>
          </cell>
          <cell r="C167" t="str">
            <v xml:space="preserve">      TUBERIA F°G° Ø 1"</v>
          </cell>
          <cell r="D167" t="str">
            <v>m</v>
          </cell>
          <cell r="E167">
            <v>42</v>
          </cell>
          <cell r="F167">
            <v>64.23</v>
          </cell>
          <cell r="G167">
            <v>2697.6600000000003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42</v>
          </cell>
          <cell r="R167">
            <v>2697.6600000000003</v>
          </cell>
          <cell r="S167">
            <v>1</v>
          </cell>
        </row>
        <row r="168">
          <cell r="B168" t="str">
            <v>01.08.14</v>
          </cell>
          <cell r="C168" t="str">
            <v xml:space="preserve">      SUMINISTRO Y COLOCACION CABLE Ø 1/2"</v>
          </cell>
          <cell r="D168" t="str">
            <v>kg</v>
          </cell>
          <cell r="E168">
            <v>60</v>
          </cell>
          <cell r="F168">
            <v>48.25</v>
          </cell>
          <cell r="G168">
            <v>2895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60</v>
          </cell>
          <cell r="R168">
            <v>2895</v>
          </cell>
          <cell r="S168">
            <v>1</v>
          </cell>
        </row>
        <row r="169">
          <cell r="B169" t="str">
            <v>01.08.15</v>
          </cell>
          <cell r="C169" t="str">
            <v xml:space="preserve">      SUMINISTRO Y COLOCACION DE PENDOLAS Ø 1/2"</v>
          </cell>
          <cell r="D169" t="str">
            <v>und</v>
          </cell>
          <cell r="E169">
            <v>20</v>
          </cell>
          <cell r="F169">
            <v>67.75</v>
          </cell>
          <cell r="G169">
            <v>1355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20</v>
          </cell>
          <cell r="R169">
            <v>1355</v>
          </cell>
          <cell r="S169">
            <v>1</v>
          </cell>
        </row>
        <row r="170">
          <cell r="B170" t="str">
            <v>01.08.16</v>
          </cell>
          <cell r="C170" t="str">
            <v xml:space="preserve">      SUMINISTRO DE ACCESORIOS PASE AEREO GLOBAL</v>
          </cell>
          <cell r="D170" t="str">
            <v>GLB</v>
          </cell>
          <cell r="E170">
            <v>2</v>
          </cell>
          <cell r="F170">
            <v>176</v>
          </cell>
          <cell r="G170">
            <v>352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2</v>
          </cell>
          <cell r="R170">
            <v>352</v>
          </cell>
          <cell r="S170">
            <v>1</v>
          </cell>
        </row>
        <row r="171">
          <cell r="B171" t="str">
            <v>01.08.17</v>
          </cell>
          <cell r="C171" t="str">
            <v xml:space="preserve">      COLOCACION DE ACCESORIOS PROMEDIO</v>
          </cell>
          <cell r="D171" t="str">
            <v>und</v>
          </cell>
          <cell r="E171">
            <v>64</v>
          </cell>
          <cell r="F171">
            <v>3.5700000000000003</v>
          </cell>
          <cell r="G171">
            <v>228.48000000000002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64</v>
          </cell>
          <cell r="R171">
            <v>228.48000000000002</v>
          </cell>
          <cell r="S171">
            <v>1</v>
          </cell>
        </row>
        <row r="172">
          <cell r="B172" t="str">
            <v>01.08.18</v>
          </cell>
          <cell r="C172" t="str">
            <v xml:space="preserve">      CURADO DE CONCRETO</v>
          </cell>
          <cell r="D172" t="str">
            <v>m2</v>
          </cell>
          <cell r="E172">
            <v>27.13</v>
          </cell>
          <cell r="F172">
            <v>1.1500000000000001</v>
          </cell>
          <cell r="G172">
            <v>31.199500000000004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27.13</v>
          </cell>
          <cell r="R172">
            <v>31.199500000000004</v>
          </cell>
          <cell r="S172">
            <v>1</v>
          </cell>
        </row>
        <row r="173">
          <cell r="B173" t="str">
            <v>01.08.19</v>
          </cell>
          <cell r="C173" t="str">
            <v xml:space="preserve">      PINTURA EN EXTERIORES AL LATEX</v>
          </cell>
          <cell r="D173" t="str">
            <v>m2</v>
          </cell>
          <cell r="E173">
            <v>27.13</v>
          </cell>
          <cell r="F173">
            <v>16.75</v>
          </cell>
          <cell r="G173">
            <v>454.42750000000001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27.13</v>
          </cell>
          <cell r="R173">
            <v>454.42750000000001</v>
          </cell>
          <cell r="S173">
            <v>1</v>
          </cell>
        </row>
        <row r="174">
          <cell r="B174" t="str">
            <v>01.08.20</v>
          </cell>
          <cell r="C174" t="str">
            <v xml:space="preserve">      PRUEBA HIDRAULICA Y DESINFECCION EN CAPTACION</v>
          </cell>
          <cell r="D174" t="str">
            <v>GLB</v>
          </cell>
          <cell r="E174">
            <v>2</v>
          </cell>
          <cell r="F174">
            <v>222.84</v>
          </cell>
          <cell r="G174">
            <v>445.68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2</v>
          </cell>
          <cell r="R174">
            <v>445.68</v>
          </cell>
          <cell r="S174">
            <v>1</v>
          </cell>
        </row>
        <row r="175">
          <cell r="B175" t="str">
            <v>01.09</v>
          </cell>
          <cell r="C175" t="str">
            <v>VALVULA DE AIRE (03 UND.)</v>
          </cell>
          <cell r="G175">
            <v>2273.2901999999995</v>
          </cell>
          <cell r="I175">
            <v>0</v>
          </cell>
          <cell r="L175">
            <v>0</v>
          </cell>
          <cell r="O175">
            <v>0</v>
          </cell>
        </row>
        <row r="176">
          <cell r="B176" t="str">
            <v>01.09.01</v>
          </cell>
          <cell r="C176" t="str">
            <v xml:space="preserve">      LIMPIEZA DE TERRENO MANUAL</v>
          </cell>
          <cell r="D176" t="str">
            <v>m2</v>
          </cell>
          <cell r="E176">
            <v>1.92</v>
          </cell>
          <cell r="F176">
            <v>0.72</v>
          </cell>
          <cell r="G176">
            <v>1.3823999999999999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1.92</v>
          </cell>
          <cell r="R176">
            <v>1.3823999999999999</v>
          </cell>
          <cell r="S176">
            <v>1</v>
          </cell>
        </row>
        <row r="177">
          <cell r="B177" t="str">
            <v>01.09.02</v>
          </cell>
          <cell r="C177" t="str">
            <v xml:space="preserve">      TRAZO Y REPLANTEO PRELIMINAR</v>
          </cell>
          <cell r="D177" t="str">
            <v>m2</v>
          </cell>
          <cell r="E177">
            <v>1.92</v>
          </cell>
          <cell r="F177">
            <v>1.44</v>
          </cell>
          <cell r="G177">
            <v>2.7647999999999997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1.92</v>
          </cell>
          <cell r="R177">
            <v>2.7647999999999997</v>
          </cell>
          <cell r="S177">
            <v>1</v>
          </cell>
        </row>
        <row r="178">
          <cell r="B178" t="str">
            <v>01.09.03</v>
          </cell>
          <cell r="C178" t="str">
            <v xml:space="preserve">      EXCAVACION MANUAL</v>
          </cell>
          <cell r="D178" t="str">
            <v>m3</v>
          </cell>
          <cell r="E178">
            <v>1.73</v>
          </cell>
          <cell r="F178">
            <v>47.22</v>
          </cell>
          <cell r="G178">
            <v>81.690600000000003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1.73</v>
          </cell>
          <cell r="R178">
            <v>81.690600000000003</v>
          </cell>
          <cell r="S178">
            <v>1</v>
          </cell>
        </row>
        <row r="179">
          <cell r="B179" t="str">
            <v>01.09.04</v>
          </cell>
          <cell r="C179" t="str">
            <v xml:space="preserve">      REFINE, NIVELACION Y COMPACTACION</v>
          </cell>
          <cell r="D179" t="str">
            <v>m</v>
          </cell>
          <cell r="E179">
            <v>1.92</v>
          </cell>
          <cell r="F179">
            <v>3.15</v>
          </cell>
          <cell r="G179">
            <v>6.048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1.92</v>
          </cell>
          <cell r="R179">
            <v>6.048</v>
          </cell>
          <cell r="S179">
            <v>1</v>
          </cell>
        </row>
        <row r="180">
          <cell r="B180" t="str">
            <v>01.09.05</v>
          </cell>
          <cell r="C180" t="str">
            <v xml:space="preserve">      RELLENO CON MATERIAL PROPIO</v>
          </cell>
          <cell r="D180" t="str">
            <v>m3</v>
          </cell>
          <cell r="E180">
            <v>0.67</v>
          </cell>
          <cell r="F180">
            <v>19.260000000000002</v>
          </cell>
          <cell r="G180">
            <v>12.904200000000001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0.67</v>
          </cell>
          <cell r="R180">
            <v>12.904200000000001</v>
          </cell>
          <cell r="S180">
            <v>1</v>
          </cell>
        </row>
        <row r="181">
          <cell r="B181" t="str">
            <v>01.09.06</v>
          </cell>
          <cell r="C181" t="str">
            <v xml:space="preserve">      ACARREO DE MATERIAL EXCEDENTE</v>
          </cell>
          <cell r="D181" t="str">
            <v>m3</v>
          </cell>
          <cell r="E181">
            <v>1.32</v>
          </cell>
          <cell r="F181">
            <v>6.29</v>
          </cell>
          <cell r="G181">
            <v>8.3028000000000013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1.32</v>
          </cell>
          <cell r="R181">
            <v>8.3028000000000013</v>
          </cell>
          <cell r="S181">
            <v>1</v>
          </cell>
        </row>
        <row r="182">
          <cell r="B182" t="str">
            <v>01.09.07</v>
          </cell>
          <cell r="C182" t="str">
            <v xml:space="preserve">      ENCOFRADO Y DESENCOFRADO</v>
          </cell>
          <cell r="D182" t="str">
            <v>m2</v>
          </cell>
          <cell r="E182">
            <v>9.6</v>
          </cell>
          <cell r="F182">
            <v>42.88</v>
          </cell>
          <cell r="G182">
            <v>411.64800000000002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9.6</v>
          </cell>
          <cell r="R182">
            <v>411.64800000000002</v>
          </cell>
          <cell r="S182">
            <v>1</v>
          </cell>
        </row>
        <row r="183">
          <cell r="B183" t="str">
            <v>01.09.08</v>
          </cell>
          <cell r="C183" t="str">
            <v xml:space="preserve">      SOLADO PARA CIMENTACIONES H= 2"</v>
          </cell>
          <cell r="D183" t="str">
            <v>m2</v>
          </cell>
          <cell r="E183">
            <v>1.92</v>
          </cell>
          <cell r="F183">
            <v>33.39</v>
          </cell>
          <cell r="G183">
            <v>64.108800000000002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1.92</v>
          </cell>
          <cell r="R183">
            <v>64.108800000000002</v>
          </cell>
          <cell r="S183">
            <v>1</v>
          </cell>
        </row>
        <row r="184">
          <cell r="B184" t="str">
            <v>01.09.09</v>
          </cell>
          <cell r="C184" t="str">
            <v xml:space="preserve">      CONCRETO F'C= 175 KG/CM2.</v>
          </cell>
          <cell r="D184" t="str">
            <v>m3</v>
          </cell>
          <cell r="E184">
            <v>0.67</v>
          </cell>
          <cell r="F184">
            <v>570.78</v>
          </cell>
          <cell r="G184">
            <v>382.42259999999999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0.67</v>
          </cell>
          <cell r="R184">
            <v>382.42259999999999</v>
          </cell>
          <cell r="S184">
            <v>1</v>
          </cell>
        </row>
        <row r="185">
          <cell r="B185" t="str">
            <v>01.09.10</v>
          </cell>
          <cell r="C185" t="str">
            <v xml:space="preserve">      TARRAJEO EN EXTERIORES, MORTERO 1:5</v>
          </cell>
          <cell r="D185" t="str">
            <v>m2</v>
          </cell>
          <cell r="E185">
            <v>2.88</v>
          </cell>
          <cell r="F185">
            <v>23.45</v>
          </cell>
          <cell r="G185">
            <v>67.536000000000001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2.88</v>
          </cell>
          <cell r="R185">
            <v>67.536000000000001</v>
          </cell>
          <cell r="S185">
            <v>1</v>
          </cell>
        </row>
        <row r="186">
          <cell r="B186" t="str">
            <v>01.09.11</v>
          </cell>
          <cell r="C186" t="str">
            <v xml:space="preserve">      ACCESORIOS VALVULA DE AIRE AUTOMATICA DE 1"</v>
          </cell>
          <cell r="D186" t="str">
            <v>GLB</v>
          </cell>
          <cell r="E186">
            <v>3</v>
          </cell>
          <cell r="F186">
            <v>214</v>
          </cell>
          <cell r="G186">
            <v>642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3</v>
          </cell>
          <cell r="R186">
            <v>642</v>
          </cell>
          <cell r="S186">
            <v>1</v>
          </cell>
        </row>
        <row r="187">
          <cell r="B187" t="str">
            <v>01.09.12</v>
          </cell>
          <cell r="C187" t="str">
            <v xml:space="preserve">      ACCESORIOS  DE DRENAJE EN CAJA DE VALVULAS</v>
          </cell>
          <cell r="D187" t="str">
            <v>GLB</v>
          </cell>
          <cell r="E187">
            <v>3</v>
          </cell>
          <cell r="F187">
            <v>47.300000000000004</v>
          </cell>
          <cell r="G187">
            <v>141.9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3</v>
          </cell>
          <cell r="R187">
            <v>141.9</v>
          </cell>
          <cell r="S187">
            <v>1</v>
          </cell>
        </row>
        <row r="188">
          <cell r="B188" t="str">
            <v>01.09.13</v>
          </cell>
          <cell r="C188" t="str">
            <v xml:space="preserve">      COLOCACION DE ACCESORIOS PROMEDIO</v>
          </cell>
          <cell r="D188" t="str">
            <v>und</v>
          </cell>
          <cell r="E188">
            <v>18</v>
          </cell>
          <cell r="F188">
            <v>3.5700000000000003</v>
          </cell>
          <cell r="G188">
            <v>64.260000000000005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18</v>
          </cell>
          <cell r="R188">
            <v>64.260000000000005</v>
          </cell>
          <cell r="S188">
            <v>1</v>
          </cell>
        </row>
        <row r="189">
          <cell r="B189" t="str">
            <v>01.09.14</v>
          </cell>
          <cell r="C189" t="str">
            <v xml:space="preserve">      TAPA METALICA 0.40 X 0.40M. X 1/8"</v>
          </cell>
          <cell r="D189" t="str">
            <v>und</v>
          </cell>
          <cell r="E189">
            <v>3</v>
          </cell>
          <cell r="F189">
            <v>111.59</v>
          </cell>
          <cell r="G189">
            <v>334.77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3</v>
          </cell>
          <cell r="R189">
            <v>334.77</v>
          </cell>
          <cell r="S189">
            <v>1</v>
          </cell>
        </row>
        <row r="190">
          <cell r="B190" t="str">
            <v>01.09.15</v>
          </cell>
          <cell r="C190" t="str">
            <v xml:space="preserve">      CURADO DE CONCRETO</v>
          </cell>
          <cell r="D190" t="str">
            <v>m2</v>
          </cell>
          <cell r="E190">
            <v>2.88</v>
          </cell>
          <cell r="F190">
            <v>1.1500000000000001</v>
          </cell>
          <cell r="G190">
            <v>3.3120000000000003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2.88</v>
          </cell>
          <cell r="R190">
            <v>3.3120000000000003</v>
          </cell>
          <cell r="S190">
            <v>1</v>
          </cell>
        </row>
        <row r="191">
          <cell r="B191" t="str">
            <v>01.09.16</v>
          </cell>
          <cell r="C191" t="str">
            <v xml:space="preserve">      PINTURA EN EXTERIORES AL LATEX</v>
          </cell>
          <cell r="D191" t="str">
            <v>m2</v>
          </cell>
          <cell r="E191">
            <v>2.88</v>
          </cell>
          <cell r="F191">
            <v>16.75</v>
          </cell>
          <cell r="G191">
            <v>48.239999999999995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2.88</v>
          </cell>
          <cell r="R191">
            <v>48.239999999999995</v>
          </cell>
          <cell r="S191">
            <v>1</v>
          </cell>
        </row>
        <row r="192">
          <cell r="B192" t="str">
            <v>01.10</v>
          </cell>
          <cell r="C192" t="str">
            <v>RESERVORIOS (05 UND)</v>
          </cell>
          <cell r="G192">
            <v>60241.5792</v>
          </cell>
          <cell r="I192">
            <v>0</v>
          </cell>
          <cell r="L192">
            <v>12884.641679999999</v>
          </cell>
          <cell r="O192">
            <v>12884.641679999999</v>
          </cell>
        </row>
        <row r="193">
          <cell r="B193" t="str">
            <v>01.10.01</v>
          </cell>
          <cell r="C193" t="str">
            <v>RESERVORIO V= 2 M3. (01 UND.)</v>
          </cell>
          <cell r="G193">
            <v>35826.234700000001</v>
          </cell>
          <cell r="I193">
            <v>0</v>
          </cell>
          <cell r="L193">
            <v>12884.641679999999</v>
          </cell>
          <cell r="O193">
            <v>12884.641679999999</v>
          </cell>
        </row>
        <row r="194">
          <cell r="B194" t="str">
            <v>01.10.01.01</v>
          </cell>
          <cell r="C194" t="str">
            <v xml:space="preserve">         LIMPIEZA DE TERRENO MANUAL</v>
          </cell>
          <cell r="D194" t="str">
            <v>m2</v>
          </cell>
          <cell r="E194">
            <v>30.01</v>
          </cell>
          <cell r="F194">
            <v>0.72</v>
          </cell>
          <cell r="G194">
            <v>21.607199999999999</v>
          </cell>
          <cell r="H194">
            <v>0</v>
          </cell>
          <cell r="I194">
            <v>0</v>
          </cell>
          <cell r="J194">
            <v>0</v>
          </cell>
          <cell r="K194">
            <v>12.004000000000001</v>
          </cell>
          <cell r="L194">
            <v>8.6428799999999999</v>
          </cell>
          <cell r="M194">
            <v>0.4</v>
          </cell>
          <cell r="N194">
            <v>12.004000000000001</v>
          </cell>
          <cell r="O194">
            <v>8.6428799999999999</v>
          </cell>
          <cell r="P194">
            <v>0.4</v>
          </cell>
          <cell r="Q194">
            <v>18.006</v>
          </cell>
          <cell r="R194">
            <v>12.964319999999999</v>
          </cell>
          <cell r="S194">
            <v>0.6</v>
          </cell>
        </row>
        <row r="195">
          <cell r="B195" t="str">
            <v>01.10.01.02</v>
          </cell>
          <cell r="C195" t="str">
            <v xml:space="preserve">         TRAZO Y REPLANTEO PRELIMINAR</v>
          </cell>
          <cell r="D195" t="str">
            <v>m2</v>
          </cell>
          <cell r="E195">
            <v>30.01</v>
          </cell>
          <cell r="F195">
            <v>1.44</v>
          </cell>
          <cell r="G195">
            <v>43.214399999999998</v>
          </cell>
          <cell r="H195">
            <v>0</v>
          </cell>
          <cell r="I195">
            <v>0</v>
          </cell>
          <cell r="J195">
            <v>0</v>
          </cell>
          <cell r="K195">
            <v>12.004000000000001</v>
          </cell>
          <cell r="L195">
            <v>17.28576</v>
          </cell>
          <cell r="M195">
            <v>0.4</v>
          </cell>
          <cell r="N195">
            <v>12.004000000000001</v>
          </cell>
          <cell r="O195">
            <v>17.28576</v>
          </cell>
          <cell r="P195">
            <v>0.4</v>
          </cell>
          <cell r="Q195">
            <v>18.006</v>
          </cell>
          <cell r="R195">
            <v>25.928639999999998</v>
          </cell>
          <cell r="S195">
            <v>0.6</v>
          </cell>
        </row>
        <row r="196">
          <cell r="B196" t="str">
            <v>01.10.01.03</v>
          </cell>
          <cell r="C196" t="str">
            <v xml:space="preserve">         EXCAVACION MANUAL</v>
          </cell>
          <cell r="D196" t="str">
            <v>m3</v>
          </cell>
          <cell r="E196">
            <v>24.01</v>
          </cell>
          <cell r="F196">
            <v>47.22</v>
          </cell>
          <cell r="G196">
            <v>1133.7522000000001</v>
          </cell>
          <cell r="H196">
            <v>0</v>
          </cell>
          <cell r="I196">
            <v>0</v>
          </cell>
          <cell r="J196">
            <v>0</v>
          </cell>
          <cell r="K196">
            <v>9.604000000000001</v>
          </cell>
          <cell r="L196">
            <v>453.50088000000005</v>
          </cell>
          <cell r="M196">
            <v>0.4</v>
          </cell>
          <cell r="N196">
            <v>9.604000000000001</v>
          </cell>
          <cell r="O196">
            <v>453.50088000000005</v>
          </cell>
          <cell r="P196">
            <v>0.4</v>
          </cell>
          <cell r="Q196">
            <v>14.406000000000001</v>
          </cell>
          <cell r="R196">
            <v>680.25131999999996</v>
          </cell>
          <cell r="S196">
            <v>0.6</v>
          </cell>
        </row>
        <row r="197">
          <cell r="B197" t="str">
            <v>01.10.01.04</v>
          </cell>
          <cell r="C197" t="str">
            <v xml:space="preserve">         REFINE, NIVELACION Y COMPACTACION</v>
          </cell>
          <cell r="D197" t="str">
            <v>m</v>
          </cell>
          <cell r="E197">
            <v>30.01</v>
          </cell>
          <cell r="F197">
            <v>3.15</v>
          </cell>
          <cell r="G197">
            <v>94.531500000000008</v>
          </cell>
          <cell r="H197">
            <v>0</v>
          </cell>
          <cell r="I197">
            <v>0</v>
          </cell>
          <cell r="J197">
            <v>0</v>
          </cell>
          <cell r="K197">
            <v>12.004000000000001</v>
          </cell>
          <cell r="L197">
            <v>37.812600000000003</v>
          </cell>
          <cell r="M197">
            <v>0.4</v>
          </cell>
          <cell r="N197">
            <v>12.004000000000001</v>
          </cell>
          <cell r="O197">
            <v>37.812600000000003</v>
          </cell>
          <cell r="P197">
            <v>0.4</v>
          </cell>
          <cell r="Q197">
            <v>18.006</v>
          </cell>
          <cell r="R197">
            <v>56.718899999999998</v>
          </cell>
          <cell r="S197">
            <v>0.6</v>
          </cell>
        </row>
        <row r="198">
          <cell r="B198" t="str">
            <v>01.10.01.05</v>
          </cell>
          <cell r="C198" t="str">
            <v xml:space="preserve">         RELLENO CON MATERIAL PROPIO</v>
          </cell>
          <cell r="D198" t="str">
            <v>m3</v>
          </cell>
          <cell r="E198">
            <v>7.2</v>
          </cell>
          <cell r="F198">
            <v>19.260000000000002</v>
          </cell>
          <cell r="G198">
            <v>138.67200000000003</v>
          </cell>
          <cell r="H198">
            <v>0</v>
          </cell>
          <cell r="I198">
            <v>0</v>
          </cell>
          <cell r="J198">
            <v>0</v>
          </cell>
          <cell r="K198">
            <v>2.88</v>
          </cell>
          <cell r="L198">
            <v>55.468800000000002</v>
          </cell>
          <cell r="M198">
            <v>0.39999999999999997</v>
          </cell>
          <cell r="N198">
            <v>2.88</v>
          </cell>
          <cell r="O198">
            <v>55.468800000000002</v>
          </cell>
          <cell r="P198">
            <v>0.39999999999999997</v>
          </cell>
          <cell r="Q198">
            <v>4.32</v>
          </cell>
          <cell r="R198">
            <v>83.20320000000001</v>
          </cell>
          <cell r="S198">
            <v>0.6</v>
          </cell>
        </row>
        <row r="199">
          <cell r="B199" t="str">
            <v>01.10.01.06</v>
          </cell>
          <cell r="C199" t="str">
            <v xml:space="preserve">         ACARREO DE MATERIAL EXCEDENTE</v>
          </cell>
          <cell r="D199" t="str">
            <v>m3</v>
          </cell>
          <cell r="E199">
            <v>108.60000000000001</v>
          </cell>
          <cell r="F199">
            <v>6.29</v>
          </cell>
          <cell r="G199">
            <v>683.09400000000005</v>
          </cell>
          <cell r="H199">
            <v>0</v>
          </cell>
          <cell r="I199">
            <v>0</v>
          </cell>
          <cell r="J199">
            <v>0</v>
          </cell>
          <cell r="K199">
            <v>43.4</v>
          </cell>
          <cell r="L199">
            <v>272.98599999999999</v>
          </cell>
          <cell r="M199">
            <v>0.39963167587476978</v>
          </cell>
          <cell r="N199">
            <v>43.4</v>
          </cell>
          <cell r="O199">
            <v>272.98599999999999</v>
          </cell>
          <cell r="P199">
            <v>0.39963167587476978</v>
          </cell>
          <cell r="Q199">
            <v>65.200000000000017</v>
          </cell>
          <cell r="R199">
            <v>410.10800000000012</v>
          </cell>
          <cell r="S199">
            <v>0.60036832412523033</v>
          </cell>
        </row>
        <row r="200">
          <cell r="B200" t="str">
            <v>01.10.01.07</v>
          </cell>
          <cell r="C200" t="str">
            <v xml:space="preserve">         ENCOFRADO Y DESENCOFRADO</v>
          </cell>
          <cell r="D200" t="str">
            <v>m2</v>
          </cell>
          <cell r="E200">
            <v>103.71000000000001</v>
          </cell>
          <cell r="F200">
            <v>42.88</v>
          </cell>
          <cell r="G200">
            <v>4447.0848000000005</v>
          </cell>
          <cell r="H200">
            <v>0</v>
          </cell>
          <cell r="I200">
            <v>0</v>
          </cell>
          <cell r="J200">
            <v>0</v>
          </cell>
          <cell r="K200">
            <v>41.484000000000002</v>
          </cell>
          <cell r="L200">
            <v>1778.8339200000003</v>
          </cell>
          <cell r="M200">
            <v>0.39999999999999997</v>
          </cell>
          <cell r="N200">
            <v>41.484000000000002</v>
          </cell>
          <cell r="O200">
            <v>1778.8339200000003</v>
          </cell>
          <cell r="P200">
            <v>0.39999999999999997</v>
          </cell>
          <cell r="Q200">
            <v>62.226000000000006</v>
          </cell>
          <cell r="R200">
            <v>2668.2508800000005</v>
          </cell>
          <cell r="S200">
            <v>0.6</v>
          </cell>
        </row>
        <row r="201">
          <cell r="B201" t="str">
            <v>01.10.01.08</v>
          </cell>
          <cell r="C201" t="str">
            <v xml:space="preserve">         ACERO DE REFUERZO FY= 4200 KG/CM2.</v>
          </cell>
          <cell r="D201" t="str">
            <v>kg</v>
          </cell>
          <cell r="E201">
            <v>892.71</v>
          </cell>
          <cell r="F201">
            <v>6.38</v>
          </cell>
          <cell r="G201">
            <v>5695.4898000000003</v>
          </cell>
          <cell r="H201">
            <v>0</v>
          </cell>
          <cell r="I201">
            <v>0</v>
          </cell>
          <cell r="J201">
            <v>0</v>
          </cell>
          <cell r="K201">
            <v>357.084</v>
          </cell>
          <cell r="L201">
            <v>2278.1959200000001</v>
          </cell>
          <cell r="M201">
            <v>0.39999999999999997</v>
          </cell>
          <cell r="N201">
            <v>357.084</v>
          </cell>
          <cell r="O201">
            <v>2278.1959200000001</v>
          </cell>
          <cell r="P201">
            <v>0.39999999999999997</v>
          </cell>
          <cell r="Q201">
            <v>535.62599999999998</v>
          </cell>
          <cell r="R201">
            <v>3417.2938799999997</v>
          </cell>
          <cell r="S201">
            <v>0.6</v>
          </cell>
        </row>
        <row r="202">
          <cell r="B202" t="str">
            <v>01.10.01.09</v>
          </cell>
          <cell r="C202" t="str">
            <v xml:space="preserve">         SOLADO PARA CIMENTACIONES H= 2"</v>
          </cell>
          <cell r="D202" t="str">
            <v>m2</v>
          </cell>
          <cell r="E202">
            <v>30.01</v>
          </cell>
          <cell r="F202">
            <v>33.39</v>
          </cell>
          <cell r="G202">
            <v>1002.0339</v>
          </cell>
          <cell r="H202">
            <v>0</v>
          </cell>
          <cell r="I202">
            <v>0</v>
          </cell>
          <cell r="J202">
            <v>0</v>
          </cell>
          <cell r="K202">
            <v>12.004000000000001</v>
          </cell>
          <cell r="L202">
            <v>400.81356000000005</v>
          </cell>
          <cell r="M202">
            <v>0.4</v>
          </cell>
          <cell r="N202">
            <v>12.004000000000001</v>
          </cell>
          <cell r="O202">
            <v>400.81356000000005</v>
          </cell>
          <cell r="P202">
            <v>0.4</v>
          </cell>
          <cell r="Q202">
            <v>18.006</v>
          </cell>
          <cell r="R202">
            <v>601.22033999999996</v>
          </cell>
          <cell r="S202">
            <v>0.6</v>
          </cell>
        </row>
        <row r="203">
          <cell r="B203" t="str">
            <v>01.10.01.10</v>
          </cell>
          <cell r="C203" t="str">
            <v xml:space="preserve">         CONCRETO F'C= 175 KG/CM2.</v>
          </cell>
          <cell r="D203" t="str">
            <v>m3</v>
          </cell>
          <cell r="E203">
            <v>14.52</v>
          </cell>
          <cell r="F203">
            <v>570.78</v>
          </cell>
          <cell r="G203">
            <v>8287.7255999999998</v>
          </cell>
          <cell r="H203">
            <v>0</v>
          </cell>
          <cell r="I203">
            <v>0</v>
          </cell>
          <cell r="J203">
            <v>0</v>
          </cell>
          <cell r="K203">
            <v>5.8079999999999998</v>
          </cell>
          <cell r="L203">
            <v>3315.0902399999995</v>
          </cell>
          <cell r="M203">
            <v>0.4</v>
          </cell>
          <cell r="N203">
            <v>5.8079999999999998</v>
          </cell>
          <cell r="O203">
            <v>3315.0902399999995</v>
          </cell>
          <cell r="P203">
            <v>0.4</v>
          </cell>
          <cell r="Q203">
            <v>8.7119999999999997</v>
          </cell>
          <cell r="R203">
            <v>4972.6353599999993</v>
          </cell>
          <cell r="S203">
            <v>0.6</v>
          </cell>
        </row>
        <row r="204">
          <cell r="B204" t="str">
            <v>01.10.01.11</v>
          </cell>
          <cell r="C204" t="str">
            <v xml:space="preserve">         CONCRETO FC=140 KG/CM2</v>
          </cell>
          <cell r="D204" t="str">
            <v>m3</v>
          </cell>
          <cell r="E204">
            <v>15.31</v>
          </cell>
          <cell r="F204">
            <v>391.06</v>
          </cell>
          <cell r="G204">
            <v>5987.1286</v>
          </cell>
          <cell r="H204">
            <v>0</v>
          </cell>
          <cell r="I204">
            <v>0</v>
          </cell>
          <cell r="J204">
            <v>0</v>
          </cell>
          <cell r="K204">
            <v>6.1240000000000006</v>
          </cell>
          <cell r="L204">
            <v>2394.8514400000004</v>
          </cell>
          <cell r="M204">
            <v>0.4</v>
          </cell>
          <cell r="N204">
            <v>6.1240000000000006</v>
          </cell>
          <cell r="O204">
            <v>2394.8514400000004</v>
          </cell>
          <cell r="P204">
            <v>0.4</v>
          </cell>
          <cell r="Q204">
            <v>9.1859999999999999</v>
          </cell>
          <cell r="R204">
            <v>3592.2771600000001</v>
          </cell>
          <cell r="S204">
            <v>0.6</v>
          </cell>
        </row>
        <row r="205">
          <cell r="B205" t="str">
            <v>01.10.01.12</v>
          </cell>
          <cell r="C205" t="str">
            <v xml:space="preserve">         TARRAJEO CON IMPERMEABILIZANTE, MEZCLA 1:2 E=  1.5CM.</v>
          </cell>
          <cell r="D205" t="str">
            <v>m2</v>
          </cell>
          <cell r="E205">
            <v>52.06</v>
          </cell>
          <cell r="F205">
            <v>34.32</v>
          </cell>
          <cell r="G205">
            <v>1786.6992</v>
          </cell>
          <cell r="H205">
            <v>0</v>
          </cell>
          <cell r="I205">
            <v>0</v>
          </cell>
          <cell r="J205">
            <v>0</v>
          </cell>
          <cell r="K205">
            <v>20.824000000000002</v>
          </cell>
          <cell r="L205">
            <v>714.67968000000008</v>
          </cell>
          <cell r="M205">
            <v>0.4</v>
          </cell>
          <cell r="N205">
            <v>20.824000000000002</v>
          </cell>
          <cell r="O205">
            <v>714.67968000000008</v>
          </cell>
          <cell r="P205">
            <v>0.4</v>
          </cell>
          <cell r="Q205">
            <v>31.236000000000001</v>
          </cell>
          <cell r="R205">
            <v>1072.0195200000001</v>
          </cell>
          <cell r="S205">
            <v>0.6</v>
          </cell>
        </row>
        <row r="206">
          <cell r="B206" t="str">
            <v>01.10.01.13</v>
          </cell>
          <cell r="C206" t="str">
            <v xml:space="preserve">         TARRAJEO EN EXTERIORES, MORTERO 1:5</v>
          </cell>
          <cell r="D206" t="str">
            <v>m2</v>
          </cell>
          <cell r="E206">
            <v>72.460000000000008</v>
          </cell>
          <cell r="F206">
            <v>23.45</v>
          </cell>
          <cell r="G206">
            <v>1699.1870000000001</v>
          </cell>
          <cell r="H206">
            <v>0</v>
          </cell>
          <cell r="I206">
            <v>0</v>
          </cell>
          <cell r="J206">
            <v>0</v>
          </cell>
          <cell r="K206">
            <v>29</v>
          </cell>
          <cell r="L206">
            <v>680.05</v>
          </cell>
          <cell r="M206">
            <v>0.40022081148219701</v>
          </cell>
          <cell r="N206">
            <v>29</v>
          </cell>
          <cell r="O206">
            <v>680.05</v>
          </cell>
          <cell r="P206">
            <v>0.40022081148219701</v>
          </cell>
          <cell r="Q206">
            <v>43.460000000000008</v>
          </cell>
          <cell r="R206">
            <v>1019.1370000000002</v>
          </cell>
          <cell r="S206">
            <v>0.59977918851780299</v>
          </cell>
        </row>
        <row r="207">
          <cell r="B207" t="str">
            <v>01.10.01.14</v>
          </cell>
          <cell r="C207" t="str">
            <v xml:space="preserve">         TAPA METALICA 0.60 X 0.60M. X 1/8"</v>
          </cell>
          <cell r="D207" t="str">
            <v>und</v>
          </cell>
          <cell r="E207">
            <v>5</v>
          </cell>
          <cell r="F207">
            <v>141.59</v>
          </cell>
          <cell r="G207">
            <v>707.95</v>
          </cell>
          <cell r="H207">
            <v>0</v>
          </cell>
          <cell r="I207">
            <v>0</v>
          </cell>
          <cell r="J207">
            <v>0</v>
          </cell>
          <cell r="K207">
            <v>2</v>
          </cell>
          <cell r="L207">
            <v>283.18</v>
          </cell>
          <cell r="M207">
            <v>0.4</v>
          </cell>
          <cell r="N207">
            <v>2</v>
          </cell>
          <cell r="O207">
            <v>283.18</v>
          </cell>
          <cell r="P207">
            <v>0.4</v>
          </cell>
          <cell r="Q207">
            <v>3</v>
          </cell>
          <cell r="R207">
            <v>424.77</v>
          </cell>
          <cell r="S207">
            <v>0.6</v>
          </cell>
        </row>
        <row r="208">
          <cell r="B208" t="str">
            <v>01.10.01.15</v>
          </cell>
          <cell r="C208" t="str">
            <v xml:space="preserve">         SUM E INST. ESCALINES DE F°G°</v>
          </cell>
          <cell r="D208" t="str">
            <v>und</v>
          </cell>
          <cell r="E208">
            <v>5</v>
          </cell>
          <cell r="F208">
            <v>212.4</v>
          </cell>
          <cell r="G208">
            <v>1062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5</v>
          </cell>
          <cell r="R208">
            <v>1062</v>
          </cell>
          <cell r="S208">
            <v>1</v>
          </cell>
        </row>
        <row r="209">
          <cell r="B209" t="str">
            <v>01.10.01.16</v>
          </cell>
          <cell r="C209" t="str">
            <v xml:space="preserve">         CODO DE VENTILACIOMN</v>
          </cell>
          <cell r="D209" t="str">
            <v>und</v>
          </cell>
          <cell r="E209">
            <v>5</v>
          </cell>
          <cell r="F209">
            <v>67.989999999999995</v>
          </cell>
          <cell r="G209">
            <v>339.95</v>
          </cell>
          <cell r="H209">
            <v>0</v>
          </cell>
          <cell r="I209">
            <v>0</v>
          </cell>
          <cell r="J209">
            <v>0</v>
          </cell>
          <cell r="K209">
            <v>2</v>
          </cell>
          <cell r="L209">
            <v>135.97999999999999</v>
          </cell>
          <cell r="M209">
            <v>0.4</v>
          </cell>
          <cell r="N209">
            <v>2</v>
          </cell>
          <cell r="O209">
            <v>135.97999999999999</v>
          </cell>
          <cell r="P209">
            <v>0.4</v>
          </cell>
          <cell r="Q209">
            <v>3</v>
          </cell>
          <cell r="R209">
            <v>203.96999999999997</v>
          </cell>
          <cell r="S209">
            <v>0.6</v>
          </cell>
        </row>
        <row r="210">
          <cell r="B210" t="str">
            <v>01.10.01.17</v>
          </cell>
          <cell r="C210" t="str">
            <v xml:space="preserve">         SUMINISTRO Y COLOCACION DE HIPOCLORADOR</v>
          </cell>
          <cell r="D210" t="str">
            <v>GLB</v>
          </cell>
          <cell r="E210">
            <v>5</v>
          </cell>
          <cell r="F210">
            <v>45</v>
          </cell>
          <cell r="G210">
            <v>225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5</v>
          </cell>
          <cell r="R210">
            <v>225</v>
          </cell>
          <cell r="S210">
            <v>1</v>
          </cell>
        </row>
        <row r="211">
          <cell r="B211" t="str">
            <v>01.10.01.18</v>
          </cell>
          <cell r="C211" t="str">
            <v xml:space="preserve">         PRUEBA HIDRAULICA Y DESINFECCION EN CAPTACION</v>
          </cell>
          <cell r="D211" t="str">
            <v>GLB</v>
          </cell>
          <cell r="E211">
            <v>5</v>
          </cell>
          <cell r="F211">
            <v>222.84</v>
          </cell>
          <cell r="G211">
            <v>1114.2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5</v>
          </cell>
          <cell r="R211">
            <v>1114.2</v>
          </cell>
          <cell r="S211">
            <v>1</v>
          </cell>
        </row>
        <row r="212">
          <cell r="B212" t="str">
            <v>01.10.01.19</v>
          </cell>
          <cell r="C212" t="str">
            <v xml:space="preserve">         CURADO DE CONCRETO</v>
          </cell>
          <cell r="D212" t="str">
            <v>m2</v>
          </cell>
          <cell r="E212">
            <v>124.53</v>
          </cell>
          <cell r="F212">
            <v>1.1500000000000001</v>
          </cell>
          <cell r="G212">
            <v>143.20950000000002</v>
          </cell>
          <cell r="H212">
            <v>0</v>
          </cell>
          <cell r="I212">
            <v>0</v>
          </cell>
          <cell r="J212">
            <v>0</v>
          </cell>
          <cell r="K212">
            <v>49.800000000000004</v>
          </cell>
          <cell r="L212">
            <v>57.27000000000001</v>
          </cell>
          <cell r="M212">
            <v>0.39990363767766807</v>
          </cell>
          <cell r="N212">
            <v>49.800000000000004</v>
          </cell>
          <cell r="O212">
            <v>57.27000000000001</v>
          </cell>
          <cell r="P212">
            <v>0.39990363767766807</v>
          </cell>
          <cell r="Q212">
            <v>74.72999999999999</v>
          </cell>
          <cell r="R212">
            <v>85.939499999999995</v>
          </cell>
          <cell r="S212">
            <v>0.60009636232233188</v>
          </cell>
        </row>
        <row r="213">
          <cell r="B213" t="str">
            <v>01.10.01.20</v>
          </cell>
          <cell r="C213" t="str">
            <v xml:space="preserve">         PINTURA EN EXTERIORES AL LATEX</v>
          </cell>
          <cell r="D213" t="str">
            <v>m2</v>
          </cell>
          <cell r="E213">
            <v>72.460000000000008</v>
          </cell>
          <cell r="F213">
            <v>16.75</v>
          </cell>
          <cell r="G213">
            <v>1213.7050000000002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72.460000000000008</v>
          </cell>
          <cell r="R213">
            <v>1213.7050000000002</v>
          </cell>
          <cell r="S213">
            <v>1</v>
          </cell>
        </row>
        <row r="214">
          <cell r="B214" t="str">
            <v>01.10.02</v>
          </cell>
          <cell r="C214" t="str">
            <v>CASETA DE VALVULAS (01 UND.)</v>
          </cell>
          <cell r="G214">
            <v>19509.195299999999</v>
          </cell>
          <cell r="I214">
            <v>0</v>
          </cell>
          <cell r="L214">
            <v>0</v>
          </cell>
          <cell r="O214">
            <v>0</v>
          </cell>
        </row>
        <row r="215">
          <cell r="B215" t="str">
            <v>01.10.02.01</v>
          </cell>
          <cell r="C215" t="str">
            <v xml:space="preserve">         LIMPIEZA DE TERRENO MANUAL</v>
          </cell>
          <cell r="D215" t="str">
            <v>m2</v>
          </cell>
          <cell r="E215">
            <v>13.18</v>
          </cell>
          <cell r="F215">
            <v>0.72</v>
          </cell>
          <cell r="G215">
            <v>9.4895999999999994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13.18</v>
          </cell>
          <cell r="R215">
            <v>9.4895999999999994</v>
          </cell>
          <cell r="S215">
            <v>1</v>
          </cell>
        </row>
        <row r="216">
          <cell r="B216" t="str">
            <v>01.10.02.02</v>
          </cell>
          <cell r="C216" t="str">
            <v xml:space="preserve">         TRAZO Y REPLANTEO PRELIMINAR</v>
          </cell>
          <cell r="D216" t="str">
            <v>m2</v>
          </cell>
          <cell r="E216">
            <v>13.18</v>
          </cell>
          <cell r="F216">
            <v>1.44</v>
          </cell>
          <cell r="G216">
            <v>18.979199999999999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13.18</v>
          </cell>
          <cell r="R216">
            <v>18.979199999999999</v>
          </cell>
          <cell r="S216">
            <v>1</v>
          </cell>
        </row>
        <row r="217">
          <cell r="B217" t="str">
            <v>01.10.02.03</v>
          </cell>
          <cell r="C217" t="str">
            <v xml:space="preserve">         EXCAVACION MANUAL</v>
          </cell>
          <cell r="D217" t="str">
            <v>m3</v>
          </cell>
          <cell r="E217">
            <v>19.100000000000001</v>
          </cell>
          <cell r="F217">
            <v>47.22</v>
          </cell>
          <cell r="G217">
            <v>901.90200000000004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19.100000000000001</v>
          </cell>
          <cell r="R217">
            <v>901.90200000000004</v>
          </cell>
          <cell r="S217">
            <v>1</v>
          </cell>
        </row>
        <row r="218">
          <cell r="B218" t="str">
            <v>01.10.02.04</v>
          </cell>
          <cell r="C218" t="str">
            <v xml:space="preserve">         REFINE, NIVELACION Y COMPACTACION</v>
          </cell>
          <cell r="D218" t="str">
            <v>m</v>
          </cell>
          <cell r="E218">
            <v>13.18</v>
          </cell>
          <cell r="F218">
            <v>3.15</v>
          </cell>
          <cell r="G218">
            <v>41.516999999999996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13.18</v>
          </cell>
          <cell r="R218">
            <v>41.516999999999996</v>
          </cell>
          <cell r="S218">
            <v>1</v>
          </cell>
        </row>
        <row r="219">
          <cell r="B219" t="str">
            <v>01.10.02.05</v>
          </cell>
          <cell r="C219" t="str">
            <v xml:space="preserve">         RELLENO CON MATERIAL PROPIO</v>
          </cell>
          <cell r="D219" t="str">
            <v>m3</v>
          </cell>
          <cell r="E219">
            <v>4.97</v>
          </cell>
          <cell r="F219">
            <v>19.260000000000002</v>
          </cell>
          <cell r="G219">
            <v>95.722200000000001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4.97</v>
          </cell>
          <cell r="R219">
            <v>95.722200000000001</v>
          </cell>
          <cell r="S219">
            <v>1</v>
          </cell>
        </row>
        <row r="220">
          <cell r="B220" t="str">
            <v>01.10.02.06</v>
          </cell>
          <cell r="C220" t="str">
            <v xml:space="preserve">         ACARREO DE MATERIAL EXCEDENTE</v>
          </cell>
          <cell r="D220" t="str">
            <v>m3</v>
          </cell>
          <cell r="E220">
            <v>88.36</v>
          </cell>
          <cell r="F220">
            <v>6.29</v>
          </cell>
          <cell r="G220">
            <v>555.78440000000001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88.36</v>
          </cell>
          <cell r="R220">
            <v>555.78440000000001</v>
          </cell>
          <cell r="S220">
            <v>1</v>
          </cell>
        </row>
        <row r="221">
          <cell r="B221" t="str">
            <v>01.10.02.07</v>
          </cell>
          <cell r="C221" t="str">
            <v xml:space="preserve">         ENCOFRADO Y DESENCOFRADO</v>
          </cell>
          <cell r="D221" t="str">
            <v>m2</v>
          </cell>
          <cell r="E221">
            <v>65.8</v>
          </cell>
          <cell r="F221">
            <v>42.88</v>
          </cell>
          <cell r="G221">
            <v>2821.5039999999999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65.8</v>
          </cell>
          <cell r="R221">
            <v>2821.5039999999999</v>
          </cell>
          <cell r="S221">
            <v>1</v>
          </cell>
        </row>
        <row r="222">
          <cell r="B222" t="str">
            <v>01.10.02.08</v>
          </cell>
          <cell r="C222" t="str">
            <v xml:space="preserve">         ACERO DE REFUERZO FY= 4200 KG/CM2.</v>
          </cell>
          <cell r="D222" t="str">
            <v>kg</v>
          </cell>
          <cell r="E222">
            <v>380.61</v>
          </cell>
          <cell r="F222">
            <v>6.38</v>
          </cell>
          <cell r="G222">
            <v>2428.2918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380.61</v>
          </cell>
          <cell r="R222">
            <v>2428.2918</v>
          </cell>
          <cell r="S222">
            <v>1</v>
          </cell>
        </row>
        <row r="223">
          <cell r="B223" t="str">
            <v>01.10.02.09</v>
          </cell>
          <cell r="C223" t="str">
            <v xml:space="preserve">         SOLADO PARA CIMENTACIONES H= 2"</v>
          </cell>
          <cell r="D223" t="str">
            <v>m2</v>
          </cell>
          <cell r="E223">
            <v>17.95</v>
          </cell>
          <cell r="F223">
            <v>33.39</v>
          </cell>
          <cell r="G223">
            <v>599.35050000000001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17.95</v>
          </cell>
          <cell r="R223">
            <v>599.35050000000001</v>
          </cell>
          <cell r="S223">
            <v>1</v>
          </cell>
        </row>
        <row r="224">
          <cell r="B224" t="str">
            <v>01.10.02.10</v>
          </cell>
          <cell r="C224" t="str">
            <v xml:space="preserve">         CONCRETO F'C= 175 KG/CM2.</v>
          </cell>
          <cell r="D224" t="str">
            <v>m3</v>
          </cell>
          <cell r="E224">
            <v>6.57</v>
          </cell>
          <cell r="F224">
            <v>570.78</v>
          </cell>
          <cell r="G224">
            <v>3750.0246000000002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6.57</v>
          </cell>
          <cell r="R224">
            <v>3750.0246000000002</v>
          </cell>
          <cell r="S224">
            <v>1</v>
          </cell>
        </row>
        <row r="225">
          <cell r="B225" t="str">
            <v>01.10.02.11</v>
          </cell>
          <cell r="C225" t="str">
            <v xml:space="preserve">         TARRAJEO EN EXTERIORES, MORTERO 1:5</v>
          </cell>
          <cell r="D225" t="str">
            <v>m2</v>
          </cell>
          <cell r="E225">
            <v>58.6</v>
          </cell>
          <cell r="F225">
            <v>23.45</v>
          </cell>
          <cell r="G225">
            <v>1374.17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58.6</v>
          </cell>
          <cell r="R225">
            <v>1374.17</v>
          </cell>
          <cell r="S225">
            <v>1</v>
          </cell>
        </row>
        <row r="226">
          <cell r="B226" t="str">
            <v>01.10.02.12</v>
          </cell>
          <cell r="C226" t="str">
            <v xml:space="preserve">         ACCESORIOS RESERVORIO, INGRESO 1"</v>
          </cell>
          <cell r="D226" t="str">
            <v>GLB</v>
          </cell>
          <cell r="E226">
            <v>5</v>
          </cell>
          <cell r="F226">
            <v>258.60000000000002</v>
          </cell>
          <cell r="G226">
            <v>1293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5</v>
          </cell>
          <cell r="R226">
            <v>1293</v>
          </cell>
          <cell r="S226">
            <v>1</v>
          </cell>
        </row>
        <row r="227">
          <cell r="B227" t="str">
            <v>01.10.02.13</v>
          </cell>
          <cell r="C227" t="str">
            <v xml:space="preserve">         ACCESORIOS RESERVORIO, SALIDA 1"</v>
          </cell>
          <cell r="D227" t="str">
            <v>GLB</v>
          </cell>
          <cell r="E227">
            <v>5</v>
          </cell>
          <cell r="F227">
            <v>155.20000000000002</v>
          </cell>
          <cell r="G227">
            <v>776.00000000000011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5</v>
          </cell>
          <cell r="R227">
            <v>776.00000000000011</v>
          </cell>
          <cell r="S227">
            <v>1</v>
          </cell>
        </row>
        <row r="228">
          <cell r="B228" t="str">
            <v>01.10.02.14</v>
          </cell>
          <cell r="C228" t="str">
            <v xml:space="preserve">         ACCESORIOS RESERVORIO, REBOSE 2"</v>
          </cell>
          <cell r="D228" t="str">
            <v>GLB</v>
          </cell>
          <cell r="E228">
            <v>5</v>
          </cell>
          <cell r="F228">
            <v>407.40000000000003</v>
          </cell>
          <cell r="G228">
            <v>2037.0000000000002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5</v>
          </cell>
          <cell r="R228">
            <v>2037.0000000000002</v>
          </cell>
          <cell r="S228">
            <v>1</v>
          </cell>
        </row>
        <row r="229">
          <cell r="B229" t="str">
            <v>01.10.02.15</v>
          </cell>
          <cell r="C229" t="str">
            <v xml:space="preserve">         ACCESORIOS  DE DRENAJE EN CAJA DE VALVULAS</v>
          </cell>
          <cell r="D229" t="str">
            <v>GLB</v>
          </cell>
          <cell r="E229">
            <v>5</v>
          </cell>
          <cell r="F229">
            <v>47.300000000000004</v>
          </cell>
          <cell r="G229">
            <v>236.50000000000003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5</v>
          </cell>
          <cell r="R229">
            <v>236.50000000000003</v>
          </cell>
          <cell r="S229">
            <v>1</v>
          </cell>
        </row>
        <row r="230">
          <cell r="B230" t="str">
            <v>01.10.02.16</v>
          </cell>
          <cell r="C230" t="str">
            <v xml:space="preserve">         COLOCACION DE ACCESORIOS PROMEDIO</v>
          </cell>
          <cell r="D230" t="str">
            <v>und</v>
          </cell>
          <cell r="E230">
            <v>293</v>
          </cell>
          <cell r="F230">
            <v>3.5700000000000003</v>
          </cell>
          <cell r="G230">
            <v>1046.01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293</v>
          </cell>
          <cell r="R230">
            <v>1046.01</v>
          </cell>
          <cell r="S230">
            <v>1</v>
          </cell>
        </row>
        <row r="231">
          <cell r="B231" t="str">
            <v>01.10.02.17</v>
          </cell>
          <cell r="C231" t="str">
            <v xml:space="preserve">         TAPA METALICA 0.60 X 0.60M. X 1/8"</v>
          </cell>
          <cell r="D231" t="str">
            <v>und</v>
          </cell>
          <cell r="E231">
            <v>5</v>
          </cell>
          <cell r="F231">
            <v>141.59</v>
          </cell>
          <cell r="G231">
            <v>707.95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5</v>
          </cell>
          <cell r="R231">
            <v>707.95</v>
          </cell>
          <cell r="S231">
            <v>1</v>
          </cell>
        </row>
        <row r="232">
          <cell r="B232" t="str">
            <v>01.10.02.18</v>
          </cell>
          <cell r="C232" t="str">
            <v xml:space="preserve">         CURADO DE CONCRETO</v>
          </cell>
          <cell r="D232" t="str">
            <v>m2</v>
          </cell>
          <cell r="E232">
            <v>293</v>
          </cell>
          <cell r="F232">
            <v>1.1500000000000001</v>
          </cell>
          <cell r="G232">
            <v>336.95000000000005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293</v>
          </cell>
          <cell r="R232">
            <v>336.95000000000005</v>
          </cell>
          <cell r="S232">
            <v>1</v>
          </cell>
        </row>
        <row r="233">
          <cell r="B233" t="str">
            <v>01.10.02.19</v>
          </cell>
          <cell r="C233" t="str">
            <v xml:space="preserve">         PINTURA EN EXTERIORES AL LATEX</v>
          </cell>
          <cell r="D233" t="str">
            <v>m2</v>
          </cell>
          <cell r="E233">
            <v>28.6</v>
          </cell>
          <cell r="F233">
            <v>16.75</v>
          </cell>
          <cell r="G233">
            <v>479.05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28.6</v>
          </cell>
          <cell r="R233">
            <v>479.05</v>
          </cell>
          <cell r="S233">
            <v>1</v>
          </cell>
        </row>
        <row r="234">
          <cell r="B234" t="str">
            <v>01.10.03</v>
          </cell>
          <cell r="C234" t="str">
            <v>TRABAJOS DE PROTECCION EN RESERVORIO</v>
          </cell>
          <cell r="G234">
            <v>4906.1491999999998</v>
          </cell>
          <cell r="I234">
            <v>0</v>
          </cell>
          <cell r="L234">
            <v>0</v>
          </cell>
          <cell r="O234">
            <v>0</v>
          </cell>
        </row>
        <row r="235">
          <cell r="B235" t="str">
            <v>01.10.03.01</v>
          </cell>
          <cell r="C235" t="str">
            <v xml:space="preserve">         EXCAVACION DE ZANJAS CUNETAS DE CORONACION</v>
          </cell>
          <cell r="D235" t="str">
            <v>m</v>
          </cell>
          <cell r="E235">
            <v>100</v>
          </cell>
          <cell r="F235">
            <v>4.72</v>
          </cell>
          <cell r="G235">
            <v>472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100</v>
          </cell>
          <cell r="R235">
            <v>472</v>
          </cell>
          <cell r="S235">
            <v>1</v>
          </cell>
        </row>
        <row r="236">
          <cell r="B236" t="str">
            <v>01.10.03.02</v>
          </cell>
          <cell r="C236" t="str">
            <v xml:space="preserve">         EXCAVACION MANUAL</v>
          </cell>
          <cell r="D236" t="str">
            <v>m3</v>
          </cell>
          <cell r="E236">
            <v>5.04</v>
          </cell>
          <cell r="F236">
            <v>47.22</v>
          </cell>
          <cell r="G236">
            <v>237.9888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5.04</v>
          </cell>
          <cell r="R236">
            <v>237.9888</v>
          </cell>
          <cell r="S236">
            <v>1</v>
          </cell>
        </row>
        <row r="237">
          <cell r="B237" t="str">
            <v>01.10.03.03</v>
          </cell>
          <cell r="C237" t="str">
            <v xml:space="preserve">         CONCRETO F'C=140 KG/CM2 +30% P.M.</v>
          </cell>
          <cell r="D237" t="str">
            <v>m3</v>
          </cell>
          <cell r="E237">
            <v>5.04</v>
          </cell>
          <cell r="F237">
            <v>442.76</v>
          </cell>
          <cell r="G237">
            <v>2231.5104000000001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5.04</v>
          </cell>
          <cell r="R237">
            <v>2231.5104000000001</v>
          </cell>
          <cell r="S237">
            <v>1</v>
          </cell>
        </row>
        <row r="238">
          <cell r="B238" t="str">
            <v>01.10.03.04</v>
          </cell>
          <cell r="C238" t="str">
            <v xml:space="preserve">         CERCO CON ALAMBRE DE PUAS</v>
          </cell>
          <cell r="D238" t="str">
            <v>m</v>
          </cell>
          <cell r="E238">
            <v>80</v>
          </cell>
          <cell r="F238">
            <v>22.48</v>
          </cell>
          <cell r="G238">
            <v>1798.4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80</v>
          </cell>
          <cell r="R238">
            <v>1798.4</v>
          </cell>
          <cell r="S238">
            <v>1</v>
          </cell>
        </row>
        <row r="239">
          <cell r="B239" t="str">
            <v>01.10.03.05</v>
          </cell>
          <cell r="C239" t="str">
            <v xml:space="preserve">         PUERTA DE MADERA CON CALAMINA GALV. 2.00X0.83M</v>
          </cell>
          <cell r="D239" t="str">
            <v>und</v>
          </cell>
          <cell r="E239">
            <v>5</v>
          </cell>
          <cell r="F239">
            <v>33.25</v>
          </cell>
          <cell r="G239">
            <v>166.25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5</v>
          </cell>
          <cell r="R239">
            <v>166.25</v>
          </cell>
          <cell r="S239">
            <v>1</v>
          </cell>
        </row>
        <row r="240">
          <cell r="B240" t="str">
            <v>01.11</v>
          </cell>
          <cell r="C240" t="str">
            <v>RESERVORIOS (02 UND)</v>
          </cell>
          <cell r="G240">
            <v>7671.335</v>
          </cell>
          <cell r="I240">
            <v>0</v>
          </cell>
          <cell r="L240">
            <v>0</v>
          </cell>
          <cell r="O240">
            <v>0</v>
          </cell>
        </row>
        <row r="241">
          <cell r="B241" t="str">
            <v>01.11.01</v>
          </cell>
          <cell r="C241" t="str">
            <v>RESERVORIO REFACCION V= 2 M3. (02 UND.)</v>
          </cell>
          <cell r="G241">
            <v>4651.6970000000001</v>
          </cell>
          <cell r="I241">
            <v>0</v>
          </cell>
          <cell r="L241">
            <v>0</v>
          </cell>
          <cell r="O241">
            <v>0</v>
          </cell>
        </row>
        <row r="242">
          <cell r="B242" t="str">
            <v>01.11.01.01</v>
          </cell>
          <cell r="C242" t="str">
            <v xml:space="preserve">         LIMPIEZA DE TERRENO MANUAL</v>
          </cell>
          <cell r="D242" t="str">
            <v>m2</v>
          </cell>
          <cell r="E242">
            <v>19.850000000000001</v>
          </cell>
          <cell r="F242">
            <v>0.72</v>
          </cell>
          <cell r="G242">
            <v>14.292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19.850000000000001</v>
          </cell>
          <cell r="R242">
            <v>14.292</v>
          </cell>
          <cell r="S242">
            <v>1</v>
          </cell>
        </row>
        <row r="243">
          <cell r="B243" t="str">
            <v>01.11.01.02</v>
          </cell>
          <cell r="C243" t="str">
            <v xml:space="preserve">         TARRAJEO CON IMPERMEABILIZANTE, MEZCLA 1:2 E=  1.5CM.</v>
          </cell>
          <cell r="D243" t="str">
            <v>m2</v>
          </cell>
          <cell r="E243">
            <v>39.450000000000003</v>
          </cell>
          <cell r="F243">
            <v>34.32</v>
          </cell>
          <cell r="G243">
            <v>1353.9240000000002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39.450000000000003</v>
          </cell>
          <cell r="R243">
            <v>1353.9240000000002</v>
          </cell>
          <cell r="S243">
            <v>1</v>
          </cell>
        </row>
        <row r="244">
          <cell r="B244" t="str">
            <v>01.11.01.03</v>
          </cell>
          <cell r="C244" t="str">
            <v xml:space="preserve">         TARRAJEO EN EXTERIORES, MORTERO 1:5</v>
          </cell>
          <cell r="D244" t="str">
            <v>m2</v>
          </cell>
          <cell r="E244">
            <v>50.410000000000004</v>
          </cell>
          <cell r="F244">
            <v>23.45</v>
          </cell>
          <cell r="G244">
            <v>1182.1145000000001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50.410000000000004</v>
          </cell>
          <cell r="R244">
            <v>1182.1145000000001</v>
          </cell>
          <cell r="S244">
            <v>1</v>
          </cell>
        </row>
        <row r="245">
          <cell r="B245" t="str">
            <v>01.11.01.04</v>
          </cell>
          <cell r="C245" t="str">
            <v xml:space="preserve">         TAPA METALICA 0.60 X 0.60M. X 1/8"</v>
          </cell>
          <cell r="D245" t="str">
            <v>und</v>
          </cell>
          <cell r="E245">
            <v>2</v>
          </cell>
          <cell r="F245">
            <v>141.59</v>
          </cell>
          <cell r="G245">
            <v>283.18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2</v>
          </cell>
          <cell r="R245">
            <v>283.18</v>
          </cell>
          <cell r="S245">
            <v>1</v>
          </cell>
        </row>
        <row r="246">
          <cell r="B246" t="str">
            <v>01.11.01.05</v>
          </cell>
          <cell r="C246" t="str">
            <v xml:space="preserve">         SUM E INST. ESCALINES DE F°G°</v>
          </cell>
          <cell r="D246" t="str">
            <v>und</v>
          </cell>
          <cell r="E246">
            <v>2</v>
          </cell>
          <cell r="F246">
            <v>212.4</v>
          </cell>
          <cell r="G246">
            <v>424.8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2</v>
          </cell>
          <cell r="R246">
            <v>424.8</v>
          </cell>
          <cell r="S246">
            <v>1</v>
          </cell>
        </row>
        <row r="247">
          <cell r="B247" t="str">
            <v>01.11.01.06</v>
          </cell>
          <cell r="C247" t="str">
            <v xml:space="preserve">         PRUEBA HIDRAULICA Y DESINFECCION EN CAPTACION</v>
          </cell>
          <cell r="D247" t="str">
            <v>GLB</v>
          </cell>
          <cell r="E247">
            <v>2</v>
          </cell>
          <cell r="F247">
            <v>222.84</v>
          </cell>
          <cell r="G247">
            <v>445.68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2</v>
          </cell>
          <cell r="R247">
            <v>445.68</v>
          </cell>
          <cell r="S247">
            <v>1</v>
          </cell>
        </row>
        <row r="248">
          <cell r="B248" t="str">
            <v>01.11.01.07</v>
          </cell>
          <cell r="C248" t="str">
            <v xml:space="preserve">         CURADO DE CONCRETO</v>
          </cell>
          <cell r="D248" t="str">
            <v>m2</v>
          </cell>
          <cell r="E248">
            <v>89.86</v>
          </cell>
          <cell r="F248">
            <v>1.1500000000000001</v>
          </cell>
          <cell r="G248">
            <v>103.33900000000001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89.86</v>
          </cell>
          <cell r="R248">
            <v>103.33900000000001</v>
          </cell>
          <cell r="S248">
            <v>1</v>
          </cell>
        </row>
        <row r="249">
          <cell r="B249" t="str">
            <v>01.11.01.08</v>
          </cell>
          <cell r="C249" t="str">
            <v xml:space="preserve">         PINTURA EN EXTERIORES AL LATEX</v>
          </cell>
          <cell r="D249" t="str">
            <v>m2</v>
          </cell>
          <cell r="E249">
            <v>50.410000000000004</v>
          </cell>
          <cell r="F249">
            <v>16.75</v>
          </cell>
          <cell r="G249">
            <v>844.36750000000006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50.410000000000004</v>
          </cell>
          <cell r="R249">
            <v>844.36750000000006</v>
          </cell>
          <cell r="S249">
            <v>1</v>
          </cell>
        </row>
        <row r="250">
          <cell r="B250" t="str">
            <v>01.11.02</v>
          </cell>
          <cell r="C250" t="str">
            <v>CASETA DE VALVULAS (01 UND.)</v>
          </cell>
          <cell r="G250">
            <v>1055.2184</v>
          </cell>
          <cell r="I250">
            <v>0</v>
          </cell>
          <cell r="L250">
            <v>0</v>
          </cell>
          <cell r="O250">
            <v>0</v>
          </cell>
        </row>
        <row r="251">
          <cell r="B251" t="str">
            <v>01.11.02.01</v>
          </cell>
          <cell r="C251" t="str">
            <v xml:space="preserve">         LIMPIEZA DE TERRENO MANUAL</v>
          </cell>
          <cell r="D251" t="str">
            <v>m2</v>
          </cell>
          <cell r="E251">
            <v>5.2700000000000005</v>
          </cell>
          <cell r="F251">
            <v>0.72</v>
          </cell>
          <cell r="G251">
            <v>3.7944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5.2700000000000005</v>
          </cell>
          <cell r="R251">
            <v>3.7944</v>
          </cell>
          <cell r="S251">
            <v>1</v>
          </cell>
        </row>
        <row r="252">
          <cell r="B252" t="str">
            <v>01.11.02.02</v>
          </cell>
          <cell r="C252" t="str">
            <v xml:space="preserve">         TARRAJEO EN EXTERIORES, MORTERO 1:5</v>
          </cell>
          <cell r="D252" t="str">
            <v>m2</v>
          </cell>
          <cell r="E252">
            <v>23.44</v>
          </cell>
          <cell r="F252">
            <v>23.45</v>
          </cell>
          <cell r="G252">
            <v>549.66800000000001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23.44</v>
          </cell>
          <cell r="R252">
            <v>549.66800000000001</v>
          </cell>
          <cell r="S252">
            <v>1</v>
          </cell>
        </row>
        <row r="253">
          <cell r="B253" t="str">
            <v>01.11.02.03</v>
          </cell>
          <cell r="C253" t="str">
            <v xml:space="preserve">         TAPA METALICA 0.60 X 0.60M. X 1/8"</v>
          </cell>
          <cell r="D253" t="str">
            <v>und</v>
          </cell>
          <cell r="E253">
            <v>2</v>
          </cell>
          <cell r="F253">
            <v>141.59</v>
          </cell>
          <cell r="G253">
            <v>283.18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2</v>
          </cell>
          <cell r="R253">
            <v>283.18</v>
          </cell>
          <cell r="S253">
            <v>1</v>
          </cell>
        </row>
        <row r="254">
          <cell r="B254" t="str">
            <v>01.11.02.04</v>
          </cell>
          <cell r="C254" t="str">
            <v xml:space="preserve">         CURADO DE CONCRETO</v>
          </cell>
          <cell r="D254" t="str">
            <v>m2</v>
          </cell>
          <cell r="E254">
            <v>23.44</v>
          </cell>
          <cell r="F254">
            <v>1.1500000000000001</v>
          </cell>
          <cell r="G254">
            <v>26.956000000000003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23.44</v>
          </cell>
          <cell r="R254">
            <v>26.956000000000003</v>
          </cell>
          <cell r="S254">
            <v>1</v>
          </cell>
        </row>
        <row r="255">
          <cell r="B255" t="str">
            <v>01.11.02.05</v>
          </cell>
          <cell r="C255" t="str">
            <v xml:space="preserve">         PINTURA EN EXTERIORES AL LATEX</v>
          </cell>
          <cell r="D255" t="str">
            <v>m2</v>
          </cell>
          <cell r="E255">
            <v>11.44</v>
          </cell>
          <cell r="F255">
            <v>16.75</v>
          </cell>
          <cell r="G255">
            <v>191.62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11.44</v>
          </cell>
          <cell r="R255">
            <v>191.62</v>
          </cell>
          <cell r="S255">
            <v>1</v>
          </cell>
        </row>
        <row r="256">
          <cell r="B256" t="str">
            <v>01.11.03</v>
          </cell>
          <cell r="C256" t="str">
            <v>TRABAJOS DE PROTECCION EN RESERVORIO</v>
          </cell>
          <cell r="G256">
            <v>1964.4196000000002</v>
          </cell>
          <cell r="I256">
            <v>0</v>
          </cell>
          <cell r="L256">
            <v>0</v>
          </cell>
          <cell r="O256">
            <v>0</v>
          </cell>
        </row>
        <row r="257">
          <cell r="B257" t="str">
            <v>01.11.03.01</v>
          </cell>
          <cell r="C257" t="str">
            <v xml:space="preserve">         EXCAVACION DE ZANJAS CUNETAS DE CORONACION</v>
          </cell>
          <cell r="D257" t="str">
            <v>m</v>
          </cell>
          <cell r="E257">
            <v>40</v>
          </cell>
          <cell r="F257">
            <v>4.72</v>
          </cell>
          <cell r="G257">
            <v>188.79999999999998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40</v>
          </cell>
          <cell r="R257">
            <v>188.79999999999998</v>
          </cell>
          <cell r="S257">
            <v>1</v>
          </cell>
        </row>
        <row r="258">
          <cell r="B258" t="str">
            <v>01.11.03.02</v>
          </cell>
          <cell r="C258" t="str">
            <v xml:space="preserve">         EXCAVACION MANUAL</v>
          </cell>
          <cell r="D258" t="str">
            <v>m3</v>
          </cell>
          <cell r="E258">
            <v>2.02</v>
          </cell>
          <cell r="F258">
            <v>47.22</v>
          </cell>
          <cell r="G258">
            <v>95.384399999999999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2.02</v>
          </cell>
          <cell r="R258">
            <v>95.384399999999999</v>
          </cell>
          <cell r="S258">
            <v>1</v>
          </cell>
        </row>
        <row r="259">
          <cell r="B259" t="str">
            <v>01.11.03.03</v>
          </cell>
          <cell r="C259" t="str">
            <v xml:space="preserve">         CONCRETO F'C=140 KG/CM2 +30% P.M.</v>
          </cell>
          <cell r="D259" t="str">
            <v>m3</v>
          </cell>
          <cell r="E259">
            <v>2.02</v>
          </cell>
          <cell r="F259">
            <v>442.76</v>
          </cell>
          <cell r="G259">
            <v>894.37519999999995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2.02</v>
          </cell>
          <cell r="R259">
            <v>894.37519999999995</v>
          </cell>
          <cell r="S259">
            <v>1</v>
          </cell>
        </row>
        <row r="260">
          <cell r="B260" t="str">
            <v>01.11.03.04</v>
          </cell>
          <cell r="C260" t="str">
            <v xml:space="preserve">         CERCO CON ALAMBRE DE PUAS</v>
          </cell>
          <cell r="D260" t="str">
            <v>m</v>
          </cell>
          <cell r="E260">
            <v>32</v>
          </cell>
          <cell r="F260">
            <v>22.48</v>
          </cell>
          <cell r="G260">
            <v>719.36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32</v>
          </cell>
          <cell r="R260">
            <v>719.36</v>
          </cell>
          <cell r="S260">
            <v>1</v>
          </cell>
        </row>
        <row r="261">
          <cell r="B261" t="str">
            <v>01.11.03.05</v>
          </cell>
          <cell r="C261" t="str">
            <v xml:space="preserve">         PUERTA DE MADERA CON CALAMINA GALV. 2.00X0.83M</v>
          </cell>
          <cell r="D261" t="str">
            <v>und</v>
          </cell>
          <cell r="E261">
            <v>2</v>
          </cell>
          <cell r="F261">
            <v>33.25</v>
          </cell>
          <cell r="G261">
            <v>66.5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2</v>
          </cell>
          <cell r="R261">
            <v>66.5</v>
          </cell>
          <cell r="S261">
            <v>1</v>
          </cell>
        </row>
        <row r="262">
          <cell r="B262" t="str">
            <v>01.12</v>
          </cell>
          <cell r="C262" t="str">
            <v>RED DE DISTRIBUCION</v>
          </cell>
          <cell r="G262">
            <v>439792.60280000011</v>
          </cell>
          <cell r="I262">
            <v>308901.55000000005</v>
          </cell>
          <cell r="L262">
            <v>0</v>
          </cell>
          <cell r="O262">
            <v>308901.55000000005</v>
          </cell>
        </row>
        <row r="263">
          <cell r="B263" t="str">
            <v>01.12.01</v>
          </cell>
          <cell r="C263" t="str">
            <v>RED DE DISTRIBUCION (3,885 ML)</v>
          </cell>
          <cell r="G263">
            <v>429023.39000000013</v>
          </cell>
          <cell r="I263">
            <v>308901.55000000005</v>
          </cell>
          <cell r="L263">
            <v>0</v>
          </cell>
          <cell r="O263">
            <v>308901.55000000005</v>
          </cell>
        </row>
        <row r="264">
          <cell r="B264" t="str">
            <v>01.12.01.01</v>
          </cell>
          <cell r="C264" t="str">
            <v xml:space="preserve">         TRAZO, NIVELACION Y REPLANTEO DE ZANJAS</v>
          </cell>
          <cell r="D264" t="str">
            <v>m</v>
          </cell>
          <cell r="E264">
            <v>15665</v>
          </cell>
          <cell r="F264">
            <v>1.02</v>
          </cell>
          <cell r="G264">
            <v>15978.300000000001</v>
          </cell>
          <cell r="H264">
            <v>15665</v>
          </cell>
          <cell r="I264">
            <v>15978.300000000001</v>
          </cell>
          <cell r="J264">
            <v>1</v>
          </cell>
          <cell r="K264">
            <v>0</v>
          </cell>
          <cell r="L264">
            <v>0</v>
          </cell>
          <cell r="M264">
            <v>0</v>
          </cell>
          <cell r="N264">
            <v>15665</v>
          </cell>
          <cell r="O264">
            <v>15978.300000000001</v>
          </cell>
          <cell r="P264">
            <v>1</v>
          </cell>
          <cell r="Q264">
            <v>0</v>
          </cell>
          <cell r="R264">
            <v>0</v>
          </cell>
          <cell r="S264">
            <v>0</v>
          </cell>
        </row>
        <row r="265">
          <cell r="B265" t="str">
            <v>01.12.01.02</v>
          </cell>
          <cell r="C265" t="str">
            <v xml:space="preserve">         EXCAVACION MANUAL  EN TIERRA COMPACTA</v>
          </cell>
          <cell r="D265" t="str">
            <v>ML</v>
          </cell>
          <cell r="E265">
            <v>8405</v>
          </cell>
          <cell r="F265">
            <v>13.49</v>
          </cell>
          <cell r="G265">
            <v>113383.45</v>
          </cell>
          <cell r="H265">
            <v>8405</v>
          </cell>
          <cell r="I265">
            <v>113383.45</v>
          </cell>
          <cell r="J265">
            <v>1</v>
          </cell>
          <cell r="K265">
            <v>0</v>
          </cell>
          <cell r="L265">
            <v>0</v>
          </cell>
          <cell r="M265">
            <v>0</v>
          </cell>
          <cell r="N265">
            <v>8405</v>
          </cell>
          <cell r="O265">
            <v>113383.45</v>
          </cell>
          <cell r="P265">
            <v>1</v>
          </cell>
          <cell r="Q265">
            <v>0</v>
          </cell>
          <cell r="R265">
            <v>0</v>
          </cell>
          <cell r="S265">
            <v>0</v>
          </cell>
        </row>
        <row r="266">
          <cell r="B266" t="str">
            <v>01.12.01.03</v>
          </cell>
          <cell r="C266" t="str">
            <v xml:space="preserve">         EXCAVACION MANUAL  EN ROCA SUELTA</v>
          </cell>
          <cell r="D266" t="str">
            <v>ML</v>
          </cell>
          <cell r="E266">
            <v>7260</v>
          </cell>
          <cell r="F266">
            <v>24.73</v>
          </cell>
          <cell r="G266">
            <v>179539.80000000002</v>
          </cell>
          <cell r="H266">
            <v>7260</v>
          </cell>
          <cell r="I266">
            <v>179539.80000000002</v>
          </cell>
          <cell r="J266">
            <v>1</v>
          </cell>
          <cell r="K266">
            <v>0</v>
          </cell>
          <cell r="L266">
            <v>0</v>
          </cell>
          <cell r="M266">
            <v>0</v>
          </cell>
          <cell r="N266">
            <v>7260</v>
          </cell>
          <cell r="O266">
            <v>179539.80000000002</v>
          </cell>
          <cell r="P266">
            <v>1</v>
          </cell>
          <cell r="Q266">
            <v>0</v>
          </cell>
          <cell r="R266">
            <v>0</v>
          </cell>
          <cell r="S266">
            <v>0</v>
          </cell>
        </row>
        <row r="267">
          <cell r="B267" t="str">
            <v>01.12.01.04</v>
          </cell>
          <cell r="C267" t="str">
            <v xml:space="preserve">         REFINE, NIVELACION Y FONDOS PARA TUBERIA HASTA 6"</v>
          </cell>
          <cell r="D267" t="str">
            <v>m</v>
          </cell>
          <cell r="E267">
            <v>15665</v>
          </cell>
          <cell r="F267">
            <v>1.26</v>
          </cell>
          <cell r="G267">
            <v>19737.900000000001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15665</v>
          </cell>
          <cell r="R267">
            <v>19737.900000000001</v>
          </cell>
          <cell r="S267">
            <v>1</v>
          </cell>
        </row>
        <row r="268">
          <cell r="B268" t="str">
            <v>01.12.01.05</v>
          </cell>
          <cell r="C268" t="str">
            <v xml:space="preserve">         CAMA DE APOYO PARA TUBERIAS MENORES DE 6"</v>
          </cell>
          <cell r="D268" t="str">
            <v>m</v>
          </cell>
          <cell r="E268">
            <v>15665</v>
          </cell>
          <cell r="F268">
            <v>1.58</v>
          </cell>
          <cell r="G268">
            <v>24750.7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15665</v>
          </cell>
          <cell r="R268">
            <v>24750.7</v>
          </cell>
          <cell r="S268">
            <v>1</v>
          </cell>
        </row>
        <row r="269">
          <cell r="B269" t="str">
            <v>01.12.01.06</v>
          </cell>
          <cell r="C269" t="str">
            <v xml:space="preserve">         TUBERIA PVC SAP 1" C-.10</v>
          </cell>
          <cell r="D269" t="str">
            <v>m</v>
          </cell>
          <cell r="E269">
            <v>3535</v>
          </cell>
          <cell r="F269">
            <v>4.01</v>
          </cell>
          <cell r="G269">
            <v>14175.349999999999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3535</v>
          </cell>
          <cell r="R269">
            <v>14175.349999999999</v>
          </cell>
          <cell r="S269">
            <v>1</v>
          </cell>
        </row>
        <row r="270">
          <cell r="B270" t="str">
            <v>01.12.01.07</v>
          </cell>
          <cell r="C270" t="str">
            <v xml:space="preserve">         TUBERIA PVC SAP CLASE 10 3/4"</v>
          </cell>
          <cell r="D270" t="str">
            <v>m</v>
          </cell>
          <cell r="E270">
            <v>5585</v>
          </cell>
          <cell r="F270">
            <v>3.22</v>
          </cell>
          <cell r="G270">
            <v>17983.7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5585</v>
          </cell>
          <cell r="R270">
            <v>17983.7</v>
          </cell>
          <cell r="S270">
            <v>1</v>
          </cell>
        </row>
        <row r="271">
          <cell r="B271" t="str">
            <v>01.12.01.08</v>
          </cell>
          <cell r="C271" t="str">
            <v xml:space="preserve">         TUBERIA PVC SAP  1/2" C-.10</v>
          </cell>
          <cell r="D271" t="str">
            <v>m</v>
          </cell>
          <cell r="E271">
            <v>6545</v>
          </cell>
          <cell r="F271">
            <v>3.02</v>
          </cell>
          <cell r="G271">
            <v>19765.900000000001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6545</v>
          </cell>
          <cell r="R271">
            <v>19765.900000000001</v>
          </cell>
          <cell r="S271">
            <v>1</v>
          </cell>
        </row>
        <row r="272">
          <cell r="B272" t="str">
            <v>01.12.01.09</v>
          </cell>
          <cell r="C272" t="str">
            <v xml:space="preserve">         RELLENO COMPACTADO DE ZANJAS PARA TUBERIAS</v>
          </cell>
          <cell r="D272" t="str">
            <v>ML</v>
          </cell>
          <cell r="E272">
            <v>15665</v>
          </cell>
          <cell r="F272">
            <v>0.95000000000000007</v>
          </cell>
          <cell r="G272">
            <v>14881.750000000002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15665</v>
          </cell>
          <cell r="R272">
            <v>14881.750000000002</v>
          </cell>
          <cell r="S272">
            <v>1</v>
          </cell>
        </row>
        <row r="273">
          <cell r="B273" t="str">
            <v>01.12.01.10</v>
          </cell>
          <cell r="C273" t="str">
            <v xml:space="preserve">         ACCESORIOS DISTRIBUCION, COSTO GLOBAL</v>
          </cell>
          <cell r="D273" t="str">
            <v>GLB</v>
          </cell>
          <cell r="E273">
            <v>1</v>
          </cell>
          <cell r="F273">
            <v>561</v>
          </cell>
          <cell r="G273">
            <v>561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1</v>
          </cell>
          <cell r="R273">
            <v>561</v>
          </cell>
          <cell r="S273">
            <v>1</v>
          </cell>
        </row>
        <row r="274">
          <cell r="B274" t="str">
            <v>01.12.01.11</v>
          </cell>
          <cell r="C274" t="str">
            <v xml:space="preserve">         COLOCACION DE ACCESORIOS, PROMEDIO</v>
          </cell>
          <cell r="D274" t="str">
            <v>und</v>
          </cell>
          <cell r="E274">
            <v>267</v>
          </cell>
          <cell r="F274">
            <v>4.42</v>
          </cell>
          <cell r="G274">
            <v>1180.1399999999999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267</v>
          </cell>
          <cell r="R274">
            <v>1180.1399999999999</v>
          </cell>
          <cell r="S274">
            <v>1</v>
          </cell>
        </row>
        <row r="275">
          <cell r="B275" t="str">
            <v>01.12.01.12</v>
          </cell>
          <cell r="C275" t="str">
            <v xml:space="preserve">         PRUEBA HIDRAULICA Y DESINFECCION EN REDES DE AGUA</v>
          </cell>
          <cell r="D275" t="str">
            <v>m</v>
          </cell>
          <cell r="E275">
            <v>16870</v>
          </cell>
          <cell r="F275">
            <v>0.42</v>
          </cell>
          <cell r="G275">
            <v>7085.4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16870</v>
          </cell>
          <cell r="R275">
            <v>7085.4</v>
          </cell>
          <cell r="S275">
            <v>1</v>
          </cell>
        </row>
        <row r="276">
          <cell r="B276" t="str">
            <v>01.12.02</v>
          </cell>
          <cell r="C276" t="str">
            <v>VALVULA DE PURGA (20 UND.)</v>
          </cell>
          <cell r="G276">
            <v>10769.212800000001</v>
          </cell>
          <cell r="I276">
            <v>0</v>
          </cell>
          <cell r="L276">
            <v>0</v>
          </cell>
          <cell r="O276">
            <v>0</v>
          </cell>
        </row>
        <row r="277">
          <cell r="B277" t="str">
            <v>01.12.02.01</v>
          </cell>
          <cell r="C277" t="str">
            <v xml:space="preserve">         LIMPIEZA DE TERRENO MANUAL</v>
          </cell>
          <cell r="D277" t="str">
            <v>m2</v>
          </cell>
          <cell r="E277">
            <v>12.8</v>
          </cell>
          <cell r="F277">
            <v>0.72</v>
          </cell>
          <cell r="G277">
            <v>9.2159999999999993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12.8</v>
          </cell>
          <cell r="R277">
            <v>9.2159999999999993</v>
          </cell>
          <cell r="S277">
            <v>1</v>
          </cell>
        </row>
        <row r="278">
          <cell r="B278" t="str">
            <v>01.12.02.02</v>
          </cell>
          <cell r="C278" t="str">
            <v xml:space="preserve">         TRAZO Y REPLANTEO PRELIMINAR</v>
          </cell>
          <cell r="D278" t="str">
            <v>m2</v>
          </cell>
          <cell r="E278">
            <v>12.8</v>
          </cell>
          <cell r="F278">
            <v>1.44</v>
          </cell>
          <cell r="G278">
            <v>18.431999999999999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12.8</v>
          </cell>
          <cell r="R278">
            <v>18.431999999999999</v>
          </cell>
          <cell r="S278">
            <v>1</v>
          </cell>
        </row>
        <row r="279">
          <cell r="B279" t="str">
            <v>01.12.02.03</v>
          </cell>
          <cell r="C279" t="str">
            <v xml:space="preserve">         EXCAVACION MANUAL</v>
          </cell>
          <cell r="D279" t="str">
            <v>m3</v>
          </cell>
          <cell r="E279">
            <v>7.68</v>
          </cell>
          <cell r="F279">
            <v>47.22</v>
          </cell>
          <cell r="G279">
            <v>362.64959999999996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7.68</v>
          </cell>
          <cell r="R279">
            <v>362.64959999999996</v>
          </cell>
          <cell r="S279">
            <v>1</v>
          </cell>
        </row>
        <row r="280">
          <cell r="B280" t="str">
            <v>01.12.02.04</v>
          </cell>
          <cell r="C280" t="str">
            <v xml:space="preserve">         REFINE, NIVELACION Y COMPACTACION</v>
          </cell>
          <cell r="D280" t="str">
            <v>m</v>
          </cell>
          <cell r="E280">
            <v>12.8</v>
          </cell>
          <cell r="F280">
            <v>3.15</v>
          </cell>
          <cell r="G280">
            <v>40.32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12.8</v>
          </cell>
          <cell r="R280">
            <v>40.32</v>
          </cell>
          <cell r="S280">
            <v>1</v>
          </cell>
        </row>
        <row r="281">
          <cell r="B281" t="str">
            <v>01.12.02.05</v>
          </cell>
          <cell r="C281" t="str">
            <v xml:space="preserve">         RELLENO CON MATERIAL PROPIO</v>
          </cell>
          <cell r="D281" t="str">
            <v>m3</v>
          </cell>
          <cell r="E281">
            <v>4.4800000000000004</v>
          </cell>
          <cell r="F281">
            <v>19.260000000000002</v>
          </cell>
          <cell r="G281">
            <v>86.284800000000018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4.4800000000000004</v>
          </cell>
          <cell r="R281">
            <v>86.284800000000018</v>
          </cell>
          <cell r="S281">
            <v>1</v>
          </cell>
        </row>
        <row r="282">
          <cell r="B282" t="str">
            <v>01.12.02.06</v>
          </cell>
          <cell r="C282" t="str">
            <v xml:space="preserve">         ACARREO DE MATERIAL EXCEDENTE</v>
          </cell>
          <cell r="D282" t="str">
            <v>m3</v>
          </cell>
          <cell r="E282">
            <v>4</v>
          </cell>
          <cell r="F282">
            <v>6.29</v>
          </cell>
          <cell r="G282">
            <v>25.16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4</v>
          </cell>
          <cell r="R282">
            <v>25.16</v>
          </cell>
          <cell r="S282">
            <v>1</v>
          </cell>
        </row>
        <row r="283">
          <cell r="B283" t="str">
            <v>01.12.02.07</v>
          </cell>
          <cell r="C283" t="str">
            <v xml:space="preserve">         ENCOFRADO Y DESENCOFRADO</v>
          </cell>
          <cell r="D283" t="str">
            <v>m2</v>
          </cell>
          <cell r="E283">
            <v>40</v>
          </cell>
          <cell r="F283">
            <v>42.88</v>
          </cell>
          <cell r="G283">
            <v>1715.2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40</v>
          </cell>
          <cell r="R283">
            <v>1715.2</v>
          </cell>
          <cell r="S283">
            <v>1</v>
          </cell>
        </row>
        <row r="284">
          <cell r="B284" t="str">
            <v>01.12.02.08</v>
          </cell>
          <cell r="C284" t="str">
            <v xml:space="preserve">         SOLADO PARA CIMENTACIONES H= 2"</v>
          </cell>
          <cell r="D284" t="str">
            <v>m2</v>
          </cell>
          <cell r="E284">
            <v>12.8</v>
          </cell>
          <cell r="F284">
            <v>33.39</v>
          </cell>
          <cell r="G284">
            <v>427.39200000000005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12.8</v>
          </cell>
          <cell r="R284">
            <v>427.39200000000005</v>
          </cell>
          <cell r="S284">
            <v>1</v>
          </cell>
        </row>
        <row r="285">
          <cell r="B285" t="str">
            <v>01.12.02.09</v>
          </cell>
          <cell r="C285" t="str">
            <v xml:space="preserve">         CONCRETO F'C= 175 KG/CM2.</v>
          </cell>
          <cell r="D285" t="str">
            <v>m3</v>
          </cell>
          <cell r="E285">
            <v>3.2800000000000002</v>
          </cell>
          <cell r="F285">
            <v>570.78</v>
          </cell>
          <cell r="G285">
            <v>1872.1584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3.2800000000000002</v>
          </cell>
          <cell r="R285">
            <v>1872.1584</v>
          </cell>
          <cell r="S285">
            <v>1</v>
          </cell>
        </row>
        <row r="286">
          <cell r="B286" t="str">
            <v>01.12.02.10</v>
          </cell>
          <cell r="C286" t="str">
            <v xml:space="preserve">         TARRAJEO EN EXTERIORES, MORTERO 1:5</v>
          </cell>
          <cell r="D286" t="str">
            <v>m2</v>
          </cell>
          <cell r="E286">
            <v>12</v>
          </cell>
          <cell r="F286">
            <v>23.45</v>
          </cell>
          <cell r="G286">
            <v>281.39999999999998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12</v>
          </cell>
          <cell r="R286">
            <v>281.39999999999998</v>
          </cell>
          <cell r="S286">
            <v>1</v>
          </cell>
        </row>
        <row r="287">
          <cell r="B287" t="str">
            <v>01.12.02.11</v>
          </cell>
          <cell r="C287" t="str">
            <v xml:space="preserve">         SUMINISTRO DE ACCESORIOS VALVULA DE PURGA  3/4"</v>
          </cell>
          <cell r="D287" t="str">
            <v>GLB</v>
          </cell>
          <cell r="E287">
            <v>20</v>
          </cell>
          <cell r="F287">
            <v>69.8</v>
          </cell>
          <cell r="G287">
            <v>1396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20</v>
          </cell>
          <cell r="R287">
            <v>1396</v>
          </cell>
          <cell r="S287">
            <v>1</v>
          </cell>
        </row>
        <row r="288">
          <cell r="B288" t="str">
            <v>01.12.02.12</v>
          </cell>
          <cell r="C288" t="str">
            <v xml:space="preserve">         ACCESORIOS  DE DRENAJE EN CAJA DE VALVULAS</v>
          </cell>
          <cell r="D288" t="str">
            <v>GLB</v>
          </cell>
          <cell r="E288">
            <v>20</v>
          </cell>
          <cell r="F288">
            <v>47.300000000000004</v>
          </cell>
          <cell r="G288">
            <v>946.00000000000011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20</v>
          </cell>
          <cell r="R288">
            <v>946.00000000000011</v>
          </cell>
          <cell r="S288">
            <v>1</v>
          </cell>
        </row>
        <row r="289">
          <cell r="B289" t="str">
            <v>01.12.02.13</v>
          </cell>
          <cell r="C289" t="str">
            <v xml:space="preserve">         COLOCACION DE ACCESORIOS PROMEDIO</v>
          </cell>
          <cell r="D289" t="str">
            <v>und</v>
          </cell>
          <cell r="E289">
            <v>320</v>
          </cell>
          <cell r="F289">
            <v>3.5700000000000003</v>
          </cell>
          <cell r="G289">
            <v>1142.4000000000001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320</v>
          </cell>
          <cell r="R289">
            <v>1142.4000000000001</v>
          </cell>
          <cell r="S289">
            <v>1</v>
          </cell>
        </row>
        <row r="290">
          <cell r="B290" t="str">
            <v>01.12.02.14</v>
          </cell>
          <cell r="C290" t="str">
            <v xml:space="preserve">         TAPA METALICA 0.40 X 0.40M. X 1/8"</v>
          </cell>
          <cell r="D290" t="str">
            <v>und</v>
          </cell>
          <cell r="E290">
            <v>20</v>
          </cell>
          <cell r="F290">
            <v>111.59</v>
          </cell>
          <cell r="G290">
            <v>2231.8000000000002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20</v>
          </cell>
          <cell r="R290">
            <v>2231.8000000000002</v>
          </cell>
          <cell r="S290">
            <v>1</v>
          </cell>
        </row>
        <row r="291">
          <cell r="B291" t="str">
            <v>01.12.02.15</v>
          </cell>
          <cell r="C291" t="str">
            <v xml:space="preserve">         CURADO DE CONCRETO</v>
          </cell>
          <cell r="D291" t="str">
            <v>m2</v>
          </cell>
          <cell r="E291">
            <v>12</v>
          </cell>
          <cell r="F291">
            <v>1.1500000000000001</v>
          </cell>
          <cell r="G291">
            <v>13.8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12</v>
          </cell>
          <cell r="R291">
            <v>13.8</v>
          </cell>
          <cell r="S291">
            <v>1</v>
          </cell>
        </row>
        <row r="292">
          <cell r="B292" t="str">
            <v>01.12.02.16</v>
          </cell>
          <cell r="C292" t="str">
            <v xml:space="preserve">         PINTURA EN EXTERIORES AL LATEX</v>
          </cell>
          <cell r="D292" t="str">
            <v>m2</v>
          </cell>
          <cell r="E292">
            <v>12</v>
          </cell>
          <cell r="F292">
            <v>16.75</v>
          </cell>
          <cell r="G292">
            <v>201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12</v>
          </cell>
          <cell r="R292">
            <v>201</v>
          </cell>
          <cell r="S292">
            <v>1</v>
          </cell>
        </row>
        <row r="293">
          <cell r="B293" t="str">
            <v>01.13</v>
          </cell>
          <cell r="C293" t="str">
            <v>CONEXIONES DOMILILIARIAS (114 UND.)</v>
          </cell>
          <cell r="G293">
            <v>42590.416700000002</v>
          </cell>
          <cell r="I293">
            <v>0</v>
          </cell>
          <cell r="L293">
            <v>0</v>
          </cell>
          <cell r="O293">
            <v>0</v>
          </cell>
        </row>
        <row r="294">
          <cell r="B294" t="str">
            <v>01.13.01</v>
          </cell>
          <cell r="C294" t="str">
            <v xml:space="preserve">      LIMPIEZA DE TERRENO MANUAL</v>
          </cell>
          <cell r="D294" t="str">
            <v>m2</v>
          </cell>
          <cell r="E294">
            <v>23.09</v>
          </cell>
          <cell r="F294">
            <v>0.72</v>
          </cell>
          <cell r="G294">
            <v>16.6248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23.09</v>
          </cell>
          <cell r="R294">
            <v>16.6248</v>
          </cell>
          <cell r="S294">
            <v>1</v>
          </cell>
        </row>
        <row r="295">
          <cell r="B295" t="str">
            <v>01.13.02</v>
          </cell>
          <cell r="C295" t="str">
            <v xml:space="preserve">      TRAZO Y REPLANTEO PRELIMINAR</v>
          </cell>
          <cell r="D295" t="str">
            <v>m2</v>
          </cell>
          <cell r="E295">
            <v>23.09</v>
          </cell>
          <cell r="F295">
            <v>1.44</v>
          </cell>
          <cell r="G295">
            <v>33.249600000000001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23.09</v>
          </cell>
          <cell r="R295">
            <v>33.249600000000001</v>
          </cell>
          <cell r="S295">
            <v>1</v>
          </cell>
        </row>
        <row r="296">
          <cell r="B296" t="str">
            <v>01.13.03</v>
          </cell>
          <cell r="C296" t="str">
            <v xml:space="preserve">      EXCAVACION MANUAL</v>
          </cell>
          <cell r="D296" t="str">
            <v>m3</v>
          </cell>
          <cell r="E296">
            <v>11.540000000000001</v>
          </cell>
          <cell r="F296">
            <v>47.22</v>
          </cell>
          <cell r="G296">
            <v>544.91880000000003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11.540000000000001</v>
          </cell>
          <cell r="R296">
            <v>544.91880000000003</v>
          </cell>
          <cell r="S296">
            <v>1</v>
          </cell>
        </row>
        <row r="297">
          <cell r="B297" t="str">
            <v>01.13.04</v>
          </cell>
          <cell r="C297" t="str">
            <v xml:space="preserve">      REFINE, NIVELACION Y COMPACTACION</v>
          </cell>
          <cell r="D297" t="str">
            <v>m</v>
          </cell>
          <cell r="E297">
            <v>23.09</v>
          </cell>
          <cell r="F297">
            <v>3.15</v>
          </cell>
          <cell r="G297">
            <v>72.733499999999992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23.09</v>
          </cell>
          <cell r="R297">
            <v>72.733499999999992</v>
          </cell>
          <cell r="S297">
            <v>1</v>
          </cell>
        </row>
        <row r="298">
          <cell r="B298" t="str">
            <v>01.13.05</v>
          </cell>
          <cell r="C298" t="str">
            <v xml:space="preserve">      ACARREO DE MATERIAL EXCEDENTE</v>
          </cell>
          <cell r="D298" t="str">
            <v>m3</v>
          </cell>
          <cell r="E298">
            <v>11.08</v>
          </cell>
          <cell r="F298">
            <v>6.29</v>
          </cell>
          <cell r="G298">
            <v>69.693200000000004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11.08</v>
          </cell>
          <cell r="R298">
            <v>69.693200000000004</v>
          </cell>
          <cell r="S298">
            <v>1</v>
          </cell>
        </row>
        <row r="299">
          <cell r="B299" t="str">
            <v>01.13.06</v>
          </cell>
          <cell r="C299" t="str">
            <v xml:space="preserve">      ENCOFRADO Y DESENCOFRADO</v>
          </cell>
          <cell r="D299" t="str">
            <v>m2</v>
          </cell>
          <cell r="E299">
            <v>54.72</v>
          </cell>
          <cell r="F299">
            <v>42.88</v>
          </cell>
          <cell r="G299">
            <v>2346.3935999999999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54.72</v>
          </cell>
          <cell r="R299">
            <v>2346.3935999999999</v>
          </cell>
          <cell r="S299">
            <v>1</v>
          </cell>
        </row>
        <row r="300">
          <cell r="B300" t="str">
            <v>01.13.07</v>
          </cell>
          <cell r="C300" t="str">
            <v xml:space="preserve">      CONCRETO F'C= 175 KG/CM2.</v>
          </cell>
          <cell r="D300" t="str">
            <v>m3</v>
          </cell>
          <cell r="E300">
            <v>7.44</v>
          </cell>
          <cell r="F300">
            <v>570.78</v>
          </cell>
          <cell r="G300">
            <v>4246.6032000000005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7.44</v>
          </cell>
          <cell r="R300">
            <v>4246.6032000000005</v>
          </cell>
          <cell r="S300">
            <v>1</v>
          </cell>
        </row>
        <row r="301">
          <cell r="B301" t="str">
            <v>01.13.08</v>
          </cell>
          <cell r="C301" t="str">
            <v xml:space="preserve">      ACCESORIOS CONEXIONES DOMICILIARIAS, COSTO GLOBAL</v>
          </cell>
          <cell r="D301" t="str">
            <v>GLB</v>
          </cell>
          <cell r="E301">
            <v>114</v>
          </cell>
          <cell r="F301">
            <v>57.9</v>
          </cell>
          <cell r="G301">
            <v>6600.5999999999995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114</v>
          </cell>
          <cell r="R301">
            <v>6600.5999999999995</v>
          </cell>
          <cell r="S301">
            <v>1</v>
          </cell>
        </row>
        <row r="302">
          <cell r="B302" t="str">
            <v>01.13.09</v>
          </cell>
          <cell r="C302" t="str">
            <v xml:space="preserve">      COLOCACION DE ACCESORIOS PROMEDIO</v>
          </cell>
          <cell r="D302" t="str">
            <v>und</v>
          </cell>
          <cell r="E302">
            <v>912</v>
          </cell>
          <cell r="F302">
            <v>3.5700000000000003</v>
          </cell>
          <cell r="G302">
            <v>3255.84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912</v>
          </cell>
          <cell r="R302">
            <v>3255.84</v>
          </cell>
          <cell r="S302">
            <v>1</v>
          </cell>
        </row>
        <row r="303">
          <cell r="B303" t="str">
            <v>01.13.10</v>
          </cell>
          <cell r="C303" t="str">
            <v xml:space="preserve">      PRUEBA HIDRAULICA Y DESINFECCION EN CAPTACION</v>
          </cell>
          <cell r="D303" t="str">
            <v>GLB</v>
          </cell>
          <cell r="E303">
            <v>114</v>
          </cell>
          <cell r="F303">
            <v>222.84</v>
          </cell>
          <cell r="G303">
            <v>25403.760000000002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114</v>
          </cell>
          <cell r="R303">
            <v>25403.760000000002</v>
          </cell>
          <cell r="S303">
            <v>1</v>
          </cell>
        </row>
        <row r="304">
          <cell r="B304" t="str">
            <v>01.14</v>
          </cell>
          <cell r="C304" t="str">
            <v>PILETA DOMICILIARIA (114 UND)</v>
          </cell>
          <cell r="G304">
            <v>139036.20079999999</v>
          </cell>
          <cell r="I304">
            <v>0</v>
          </cell>
          <cell r="L304">
            <v>4346.0248000000001</v>
          </cell>
          <cell r="O304">
            <v>4346.0248000000001</v>
          </cell>
        </row>
        <row r="305">
          <cell r="B305" t="str">
            <v>01.14.01</v>
          </cell>
          <cell r="C305" t="str">
            <v xml:space="preserve">      LIMPIEZA DE TERRENO MANUAL</v>
          </cell>
          <cell r="D305" t="str">
            <v>m2</v>
          </cell>
          <cell r="E305">
            <v>102.60000000000001</v>
          </cell>
          <cell r="F305">
            <v>0.72</v>
          </cell>
          <cell r="G305">
            <v>73.872</v>
          </cell>
          <cell r="H305">
            <v>0</v>
          </cell>
          <cell r="I305">
            <v>0</v>
          </cell>
          <cell r="J305">
            <v>0</v>
          </cell>
          <cell r="K305">
            <v>45</v>
          </cell>
          <cell r="L305">
            <v>32.4</v>
          </cell>
          <cell r="M305">
            <v>0.43859649122807015</v>
          </cell>
          <cell r="N305">
            <v>45</v>
          </cell>
          <cell r="O305">
            <v>32.4</v>
          </cell>
          <cell r="P305">
            <v>0.43859649122807015</v>
          </cell>
          <cell r="Q305">
            <v>57.600000000000009</v>
          </cell>
          <cell r="R305">
            <v>41.472000000000001</v>
          </cell>
          <cell r="S305">
            <v>0.5614035087719299</v>
          </cell>
        </row>
        <row r="306">
          <cell r="B306" t="str">
            <v>01.14.02</v>
          </cell>
          <cell r="C306" t="str">
            <v xml:space="preserve">      TRAZO Y REPLANTEO PRELIMINAR</v>
          </cell>
          <cell r="D306" t="str">
            <v>m2</v>
          </cell>
          <cell r="E306">
            <v>102.60000000000001</v>
          </cell>
          <cell r="F306">
            <v>1.44</v>
          </cell>
          <cell r="G306">
            <v>147.744</v>
          </cell>
          <cell r="H306">
            <v>0</v>
          </cell>
          <cell r="I306">
            <v>0</v>
          </cell>
          <cell r="J306">
            <v>0</v>
          </cell>
          <cell r="K306">
            <v>45</v>
          </cell>
          <cell r="L306">
            <v>64.8</v>
          </cell>
          <cell r="M306">
            <v>0.43859649122807015</v>
          </cell>
          <cell r="N306">
            <v>45</v>
          </cell>
          <cell r="O306">
            <v>64.8</v>
          </cell>
          <cell r="P306">
            <v>0.43859649122807015</v>
          </cell>
          <cell r="Q306">
            <v>57.600000000000009</v>
          </cell>
          <cell r="R306">
            <v>82.944000000000003</v>
          </cell>
          <cell r="S306">
            <v>0.5614035087719299</v>
          </cell>
        </row>
        <row r="307">
          <cell r="B307" t="str">
            <v>01.14.03</v>
          </cell>
          <cell r="C307" t="str">
            <v xml:space="preserve">      EXCAVACION MANUAL</v>
          </cell>
          <cell r="D307" t="str">
            <v>m3</v>
          </cell>
          <cell r="E307">
            <v>15.39</v>
          </cell>
          <cell r="F307">
            <v>47.22</v>
          </cell>
          <cell r="G307">
            <v>726.71580000000006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15.39</v>
          </cell>
          <cell r="R307">
            <v>726.71580000000006</v>
          </cell>
          <cell r="S307">
            <v>1</v>
          </cell>
        </row>
        <row r="308">
          <cell r="B308" t="str">
            <v>01.14.04</v>
          </cell>
          <cell r="C308" t="str">
            <v xml:space="preserve">      REFINE, NIVELACION Y COMPACTACION</v>
          </cell>
          <cell r="D308" t="str">
            <v>m</v>
          </cell>
          <cell r="E308">
            <v>102.60000000000001</v>
          </cell>
          <cell r="F308">
            <v>3.15</v>
          </cell>
          <cell r="G308">
            <v>323.19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102.60000000000001</v>
          </cell>
          <cell r="R308">
            <v>323.19</v>
          </cell>
          <cell r="S308">
            <v>1</v>
          </cell>
        </row>
        <row r="309">
          <cell r="B309" t="str">
            <v>01.14.05</v>
          </cell>
          <cell r="C309" t="str">
            <v xml:space="preserve">      ACARREO DE MATERIAL EXCEDENTE</v>
          </cell>
          <cell r="D309" t="str">
            <v>m3</v>
          </cell>
          <cell r="E309">
            <v>18.47</v>
          </cell>
          <cell r="F309">
            <v>6.29</v>
          </cell>
          <cell r="G309">
            <v>116.1763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18.47</v>
          </cell>
          <cell r="R309">
            <v>116.1763</v>
          </cell>
          <cell r="S309">
            <v>1</v>
          </cell>
        </row>
        <row r="310">
          <cell r="B310" t="str">
            <v>01.14.06</v>
          </cell>
          <cell r="C310" t="str">
            <v xml:space="preserve">      ENCOFRADO Y DESENCOFRADO</v>
          </cell>
          <cell r="D310" t="str">
            <v>m2</v>
          </cell>
          <cell r="E310">
            <v>417.24</v>
          </cell>
          <cell r="F310">
            <v>42.88</v>
          </cell>
          <cell r="G310">
            <v>17891.251200000002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417.24</v>
          </cell>
          <cell r="R310">
            <v>17891.251200000002</v>
          </cell>
          <cell r="S310">
            <v>1</v>
          </cell>
        </row>
        <row r="311">
          <cell r="B311" t="str">
            <v>01.14.07</v>
          </cell>
          <cell r="C311" t="str">
            <v xml:space="preserve">      ACERO DE REFUERZO FY= 4200 KG/CM2.</v>
          </cell>
          <cell r="D311" t="str">
            <v>kg</v>
          </cell>
          <cell r="E311">
            <v>772.46</v>
          </cell>
          <cell r="F311">
            <v>6.38</v>
          </cell>
          <cell r="G311">
            <v>4928.2948000000006</v>
          </cell>
          <cell r="H311">
            <v>0</v>
          </cell>
          <cell r="I311">
            <v>0</v>
          </cell>
          <cell r="J311">
            <v>0</v>
          </cell>
          <cell r="K311">
            <v>665.96</v>
          </cell>
          <cell r="L311">
            <v>4248.8248000000003</v>
          </cell>
          <cell r="M311">
            <v>0.8621287833674236</v>
          </cell>
          <cell r="N311">
            <v>665.96</v>
          </cell>
          <cell r="O311">
            <v>4248.8248000000003</v>
          </cell>
          <cell r="P311">
            <v>0.8621287833674236</v>
          </cell>
          <cell r="Q311">
            <v>106.5</v>
          </cell>
          <cell r="R311">
            <v>679.47</v>
          </cell>
          <cell r="S311">
            <v>0.13787121663257643</v>
          </cell>
        </row>
        <row r="312">
          <cell r="B312" t="str">
            <v>01.14.08</v>
          </cell>
          <cell r="C312" t="str">
            <v xml:space="preserve">      CONCRETO CICLOPEO  FC=140KG/CM2   + 30 % PM.</v>
          </cell>
          <cell r="D312" t="str">
            <v>m3</v>
          </cell>
          <cell r="E312">
            <v>22.23</v>
          </cell>
          <cell r="F312">
            <v>306.51</v>
          </cell>
          <cell r="G312">
            <v>6813.7173000000003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22.23</v>
          </cell>
          <cell r="R312">
            <v>6813.7173000000003</v>
          </cell>
          <cell r="S312">
            <v>1</v>
          </cell>
        </row>
        <row r="313">
          <cell r="B313" t="str">
            <v>01.14.09</v>
          </cell>
          <cell r="C313" t="str">
            <v xml:space="preserve">      CONCRETO F'C= 175 KG/CM2.</v>
          </cell>
          <cell r="D313" t="str">
            <v>m3</v>
          </cell>
          <cell r="E313">
            <v>26.79</v>
          </cell>
          <cell r="F313">
            <v>570.78</v>
          </cell>
          <cell r="G313">
            <v>15291.196199999998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26.79</v>
          </cell>
          <cell r="R313">
            <v>15291.196199999998</v>
          </cell>
          <cell r="S313">
            <v>1</v>
          </cell>
        </row>
        <row r="314">
          <cell r="B314" t="str">
            <v>01.14.10</v>
          </cell>
          <cell r="C314" t="str">
            <v xml:space="preserve">      TARRAJEO EN EXTERIORES, MORTERO 1:5 CON OCRE</v>
          </cell>
          <cell r="D314" t="str">
            <v>m2</v>
          </cell>
          <cell r="E314">
            <v>335.16</v>
          </cell>
          <cell r="F314">
            <v>34.619999999999997</v>
          </cell>
          <cell r="G314">
            <v>11603.2392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335.16</v>
          </cell>
          <cell r="R314">
            <v>11603.2392</v>
          </cell>
          <cell r="S314">
            <v>1</v>
          </cell>
        </row>
        <row r="315">
          <cell r="B315" t="str">
            <v>01.14.11</v>
          </cell>
          <cell r="C315" t="str">
            <v xml:space="preserve">      ACCESORIOS PILETAS, COSTO GLOBAL</v>
          </cell>
          <cell r="D315" t="str">
            <v>GLB</v>
          </cell>
          <cell r="E315">
            <v>114</v>
          </cell>
          <cell r="F315">
            <v>88</v>
          </cell>
          <cell r="G315">
            <v>10032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114</v>
          </cell>
          <cell r="R315">
            <v>10032</v>
          </cell>
          <cell r="S315">
            <v>1</v>
          </cell>
        </row>
        <row r="316">
          <cell r="B316" t="str">
            <v>01.14.12</v>
          </cell>
          <cell r="C316" t="str">
            <v xml:space="preserve">      COLOCACION DE ACCESORIOS PROMEDIO</v>
          </cell>
          <cell r="D316" t="str">
            <v>und</v>
          </cell>
          <cell r="E316">
            <v>912</v>
          </cell>
          <cell r="F316">
            <v>3.5700000000000003</v>
          </cell>
          <cell r="G316">
            <v>3255.84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912</v>
          </cell>
          <cell r="R316">
            <v>3255.84</v>
          </cell>
          <cell r="S316">
            <v>1</v>
          </cell>
        </row>
        <row r="317">
          <cell r="B317" t="str">
            <v>01.14.13</v>
          </cell>
          <cell r="C317" t="str">
            <v xml:space="preserve">      CURADO DE CONCRETO</v>
          </cell>
          <cell r="D317" t="str">
            <v>m2</v>
          </cell>
          <cell r="E317">
            <v>335.16</v>
          </cell>
          <cell r="F317">
            <v>1.1500000000000001</v>
          </cell>
          <cell r="G317">
            <v>385.43400000000008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335.16</v>
          </cell>
          <cell r="R317">
            <v>385.43400000000008</v>
          </cell>
          <cell r="S317">
            <v>1</v>
          </cell>
        </row>
        <row r="318">
          <cell r="B318" t="str">
            <v>01.14.14</v>
          </cell>
          <cell r="C318" t="str">
            <v xml:space="preserve">      POSO PERCOLADOR</v>
          </cell>
          <cell r="D318" t="str">
            <v>m3</v>
          </cell>
          <cell r="E318">
            <v>171</v>
          </cell>
          <cell r="F318">
            <v>394.43</v>
          </cell>
          <cell r="G318">
            <v>67447.53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171</v>
          </cell>
          <cell r="R318">
            <v>67447.53</v>
          </cell>
          <cell r="S318">
            <v>1</v>
          </cell>
        </row>
        <row r="319">
          <cell r="B319" t="str">
            <v>02</v>
          </cell>
          <cell r="C319" t="str">
            <v>SISTEMA DE ELIMINACION DE EXCRETAS</v>
          </cell>
          <cell r="G319">
            <v>654209.61819999991</v>
          </cell>
          <cell r="I319">
            <v>18104.988851999999</v>
          </cell>
          <cell r="L319">
            <v>11120.005999999999</v>
          </cell>
          <cell r="O319">
            <v>29224.994852</v>
          </cell>
        </row>
        <row r="320">
          <cell r="B320" t="str">
            <v>02.01</v>
          </cell>
          <cell r="C320" t="str">
            <v>LETRINA DOMICILIARIA (114 UND)</v>
          </cell>
          <cell r="G320">
            <v>445245.9464999999</v>
          </cell>
          <cell r="I320">
            <v>18104.988851999999</v>
          </cell>
          <cell r="L320">
            <v>10184.446</v>
          </cell>
          <cell r="O320">
            <v>28289.434851999999</v>
          </cell>
        </row>
        <row r="321">
          <cell r="B321" t="str">
            <v>02.01.01</v>
          </cell>
          <cell r="C321" t="str">
            <v xml:space="preserve">      LIMPIEZA DE TERRENO MANUAL</v>
          </cell>
          <cell r="D321" t="str">
            <v>m2</v>
          </cell>
          <cell r="E321">
            <v>432.63</v>
          </cell>
          <cell r="F321">
            <v>0.72</v>
          </cell>
          <cell r="G321">
            <v>311.49359999999996</v>
          </cell>
          <cell r="H321">
            <v>368.11499999999995</v>
          </cell>
          <cell r="I321">
            <v>265.04279999999994</v>
          </cell>
          <cell r="J321">
            <v>0.85087719298245601</v>
          </cell>
          <cell r="K321">
            <v>0</v>
          </cell>
          <cell r="L321">
            <v>0</v>
          </cell>
          <cell r="M321">
            <v>0</v>
          </cell>
          <cell r="N321">
            <v>368.11499999999995</v>
          </cell>
          <cell r="O321">
            <v>265.04279999999994</v>
          </cell>
          <cell r="P321">
            <v>0.85087719298245601</v>
          </cell>
          <cell r="Q321">
            <v>64.515000000000043</v>
          </cell>
          <cell r="R321">
            <v>46.450800000000029</v>
          </cell>
          <cell r="S321">
            <v>0.14912280701754396</v>
          </cell>
        </row>
        <row r="322">
          <cell r="B322" t="str">
            <v>02.01.02</v>
          </cell>
          <cell r="C322" t="str">
            <v xml:space="preserve">      TRAZO Y REPLANTEO PRELIMINAR</v>
          </cell>
          <cell r="D322" t="str">
            <v>m2</v>
          </cell>
          <cell r="E322">
            <v>432.63</v>
          </cell>
          <cell r="F322">
            <v>1.44</v>
          </cell>
          <cell r="G322">
            <v>622.98719999999992</v>
          </cell>
          <cell r="H322">
            <v>368.11499999999995</v>
          </cell>
          <cell r="I322">
            <v>530.08559999999989</v>
          </cell>
          <cell r="J322">
            <v>0.85087719298245601</v>
          </cell>
          <cell r="K322">
            <v>0</v>
          </cell>
          <cell r="L322">
            <v>0</v>
          </cell>
          <cell r="M322">
            <v>0</v>
          </cell>
          <cell r="N322">
            <v>368.11499999999995</v>
          </cell>
          <cell r="O322">
            <v>530.08559999999989</v>
          </cell>
          <cell r="P322">
            <v>0.85087719298245601</v>
          </cell>
          <cell r="Q322">
            <v>64.515000000000043</v>
          </cell>
          <cell r="R322">
            <v>92.901600000000059</v>
          </cell>
          <cell r="S322">
            <v>0.14912280701754396</v>
          </cell>
        </row>
        <row r="323">
          <cell r="B323" t="str">
            <v>02.01.03</v>
          </cell>
          <cell r="C323" t="str">
            <v xml:space="preserve">      EXCAVACION MANUAL</v>
          </cell>
          <cell r="D323" t="str">
            <v>m3</v>
          </cell>
          <cell r="E323">
            <v>74.900000000000006</v>
          </cell>
          <cell r="F323">
            <v>47.22</v>
          </cell>
          <cell r="G323">
            <v>3536.7780000000002</v>
          </cell>
          <cell r="H323">
            <v>63.729000000000006</v>
          </cell>
          <cell r="I323">
            <v>3009.2833800000003</v>
          </cell>
          <cell r="J323">
            <v>0.85085447263017355</v>
          </cell>
          <cell r="K323">
            <v>0</v>
          </cell>
          <cell r="L323">
            <v>0</v>
          </cell>
          <cell r="M323">
            <v>0</v>
          </cell>
          <cell r="N323">
            <v>63.729000000000006</v>
          </cell>
          <cell r="O323">
            <v>3009.2833800000003</v>
          </cell>
          <cell r="P323">
            <v>0.85085447263017355</v>
          </cell>
          <cell r="Q323">
            <v>11.170999999999999</v>
          </cell>
          <cell r="R323">
            <v>527.49461999999994</v>
          </cell>
          <cell r="S323">
            <v>0.14914552736982642</v>
          </cell>
        </row>
        <row r="324">
          <cell r="B324" t="str">
            <v>02.01.04</v>
          </cell>
          <cell r="C324" t="str">
            <v xml:space="preserve">      REFINE, NIVELACION Y COMPACTACION</v>
          </cell>
          <cell r="D324" t="str">
            <v>m</v>
          </cell>
          <cell r="E324">
            <v>249.66</v>
          </cell>
          <cell r="F324">
            <v>3.15</v>
          </cell>
          <cell r="G324">
            <v>786.42899999999997</v>
          </cell>
          <cell r="H324">
            <v>208.05</v>
          </cell>
          <cell r="I324">
            <v>655.35750000000007</v>
          </cell>
          <cell r="J324">
            <v>0.83333333333333337</v>
          </cell>
          <cell r="K324">
            <v>0</v>
          </cell>
          <cell r="L324">
            <v>0</v>
          </cell>
          <cell r="M324">
            <v>0</v>
          </cell>
          <cell r="N324">
            <v>208.05</v>
          </cell>
          <cell r="O324">
            <v>655.35750000000007</v>
          </cell>
          <cell r="P324">
            <v>0.83333333333333337</v>
          </cell>
          <cell r="Q324">
            <v>41.609999999999985</v>
          </cell>
          <cell r="R324">
            <v>131.07149999999996</v>
          </cell>
          <cell r="S324">
            <v>0.1666666666666666</v>
          </cell>
        </row>
        <row r="325">
          <cell r="B325" t="str">
            <v>02.01.05</v>
          </cell>
          <cell r="C325" t="str">
            <v xml:space="preserve">      ACARREO DE MATERIAL EXCEDENTE</v>
          </cell>
          <cell r="D325" t="str">
            <v>m3</v>
          </cell>
          <cell r="E325">
            <v>89.88</v>
          </cell>
          <cell r="F325">
            <v>6.29</v>
          </cell>
          <cell r="G325">
            <v>565.34519999999998</v>
          </cell>
          <cell r="H325">
            <v>76.474799999999988</v>
          </cell>
          <cell r="I325">
            <v>481.02649199999991</v>
          </cell>
          <cell r="J325">
            <v>0.85085447263017344</v>
          </cell>
          <cell r="K325">
            <v>0</v>
          </cell>
          <cell r="L325">
            <v>0</v>
          </cell>
          <cell r="M325">
            <v>0</v>
          </cell>
          <cell r="N325">
            <v>76.474799999999988</v>
          </cell>
          <cell r="O325">
            <v>481.02649199999991</v>
          </cell>
          <cell r="P325">
            <v>0.85085447263017344</v>
          </cell>
          <cell r="Q325">
            <v>13.405200000000008</v>
          </cell>
          <cell r="R325">
            <v>84.318708000000044</v>
          </cell>
          <cell r="S325">
            <v>0.14914552736982653</v>
          </cell>
        </row>
        <row r="326">
          <cell r="B326" t="str">
            <v>02.01.06</v>
          </cell>
          <cell r="C326" t="str">
            <v xml:space="preserve">      CIMIENTOS CORRIDOS CON PIEDRA Y BARRO</v>
          </cell>
          <cell r="D326" t="str">
            <v>m3</v>
          </cell>
          <cell r="E326">
            <v>106.11</v>
          </cell>
          <cell r="F326">
            <v>235.74</v>
          </cell>
          <cell r="G326">
            <v>25014.3714</v>
          </cell>
          <cell r="H326">
            <v>55.841999999999992</v>
          </cell>
          <cell r="I326">
            <v>13164.193079999999</v>
          </cell>
          <cell r="J326">
            <v>0.526265196494204</v>
          </cell>
          <cell r="K326">
            <v>0</v>
          </cell>
          <cell r="L326">
            <v>0</v>
          </cell>
          <cell r="M326">
            <v>0</v>
          </cell>
          <cell r="N326">
            <v>55.841999999999992</v>
          </cell>
          <cell r="O326">
            <v>13164.193079999999</v>
          </cell>
          <cell r="P326">
            <v>0.526265196494204</v>
          </cell>
          <cell r="Q326">
            <v>50.268000000000008</v>
          </cell>
          <cell r="R326">
            <v>11850.178320000003</v>
          </cell>
          <cell r="S326">
            <v>0.47373480350579594</v>
          </cell>
        </row>
        <row r="327">
          <cell r="B327" t="str">
            <v>02.01.07</v>
          </cell>
          <cell r="C327" t="str">
            <v xml:space="preserve">      MURO DE SOGA ADOBE DE 40X20X18CM</v>
          </cell>
          <cell r="D327" t="str">
            <v>m2</v>
          </cell>
          <cell r="E327">
            <v>1664.4</v>
          </cell>
          <cell r="F327">
            <v>75.8</v>
          </cell>
          <cell r="G327">
            <v>126161.52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1664.4</v>
          </cell>
          <cell r="R327">
            <v>126161.52</v>
          </cell>
          <cell r="S327">
            <v>1</v>
          </cell>
        </row>
        <row r="328">
          <cell r="B328" t="str">
            <v>02.01.08</v>
          </cell>
          <cell r="C328" t="str">
            <v xml:space="preserve">      COBERTURA DE LETRINA CON CALAMINA</v>
          </cell>
          <cell r="D328" t="str">
            <v>m2</v>
          </cell>
          <cell r="E328">
            <v>754.11</v>
          </cell>
          <cell r="F328">
            <v>63.65</v>
          </cell>
          <cell r="G328">
            <v>47999.101499999997</v>
          </cell>
          <cell r="H328">
            <v>0</v>
          </cell>
          <cell r="I328">
            <v>0</v>
          </cell>
          <cell r="J328">
            <v>0</v>
          </cell>
          <cell r="K328">
            <v>158.69999999999999</v>
          </cell>
          <cell r="L328">
            <v>10101.254999999999</v>
          </cell>
          <cell r="M328">
            <v>0.21044675180013525</v>
          </cell>
          <cell r="N328">
            <v>158.69999999999999</v>
          </cell>
          <cell r="O328">
            <v>10101.254999999999</v>
          </cell>
          <cell r="P328">
            <v>0.21044675180013525</v>
          </cell>
          <cell r="Q328">
            <v>595.41000000000008</v>
          </cell>
          <cell r="R328">
            <v>37897.846500000007</v>
          </cell>
          <cell r="S328">
            <v>0.78955324819986483</v>
          </cell>
        </row>
        <row r="329">
          <cell r="B329" t="str">
            <v>02.01.09</v>
          </cell>
          <cell r="C329" t="str">
            <v xml:space="preserve">      TARRAJEO EN EXTERIORES, MORTERO 1:5 CON OCRE</v>
          </cell>
          <cell r="D329" t="str">
            <v>m2</v>
          </cell>
          <cell r="E329">
            <v>3009.6</v>
          </cell>
          <cell r="F329">
            <v>34.619999999999997</v>
          </cell>
          <cell r="G329">
            <v>104192.35199999998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3009.6</v>
          </cell>
          <cell r="R329">
            <v>104192.35199999998</v>
          </cell>
          <cell r="S329">
            <v>1</v>
          </cell>
        </row>
        <row r="330">
          <cell r="B330" t="str">
            <v>02.01.10</v>
          </cell>
          <cell r="C330" t="str">
            <v xml:space="preserve">      PISO DE 2" CONCRETO F'C 140 KG/CM2 X 4 CM.+ PULIDO 1:2 X 1CM</v>
          </cell>
          <cell r="D330" t="str">
            <v>m2</v>
          </cell>
          <cell r="E330">
            <v>307.8</v>
          </cell>
          <cell r="F330">
            <v>129.71</v>
          </cell>
          <cell r="G330">
            <v>39924.738000000005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307.8</v>
          </cell>
          <cell r="R330">
            <v>39924.738000000005</v>
          </cell>
          <cell r="S330">
            <v>1</v>
          </cell>
        </row>
        <row r="331">
          <cell r="B331" t="str">
            <v>02.01.11</v>
          </cell>
          <cell r="C331" t="str">
            <v xml:space="preserve">      VEREDA RIGIDA DE CONCRETO F'C=140 KG/CM2 E=10CM.,PASTA 1:2</v>
          </cell>
          <cell r="D331" t="str">
            <v>m2</v>
          </cell>
          <cell r="E331">
            <v>352.26</v>
          </cell>
          <cell r="F331">
            <v>154.61000000000001</v>
          </cell>
          <cell r="G331">
            <v>54462.918600000005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352.26</v>
          </cell>
          <cell r="R331">
            <v>54462.918600000005</v>
          </cell>
          <cell r="S331">
            <v>1</v>
          </cell>
        </row>
        <row r="332">
          <cell r="B332" t="str">
            <v>02.01.12</v>
          </cell>
          <cell r="C332" t="str">
            <v xml:space="preserve">      PUERTAS DE MADERA TABLEROS REBAJADOS DE 2.5 MM. DE AGUANO</v>
          </cell>
          <cell r="D332" t="str">
            <v>m2</v>
          </cell>
          <cell r="E332">
            <v>159.6</v>
          </cell>
          <cell r="F332">
            <v>228.03</v>
          </cell>
          <cell r="G332">
            <v>36393.587999999996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159.6</v>
          </cell>
          <cell r="R332">
            <v>36393.587999999996</v>
          </cell>
          <cell r="S332">
            <v>1</v>
          </cell>
        </row>
        <row r="333">
          <cell r="B333" t="str">
            <v>02.01.13</v>
          </cell>
          <cell r="C333" t="str">
            <v xml:space="preserve">      VENTANA DE MADERA</v>
          </cell>
          <cell r="D333" t="str">
            <v>m2</v>
          </cell>
          <cell r="E333">
            <v>22.8</v>
          </cell>
          <cell r="F333">
            <v>79.53</v>
          </cell>
          <cell r="G333">
            <v>1813.2840000000001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22.8</v>
          </cell>
          <cell r="R333">
            <v>1813.2840000000001</v>
          </cell>
          <cell r="S333">
            <v>1</v>
          </cell>
        </row>
        <row r="334">
          <cell r="B334" t="str">
            <v>02.01.14</v>
          </cell>
          <cell r="C334" t="str">
            <v xml:space="preserve">      CURADO DE CONCRETO</v>
          </cell>
          <cell r="D334" t="str">
            <v>m2</v>
          </cell>
          <cell r="E334">
            <v>3009.6</v>
          </cell>
          <cell r="F334">
            <v>1.1500000000000001</v>
          </cell>
          <cell r="G334">
            <v>3461.0400000000004</v>
          </cell>
          <cell r="H334">
            <v>0</v>
          </cell>
          <cell r="I334">
            <v>0</v>
          </cell>
          <cell r="J334">
            <v>0</v>
          </cell>
          <cell r="K334">
            <v>72.34</v>
          </cell>
          <cell r="L334">
            <v>83.191000000000017</v>
          </cell>
          <cell r="M334">
            <v>2.4036416799574696E-2</v>
          </cell>
          <cell r="N334">
            <v>72.34</v>
          </cell>
          <cell r="O334">
            <v>83.191000000000017</v>
          </cell>
          <cell r="P334">
            <v>2.4036416799574696E-2</v>
          </cell>
          <cell r="Q334">
            <v>2937.2599999999998</v>
          </cell>
          <cell r="R334">
            <v>3377.8490000000002</v>
          </cell>
          <cell r="S334">
            <v>0.97596358320042531</v>
          </cell>
        </row>
        <row r="335">
          <cell r="B335" t="str">
            <v>02.02</v>
          </cell>
          <cell r="C335" t="str">
            <v>INSTALACION DE AGUA EN LETRINAS</v>
          </cell>
          <cell r="G335">
            <v>59103.3</v>
          </cell>
          <cell r="I335">
            <v>0</v>
          </cell>
          <cell r="L335">
            <v>0</v>
          </cell>
          <cell r="O335">
            <v>0</v>
          </cell>
        </row>
        <row r="336">
          <cell r="B336" t="str">
            <v>02.02.01</v>
          </cell>
          <cell r="C336" t="str">
            <v xml:space="preserve">      INODORO TANQUE BAJO BLANCO</v>
          </cell>
          <cell r="D336" t="str">
            <v>pza</v>
          </cell>
          <cell r="E336">
            <v>114</v>
          </cell>
          <cell r="F336">
            <v>224.29</v>
          </cell>
          <cell r="G336">
            <v>25569.059999999998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114</v>
          </cell>
          <cell r="R336">
            <v>25569.059999999998</v>
          </cell>
          <cell r="S336">
            <v>1</v>
          </cell>
        </row>
        <row r="337">
          <cell r="B337" t="str">
            <v>02.02.02</v>
          </cell>
          <cell r="C337" t="str">
            <v xml:space="preserve">      DUCHA CROMADA 1 LLAVE INCL.ACCESORIOS</v>
          </cell>
          <cell r="D337" t="str">
            <v>und</v>
          </cell>
          <cell r="E337">
            <v>114</v>
          </cell>
          <cell r="F337">
            <v>104.29</v>
          </cell>
          <cell r="G337">
            <v>11889.060000000001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114</v>
          </cell>
          <cell r="R337">
            <v>11889.060000000001</v>
          </cell>
          <cell r="S337">
            <v>1</v>
          </cell>
        </row>
        <row r="338">
          <cell r="B338" t="str">
            <v>02.02.03</v>
          </cell>
          <cell r="C338" t="str">
            <v xml:space="preserve">      TUBERIA PVC SAP  1/2" C-.10</v>
          </cell>
          <cell r="D338" t="str">
            <v>m</v>
          </cell>
          <cell r="E338">
            <v>570</v>
          </cell>
          <cell r="F338">
            <v>3.02</v>
          </cell>
          <cell r="G338">
            <v>1721.4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570</v>
          </cell>
          <cell r="R338">
            <v>1721.4</v>
          </cell>
          <cell r="S338">
            <v>1</v>
          </cell>
        </row>
        <row r="339">
          <cell r="B339" t="str">
            <v>02.02.04</v>
          </cell>
          <cell r="C339" t="str">
            <v xml:space="preserve">      SUMINISTRO DE ACCESORIOS DE AGUA PARA LETRINAS</v>
          </cell>
          <cell r="D339" t="str">
            <v>und</v>
          </cell>
          <cell r="E339">
            <v>114</v>
          </cell>
          <cell r="F339">
            <v>14</v>
          </cell>
          <cell r="G339">
            <v>1596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114</v>
          </cell>
          <cell r="R339">
            <v>1596</v>
          </cell>
          <cell r="S339">
            <v>1</v>
          </cell>
        </row>
        <row r="340">
          <cell r="B340" t="str">
            <v>02.02.05</v>
          </cell>
          <cell r="C340" t="str">
            <v xml:space="preserve">      COLOCACION DE ACCESORIOS PROMEDIO</v>
          </cell>
          <cell r="D340" t="str">
            <v>und</v>
          </cell>
          <cell r="E340">
            <v>1710</v>
          </cell>
          <cell r="F340">
            <v>3.5700000000000003</v>
          </cell>
          <cell r="G340">
            <v>6104.7000000000007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1710</v>
          </cell>
          <cell r="R340">
            <v>6104.7000000000007</v>
          </cell>
          <cell r="S340">
            <v>1</v>
          </cell>
        </row>
        <row r="341">
          <cell r="B341" t="str">
            <v>02.02.06</v>
          </cell>
          <cell r="C341" t="str">
            <v xml:space="preserve">      SUMINISTRO DE ACCESORIOS VALVULA DE CONTROL 1/2"</v>
          </cell>
          <cell r="D341" t="str">
            <v>GLB</v>
          </cell>
          <cell r="E341">
            <v>342</v>
          </cell>
          <cell r="F341">
            <v>35.74</v>
          </cell>
          <cell r="G341">
            <v>12223.08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342</v>
          </cell>
          <cell r="R341">
            <v>12223.08</v>
          </cell>
          <cell r="S341">
            <v>1</v>
          </cell>
        </row>
        <row r="342">
          <cell r="B342" t="str">
            <v>02.03</v>
          </cell>
          <cell r="C342" t="str">
            <v>INSTALACION DE DESAGUE EN LETRINAS</v>
          </cell>
          <cell r="G342">
            <v>31050.18</v>
          </cell>
          <cell r="I342">
            <v>0</v>
          </cell>
          <cell r="L342">
            <v>935.56000000000006</v>
          </cell>
          <cell r="O342">
            <v>935.56000000000006</v>
          </cell>
        </row>
        <row r="343">
          <cell r="B343" t="str">
            <v>02.03.01</v>
          </cell>
          <cell r="C343" t="str">
            <v xml:space="preserve">      TUBERIA PVC SAL 4"</v>
          </cell>
          <cell r="D343" t="str">
            <v>m</v>
          </cell>
          <cell r="E343">
            <v>1710</v>
          </cell>
          <cell r="F343">
            <v>13.14</v>
          </cell>
          <cell r="G343">
            <v>22469.4</v>
          </cell>
          <cell r="H343">
            <v>0</v>
          </cell>
          <cell r="I343">
            <v>0</v>
          </cell>
          <cell r="J343">
            <v>0</v>
          </cell>
          <cell r="K343">
            <v>28</v>
          </cell>
          <cell r="L343">
            <v>367.92</v>
          </cell>
          <cell r="M343">
            <v>1.6374269005847954E-2</v>
          </cell>
          <cell r="N343">
            <v>28</v>
          </cell>
          <cell r="O343">
            <v>367.92</v>
          </cell>
          <cell r="P343">
            <v>1.6374269005847954E-2</v>
          </cell>
          <cell r="Q343">
            <v>1682</v>
          </cell>
          <cell r="R343">
            <v>22101.48</v>
          </cell>
          <cell r="S343">
            <v>0.98362573099415207</v>
          </cell>
        </row>
        <row r="344">
          <cell r="B344" t="str">
            <v>02.03.02</v>
          </cell>
          <cell r="C344" t="str">
            <v xml:space="preserve">      TUBERIA PVC SAL 2"</v>
          </cell>
          <cell r="D344" t="str">
            <v>m</v>
          </cell>
          <cell r="E344">
            <v>228</v>
          </cell>
          <cell r="F344">
            <v>5.44</v>
          </cell>
          <cell r="G344">
            <v>1240.3200000000002</v>
          </cell>
          <cell r="H344">
            <v>0</v>
          </cell>
          <cell r="I344">
            <v>0</v>
          </cell>
          <cell r="J344">
            <v>0</v>
          </cell>
          <cell r="K344">
            <v>57</v>
          </cell>
          <cell r="L344">
            <v>310.08000000000004</v>
          </cell>
          <cell r="M344">
            <v>0.25</v>
          </cell>
          <cell r="N344">
            <v>57</v>
          </cell>
          <cell r="O344">
            <v>310.08000000000004</v>
          </cell>
          <cell r="P344">
            <v>0.25</v>
          </cell>
          <cell r="Q344">
            <v>171</v>
          </cell>
          <cell r="R344">
            <v>930.24000000000012</v>
          </cell>
          <cell r="S344">
            <v>0.75</v>
          </cell>
        </row>
        <row r="345">
          <cell r="B345" t="str">
            <v>02.03.03</v>
          </cell>
          <cell r="C345" t="str">
            <v xml:space="preserve">      SUMINISTRO DE ACCESORIOS DE DESAGUE PARA LETRINAS</v>
          </cell>
          <cell r="D345" t="str">
            <v>und</v>
          </cell>
          <cell r="E345">
            <v>114</v>
          </cell>
          <cell r="F345">
            <v>39.4</v>
          </cell>
          <cell r="G345">
            <v>4491.5999999999995</v>
          </cell>
          <cell r="H345">
            <v>0</v>
          </cell>
          <cell r="I345">
            <v>0</v>
          </cell>
          <cell r="J345">
            <v>0</v>
          </cell>
          <cell r="K345">
            <v>4</v>
          </cell>
          <cell r="L345">
            <v>157.6</v>
          </cell>
          <cell r="M345">
            <v>3.5087719298245612E-2</v>
          </cell>
          <cell r="N345">
            <v>4</v>
          </cell>
          <cell r="O345">
            <v>157.6</v>
          </cell>
          <cell r="P345">
            <v>3.5087719298245612E-2</v>
          </cell>
          <cell r="Q345">
            <v>110</v>
          </cell>
          <cell r="R345">
            <v>4334</v>
          </cell>
          <cell r="S345">
            <v>0.96491228070175439</v>
          </cell>
        </row>
        <row r="346">
          <cell r="B346" t="str">
            <v>02.03.04</v>
          </cell>
          <cell r="C346" t="str">
            <v xml:space="preserve">      COLOCACION DE ACCESORIOS PROMEDIO</v>
          </cell>
          <cell r="D346" t="str">
            <v>und</v>
          </cell>
          <cell r="E346">
            <v>798</v>
          </cell>
          <cell r="F346">
            <v>3.5700000000000003</v>
          </cell>
          <cell r="G346">
            <v>2848.86</v>
          </cell>
          <cell r="H346">
            <v>0</v>
          </cell>
          <cell r="I346">
            <v>0</v>
          </cell>
          <cell r="J346">
            <v>0</v>
          </cell>
          <cell r="K346">
            <v>28</v>
          </cell>
          <cell r="L346">
            <v>99.960000000000008</v>
          </cell>
          <cell r="M346">
            <v>3.5087719298245612E-2</v>
          </cell>
          <cell r="N346">
            <v>28</v>
          </cell>
          <cell r="O346">
            <v>99.960000000000008</v>
          </cell>
          <cell r="P346">
            <v>3.5087719298245612E-2</v>
          </cell>
          <cell r="Q346">
            <v>770</v>
          </cell>
          <cell r="R346">
            <v>2748.9</v>
          </cell>
          <cell r="S346">
            <v>0.96491228070175439</v>
          </cell>
        </row>
        <row r="347">
          <cell r="B347" t="str">
            <v>02.04</v>
          </cell>
          <cell r="C347" t="str">
            <v>CAJA DE REGISTRO DE DESAGUE</v>
          </cell>
          <cell r="G347">
            <v>21008.279000000002</v>
          </cell>
          <cell r="I347">
            <v>0</v>
          </cell>
          <cell r="L347">
            <v>0</v>
          </cell>
          <cell r="O347">
            <v>0</v>
          </cell>
        </row>
        <row r="348">
          <cell r="B348" t="str">
            <v>02.04.01</v>
          </cell>
          <cell r="C348" t="str">
            <v xml:space="preserve">      LIMPIEZA DE TERRENO MANUAL</v>
          </cell>
          <cell r="D348" t="str">
            <v>m2</v>
          </cell>
          <cell r="E348">
            <v>38.480000000000004</v>
          </cell>
          <cell r="F348">
            <v>0.72</v>
          </cell>
          <cell r="G348">
            <v>27.7056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38.480000000000004</v>
          </cell>
          <cell r="R348">
            <v>27.7056</v>
          </cell>
          <cell r="S348">
            <v>1</v>
          </cell>
        </row>
        <row r="349">
          <cell r="B349" t="str">
            <v>02.04.02</v>
          </cell>
          <cell r="C349" t="str">
            <v xml:space="preserve">      TRAZO Y REPLANTEO PRELIMINAR</v>
          </cell>
          <cell r="D349" t="str">
            <v>m2</v>
          </cell>
          <cell r="E349">
            <v>38.480000000000004</v>
          </cell>
          <cell r="F349">
            <v>1.44</v>
          </cell>
          <cell r="G349">
            <v>55.411200000000001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38.480000000000004</v>
          </cell>
          <cell r="R349">
            <v>55.411200000000001</v>
          </cell>
          <cell r="S349">
            <v>1</v>
          </cell>
        </row>
        <row r="350">
          <cell r="B350" t="str">
            <v>02.04.03</v>
          </cell>
          <cell r="C350" t="str">
            <v xml:space="preserve">      EXCAVACION MANUAL</v>
          </cell>
          <cell r="D350" t="str">
            <v>m3</v>
          </cell>
          <cell r="E350">
            <v>26.93</v>
          </cell>
          <cell r="F350">
            <v>47.22</v>
          </cell>
          <cell r="G350">
            <v>1271.6345999999999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26.93</v>
          </cell>
          <cell r="R350">
            <v>1271.6345999999999</v>
          </cell>
          <cell r="S350">
            <v>1</v>
          </cell>
        </row>
        <row r="351">
          <cell r="B351" t="str">
            <v>02.04.04</v>
          </cell>
          <cell r="C351" t="str">
            <v xml:space="preserve">      REFINE, NIVELACION Y COMPACTACION</v>
          </cell>
          <cell r="D351" t="str">
            <v>m</v>
          </cell>
          <cell r="E351">
            <v>38.480000000000004</v>
          </cell>
          <cell r="F351">
            <v>3.15</v>
          </cell>
          <cell r="G351">
            <v>121.212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38.480000000000004</v>
          </cell>
          <cell r="R351">
            <v>121.212</v>
          </cell>
          <cell r="S351">
            <v>1</v>
          </cell>
        </row>
        <row r="352">
          <cell r="B352" t="str">
            <v>02.04.05</v>
          </cell>
          <cell r="C352" t="str">
            <v xml:space="preserve">      ACARREO DE MATERIAL EXCEDENTE</v>
          </cell>
          <cell r="D352" t="str">
            <v>m3</v>
          </cell>
          <cell r="E352">
            <v>32.32</v>
          </cell>
          <cell r="F352">
            <v>6.29</v>
          </cell>
          <cell r="G352">
            <v>203.2928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32.32</v>
          </cell>
          <cell r="R352">
            <v>203.2928</v>
          </cell>
          <cell r="S352">
            <v>1</v>
          </cell>
        </row>
        <row r="353">
          <cell r="B353" t="str">
            <v>02.04.06</v>
          </cell>
          <cell r="C353" t="str">
            <v xml:space="preserve">      ENCOFRADO Y DESENCOFRADO</v>
          </cell>
          <cell r="D353" t="str">
            <v>m2</v>
          </cell>
          <cell r="E353">
            <v>41.04</v>
          </cell>
          <cell r="F353">
            <v>42.88</v>
          </cell>
          <cell r="G353">
            <v>1759.7952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41.04</v>
          </cell>
          <cell r="R353">
            <v>1759.7952</v>
          </cell>
          <cell r="S353">
            <v>1</v>
          </cell>
        </row>
        <row r="354">
          <cell r="B354" t="str">
            <v>02.04.07</v>
          </cell>
          <cell r="C354" t="str">
            <v xml:space="preserve">      CONCRETO F'C= 175 KG/CM2.</v>
          </cell>
          <cell r="D354" t="str">
            <v>m3</v>
          </cell>
          <cell r="E354">
            <v>14.620000000000001</v>
          </cell>
          <cell r="F354">
            <v>570.78</v>
          </cell>
          <cell r="G354">
            <v>8344.8035999999993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14.620000000000001</v>
          </cell>
          <cell r="R354">
            <v>8344.8035999999993</v>
          </cell>
          <cell r="S354">
            <v>1</v>
          </cell>
        </row>
        <row r="355">
          <cell r="B355" t="str">
            <v>02.04.08</v>
          </cell>
          <cell r="C355" t="str">
            <v xml:space="preserve">      TARRAJEO EN EXTERIORES, MORTERO 1:5</v>
          </cell>
          <cell r="D355" t="str">
            <v>m2</v>
          </cell>
          <cell r="E355">
            <v>123.12</v>
          </cell>
          <cell r="F355">
            <v>23.45</v>
          </cell>
          <cell r="G355">
            <v>2887.1640000000002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123.12</v>
          </cell>
          <cell r="R355">
            <v>2887.1640000000002</v>
          </cell>
          <cell r="S355">
            <v>1</v>
          </cell>
        </row>
        <row r="356">
          <cell r="B356" t="str">
            <v>02.04.09</v>
          </cell>
          <cell r="C356" t="str">
            <v xml:space="preserve">      TAPA DE REGISTRO DE DESAGUE</v>
          </cell>
          <cell r="D356" t="str">
            <v>und</v>
          </cell>
          <cell r="E356">
            <v>114</v>
          </cell>
          <cell r="F356">
            <v>55.59</v>
          </cell>
          <cell r="G356">
            <v>6337.26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114</v>
          </cell>
          <cell r="R356">
            <v>6337.26</v>
          </cell>
          <cell r="S356">
            <v>1</v>
          </cell>
        </row>
        <row r="357">
          <cell r="B357" t="str">
            <v>02.05</v>
          </cell>
          <cell r="C357" t="str">
            <v>POSO SEPTICO</v>
          </cell>
          <cell r="G357">
            <v>97801.912700000015</v>
          </cell>
          <cell r="I357">
            <v>0</v>
          </cell>
          <cell r="L357">
            <v>0</v>
          </cell>
          <cell r="O357">
            <v>0</v>
          </cell>
        </row>
        <row r="358">
          <cell r="B358" t="str">
            <v>02.05.01</v>
          </cell>
          <cell r="C358" t="str">
            <v xml:space="preserve">      LIMPIEZA DE TERRENO MANUAL</v>
          </cell>
          <cell r="D358" t="str">
            <v>m2</v>
          </cell>
          <cell r="E358">
            <v>223.44</v>
          </cell>
          <cell r="F358">
            <v>0.72</v>
          </cell>
          <cell r="G358">
            <v>160.8768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223.44</v>
          </cell>
          <cell r="R358">
            <v>160.8768</v>
          </cell>
          <cell r="S358">
            <v>1</v>
          </cell>
        </row>
        <row r="359">
          <cell r="B359" t="str">
            <v>02.05.02</v>
          </cell>
          <cell r="C359" t="str">
            <v xml:space="preserve">      TRAZO Y REPLANTEO PRELIMINAR</v>
          </cell>
          <cell r="D359" t="str">
            <v>m2</v>
          </cell>
          <cell r="E359">
            <v>223.44</v>
          </cell>
          <cell r="F359">
            <v>1.44</v>
          </cell>
          <cell r="G359">
            <v>321.75360000000001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223.44</v>
          </cell>
          <cell r="R359">
            <v>321.75360000000001</v>
          </cell>
          <cell r="S359">
            <v>1</v>
          </cell>
        </row>
        <row r="360">
          <cell r="B360" t="str">
            <v>02.05.03</v>
          </cell>
          <cell r="C360" t="str">
            <v xml:space="preserve">      EXCAVACION MANUAL</v>
          </cell>
          <cell r="D360" t="str">
            <v>m3</v>
          </cell>
          <cell r="E360">
            <v>379.85</v>
          </cell>
          <cell r="F360">
            <v>47.22</v>
          </cell>
          <cell r="G360">
            <v>17936.517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379.85</v>
          </cell>
          <cell r="R360">
            <v>17936.517</v>
          </cell>
          <cell r="S360">
            <v>1</v>
          </cell>
        </row>
        <row r="361">
          <cell r="B361" t="str">
            <v>02.05.04</v>
          </cell>
          <cell r="C361" t="str">
            <v xml:space="preserve">      REFINE, NIVELACION Y COMPACTACION</v>
          </cell>
          <cell r="D361" t="str">
            <v>m</v>
          </cell>
          <cell r="E361">
            <v>223.44</v>
          </cell>
          <cell r="F361">
            <v>3.15</v>
          </cell>
          <cell r="G361">
            <v>703.83600000000001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223.44</v>
          </cell>
          <cell r="R361">
            <v>703.83600000000001</v>
          </cell>
          <cell r="S361">
            <v>1</v>
          </cell>
        </row>
        <row r="362">
          <cell r="B362" t="str">
            <v>02.05.05</v>
          </cell>
          <cell r="C362" t="str">
            <v xml:space="preserve">      ACARREO DE MATERIAL EXCEDENTE</v>
          </cell>
          <cell r="D362" t="str">
            <v>m3</v>
          </cell>
          <cell r="E362">
            <v>455.82</v>
          </cell>
          <cell r="F362">
            <v>6.29</v>
          </cell>
          <cell r="G362">
            <v>2867.1077999999998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455.82</v>
          </cell>
          <cell r="R362">
            <v>2867.1077999999998</v>
          </cell>
          <cell r="S362">
            <v>1</v>
          </cell>
        </row>
        <row r="363">
          <cell r="B363" t="str">
            <v>02.05.06</v>
          </cell>
          <cell r="C363" t="str">
            <v xml:space="preserve">      MAMPOSTERIA DE PIEDRA</v>
          </cell>
          <cell r="D363" t="str">
            <v>m3</v>
          </cell>
          <cell r="E363">
            <v>133.61000000000001</v>
          </cell>
          <cell r="F363">
            <v>321.79000000000002</v>
          </cell>
          <cell r="G363">
            <v>42994.361900000004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133.61000000000001</v>
          </cell>
          <cell r="R363">
            <v>42994.361900000004</v>
          </cell>
          <cell r="S363">
            <v>1</v>
          </cell>
        </row>
        <row r="364">
          <cell r="B364" t="str">
            <v>02.05.07</v>
          </cell>
          <cell r="C364" t="str">
            <v xml:space="preserve">      ENCOFRADO Y DESENCOFRADO</v>
          </cell>
          <cell r="D364" t="str">
            <v>m2</v>
          </cell>
          <cell r="E364">
            <v>72.960000000000008</v>
          </cell>
          <cell r="F364">
            <v>42.88</v>
          </cell>
          <cell r="G364">
            <v>3128.5248000000006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72.960000000000008</v>
          </cell>
          <cell r="R364">
            <v>3128.5248000000006</v>
          </cell>
          <cell r="S364">
            <v>1</v>
          </cell>
        </row>
        <row r="365">
          <cell r="B365" t="str">
            <v>02.05.08</v>
          </cell>
          <cell r="C365" t="str">
            <v xml:space="preserve">      ACERO DE REFUERZO FY= 4200 KG/CM2.</v>
          </cell>
          <cell r="D365" t="str">
            <v>kg</v>
          </cell>
          <cell r="E365">
            <v>2042.88</v>
          </cell>
          <cell r="F365">
            <v>6.38</v>
          </cell>
          <cell r="G365">
            <v>13033.574400000001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2042.88</v>
          </cell>
          <cell r="R365">
            <v>13033.574400000001</v>
          </cell>
          <cell r="S365">
            <v>1</v>
          </cell>
        </row>
        <row r="366">
          <cell r="B366" t="str">
            <v>02.05.09</v>
          </cell>
          <cell r="C366" t="str">
            <v xml:space="preserve">      CONCRETO F'C= 175 KG/CM2.</v>
          </cell>
          <cell r="D366" t="str">
            <v>m3</v>
          </cell>
          <cell r="E366">
            <v>29.18</v>
          </cell>
          <cell r="F366">
            <v>570.78</v>
          </cell>
          <cell r="G366">
            <v>16655.360399999998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29.18</v>
          </cell>
          <cell r="R366">
            <v>16655.360399999998</v>
          </cell>
          <cell r="S366">
            <v>1</v>
          </cell>
        </row>
        <row r="367">
          <cell r="C367" t="str">
            <v>OBRAS ADICIONALES</v>
          </cell>
          <cell r="G367">
            <v>158175.59</v>
          </cell>
          <cell r="I367">
            <v>87542.35</v>
          </cell>
          <cell r="L367">
            <v>39410.21</v>
          </cell>
          <cell r="O367">
            <v>126952.56</v>
          </cell>
        </row>
        <row r="368">
          <cell r="B368" t="str">
            <v>03</v>
          </cell>
          <cell r="C368" t="str">
            <v>OBRAS PROVISIONALES</v>
          </cell>
          <cell r="G368">
            <v>8824.7000000000007</v>
          </cell>
          <cell r="I368">
            <v>4812.3500000000004</v>
          </cell>
          <cell r="L368">
            <v>4012.3500000000004</v>
          </cell>
          <cell r="O368">
            <v>8824.7000000000007</v>
          </cell>
        </row>
        <row r="369">
          <cell r="B369" t="str">
            <v>03.01</v>
          </cell>
          <cell r="C369" t="str">
            <v xml:space="preserve">   CAMPAMENTO DE ADOBE TECHO CALAMINA</v>
          </cell>
          <cell r="D369" t="str">
            <v>m2</v>
          </cell>
          <cell r="E369">
            <v>30</v>
          </cell>
          <cell r="F369">
            <v>267.49</v>
          </cell>
          <cell r="G369">
            <v>8024.7000000000007</v>
          </cell>
          <cell r="H369">
            <v>15</v>
          </cell>
          <cell r="I369">
            <v>4012.3500000000004</v>
          </cell>
          <cell r="J369">
            <v>0.5</v>
          </cell>
          <cell r="K369">
            <v>15</v>
          </cell>
          <cell r="L369">
            <v>4012.3500000000004</v>
          </cell>
          <cell r="M369">
            <v>0.5</v>
          </cell>
          <cell r="N369">
            <v>30</v>
          </cell>
          <cell r="O369">
            <v>8024.7000000000007</v>
          </cell>
          <cell r="P369">
            <v>1</v>
          </cell>
          <cell r="Q369">
            <v>0</v>
          </cell>
          <cell r="R369">
            <v>0</v>
          </cell>
          <cell r="S369">
            <v>0</v>
          </cell>
        </row>
        <row r="370">
          <cell r="B370" t="str">
            <v>03.02</v>
          </cell>
          <cell r="C370" t="str">
            <v xml:space="preserve">   CARTEL DE OBRA DE 4.80M X 2.40M</v>
          </cell>
          <cell r="D370" t="str">
            <v>und</v>
          </cell>
          <cell r="E370">
            <v>1</v>
          </cell>
          <cell r="F370">
            <v>800</v>
          </cell>
          <cell r="G370">
            <v>800</v>
          </cell>
          <cell r="H370">
            <v>1</v>
          </cell>
          <cell r="I370">
            <v>800</v>
          </cell>
          <cell r="J370">
            <v>1</v>
          </cell>
          <cell r="K370">
            <v>0</v>
          </cell>
          <cell r="L370">
            <v>0</v>
          </cell>
          <cell r="M370">
            <v>0</v>
          </cell>
          <cell r="N370">
            <v>1</v>
          </cell>
          <cell r="O370">
            <v>800</v>
          </cell>
          <cell r="P370">
            <v>1</v>
          </cell>
          <cell r="Q370">
            <v>0</v>
          </cell>
          <cell r="R370">
            <v>0</v>
          </cell>
          <cell r="S370">
            <v>0</v>
          </cell>
        </row>
        <row r="371">
          <cell r="B371" t="str">
            <v>04</v>
          </cell>
          <cell r="C371" t="str">
            <v>FLETES</v>
          </cell>
          <cell r="G371">
            <v>115704.89</v>
          </cell>
          <cell r="I371">
            <v>79484</v>
          </cell>
          <cell r="L371">
            <v>26787.859999999997</v>
          </cell>
          <cell r="O371">
            <v>106271.86</v>
          </cell>
        </row>
        <row r="372">
          <cell r="B372" t="str">
            <v>04.01</v>
          </cell>
          <cell r="C372" t="str">
            <v xml:space="preserve">   FLETE EN ZONA RURAL</v>
          </cell>
          <cell r="D372" t="str">
            <v>GLB</v>
          </cell>
          <cell r="E372">
            <v>73787.86</v>
          </cell>
          <cell r="F372">
            <v>1</v>
          </cell>
          <cell r="G372">
            <v>73787.86</v>
          </cell>
          <cell r="H372">
            <v>57000</v>
          </cell>
          <cell r="I372">
            <v>57000</v>
          </cell>
          <cell r="J372">
            <v>0.7724847962794964</v>
          </cell>
          <cell r="K372">
            <v>16787.859999999997</v>
          </cell>
          <cell r="L372">
            <v>16787.859999999997</v>
          </cell>
          <cell r="M372">
            <v>0.22751520372050357</v>
          </cell>
          <cell r="N372">
            <v>73787.86</v>
          </cell>
          <cell r="O372">
            <v>73787.86</v>
          </cell>
          <cell r="P372">
            <v>1</v>
          </cell>
          <cell r="Q372">
            <v>0</v>
          </cell>
          <cell r="R372">
            <v>0</v>
          </cell>
          <cell r="S372">
            <v>0</v>
          </cell>
        </row>
        <row r="373">
          <cell r="B373" t="str">
            <v>04.02</v>
          </cell>
          <cell r="C373" t="str">
            <v xml:space="preserve">   FLETE TERRESTRE</v>
          </cell>
          <cell r="D373" t="str">
            <v>GLB</v>
          </cell>
          <cell r="E373">
            <v>41917.03</v>
          </cell>
          <cell r="F373">
            <v>1</v>
          </cell>
          <cell r="G373">
            <v>41917.03</v>
          </cell>
          <cell r="H373">
            <v>22484</v>
          </cell>
          <cell r="I373">
            <v>22484</v>
          </cell>
          <cell r="J373">
            <v>0.53639296486416144</v>
          </cell>
          <cell r="K373">
            <v>10000</v>
          </cell>
          <cell r="L373">
            <v>10000</v>
          </cell>
          <cell r="M373">
            <v>0.2385665205764817</v>
          </cell>
          <cell r="N373">
            <v>32484</v>
          </cell>
          <cell r="O373">
            <v>32484</v>
          </cell>
          <cell r="P373">
            <v>0.77495948544064308</v>
          </cell>
          <cell r="Q373">
            <v>9433.0299999999988</v>
          </cell>
          <cell r="R373">
            <v>9433.0299999999988</v>
          </cell>
          <cell r="S373">
            <v>0.22504051455935689</v>
          </cell>
        </row>
        <row r="374">
          <cell r="B374" t="str">
            <v>05</v>
          </cell>
          <cell r="C374" t="str">
            <v>CONTROL DE CALIDAD DEL CONCRETO</v>
          </cell>
          <cell r="G374">
            <v>1900</v>
          </cell>
          <cell r="I374">
            <v>0</v>
          </cell>
          <cell r="L374">
            <v>0</v>
          </cell>
          <cell r="O374">
            <v>0</v>
          </cell>
        </row>
        <row r="375">
          <cell r="B375" t="str">
            <v>05.01</v>
          </cell>
          <cell r="C375" t="str">
            <v xml:space="preserve">   ENSAYOS A LA COMPRESION DEL CONCRETO</v>
          </cell>
          <cell r="D375" t="str">
            <v>GLB</v>
          </cell>
          <cell r="E375">
            <v>30</v>
          </cell>
          <cell r="F375">
            <v>30</v>
          </cell>
          <cell r="G375">
            <v>900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30</v>
          </cell>
          <cell r="R375">
            <v>900</v>
          </cell>
          <cell r="S375">
            <v>1</v>
          </cell>
        </row>
        <row r="376">
          <cell r="B376" t="str">
            <v>05.02</v>
          </cell>
          <cell r="C376" t="str">
            <v xml:space="preserve">   DISEÑO DE MEZCLAS</v>
          </cell>
          <cell r="D376" t="str">
            <v>GLB</v>
          </cell>
          <cell r="E376">
            <v>2</v>
          </cell>
          <cell r="F376">
            <v>500</v>
          </cell>
          <cell r="G376">
            <v>1000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2</v>
          </cell>
          <cell r="R376">
            <v>1000</v>
          </cell>
          <cell r="S376">
            <v>1</v>
          </cell>
        </row>
        <row r="377">
          <cell r="B377" t="str">
            <v>06</v>
          </cell>
          <cell r="C377" t="str">
            <v>PLACA RECORDATORIA</v>
          </cell>
          <cell r="G377">
            <v>500</v>
          </cell>
          <cell r="I377">
            <v>0</v>
          </cell>
          <cell r="L377">
            <v>0</v>
          </cell>
          <cell r="O377">
            <v>0</v>
          </cell>
        </row>
        <row r="378">
          <cell r="B378" t="str">
            <v>06.01</v>
          </cell>
          <cell r="C378" t="str">
            <v xml:space="preserve">   PLACA RECORDATORIA</v>
          </cell>
          <cell r="D378" t="str">
            <v>GLB</v>
          </cell>
          <cell r="E378">
            <v>1</v>
          </cell>
          <cell r="F378">
            <v>500</v>
          </cell>
          <cell r="G378">
            <v>500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1</v>
          </cell>
          <cell r="R378">
            <v>500</v>
          </cell>
          <cell r="S378">
            <v>1</v>
          </cell>
        </row>
        <row r="379">
          <cell r="B379" t="str">
            <v>07</v>
          </cell>
          <cell r="C379" t="str">
            <v>IMPACTO AMBIENTAL, RIESGOS Y VULNERABILIDAD</v>
          </cell>
          <cell r="G379">
            <v>31246</v>
          </cell>
          <cell r="I379">
            <v>3246</v>
          </cell>
          <cell r="L379">
            <v>8610</v>
          </cell>
          <cell r="O379">
            <v>11856</v>
          </cell>
        </row>
        <row r="380">
          <cell r="B380" t="str">
            <v>07.01</v>
          </cell>
          <cell r="C380" t="str">
            <v>PLAN DE MANEJO AMBIENTAL</v>
          </cell>
          <cell r="G380">
            <v>3485</v>
          </cell>
          <cell r="I380">
            <v>200</v>
          </cell>
          <cell r="K380">
            <v>0</v>
          </cell>
          <cell r="L380">
            <v>420</v>
          </cell>
          <cell r="O380">
            <v>620</v>
          </cell>
        </row>
        <row r="381">
          <cell r="B381" t="str">
            <v>07.01.01</v>
          </cell>
          <cell r="C381" t="str">
            <v xml:space="preserve">      CONTENEDORES HERMETICOS DE COLORES</v>
          </cell>
          <cell r="D381" t="str">
            <v>m3</v>
          </cell>
          <cell r="E381">
            <v>5</v>
          </cell>
          <cell r="F381">
            <v>185</v>
          </cell>
          <cell r="G381">
            <v>925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5</v>
          </cell>
          <cell r="R381">
            <v>925</v>
          </cell>
          <cell r="S381">
            <v>1</v>
          </cell>
        </row>
        <row r="382">
          <cell r="B382" t="str">
            <v>07.01.02</v>
          </cell>
          <cell r="C382" t="str">
            <v xml:space="preserve">      CHARLAS DE SENSIBILIZACION</v>
          </cell>
          <cell r="D382" t="str">
            <v>und</v>
          </cell>
          <cell r="E382">
            <v>4</v>
          </cell>
          <cell r="F382">
            <v>200</v>
          </cell>
          <cell r="G382">
            <v>800</v>
          </cell>
          <cell r="H382">
            <v>1</v>
          </cell>
          <cell r="I382">
            <v>200</v>
          </cell>
          <cell r="J382">
            <v>0.25</v>
          </cell>
          <cell r="K382">
            <v>1</v>
          </cell>
          <cell r="L382">
            <v>200</v>
          </cell>
          <cell r="M382">
            <v>0.25</v>
          </cell>
          <cell r="N382">
            <v>2</v>
          </cell>
          <cell r="O382">
            <v>400</v>
          </cell>
          <cell r="P382">
            <v>0.5</v>
          </cell>
          <cell r="Q382">
            <v>2</v>
          </cell>
          <cell r="R382">
            <v>400</v>
          </cell>
          <cell r="S382">
            <v>0.5</v>
          </cell>
        </row>
        <row r="383">
          <cell r="B383" t="str">
            <v>07.01.03</v>
          </cell>
          <cell r="C383" t="str">
            <v xml:space="preserve">      MONITOREO AMBIENTAL</v>
          </cell>
          <cell r="D383" t="str">
            <v>mes</v>
          </cell>
          <cell r="E383">
            <v>8</v>
          </cell>
          <cell r="F383">
            <v>220</v>
          </cell>
          <cell r="G383">
            <v>1760</v>
          </cell>
          <cell r="H383">
            <v>0</v>
          </cell>
          <cell r="I383">
            <v>0</v>
          </cell>
          <cell r="J383">
            <v>0</v>
          </cell>
          <cell r="K383">
            <v>1</v>
          </cell>
          <cell r="L383">
            <v>220</v>
          </cell>
          <cell r="M383">
            <v>0.125</v>
          </cell>
          <cell r="N383">
            <v>1</v>
          </cell>
          <cell r="O383">
            <v>220</v>
          </cell>
          <cell r="P383">
            <v>0.125</v>
          </cell>
          <cell r="Q383">
            <v>7</v>
          </cell>
          <cell r="R383">
            <v>1540</v>
          </cell>
          <cell r="S383">
            <v>0.875</v>
          </cell>
        </row>
        <row r="384">
          <cell r="B384" t="str">
            <v>07.02</v>
          </cell>
          <cell r="C384" t="str">
            <v>PLAN DE SEGURIDAD</v>
          </cell>
          <cell r="G384">
            <v>17045</v>
          </cell>
          <cell r="I384">
            <v>3046</v>
          </cell>
          <cell r="L384">
            <v>8190</v>
          </cell>
          <cell r="O384">
            <v>11236</v>
          </cell>
        </row>
        <row r="385">
          <cell r="B385" t="str">
            <v>07.02.01</v>
          </cell>
          <cell r="C385" t="str">
            <v xml:space="preserve">      ELABORACION, IMPLEMENTACION Y ADMINISTRACION DEL PLAN DE SEGURIDAD Y SALUD EN EL TRABAJO</v>
          </cell>
          <cell r="D385" t="str">
            <v>GLB</v>
          </cell>
          <cell r="E385">
            <v>1</v>
          </cell>
          <cell r="F385">
            <v>3000</v>
          </cell>
          <cell r="G385">
            <v>3000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1</v>
          </cell>
          <cell r="R385">
            <v>3000</v>
          </cell>
          <cell r="S385">
            <v>1</v>
          </cell>
        </row>
        <row r="386">
          <cell r="B386" t="str">
            <v>07.02.02</v>
          </cell>
          <cell r="C386" t="str">
            <v xml:space="preserve">      EQUIPOS DE PROTECCION INDIVIDUAL</v>
          </cell>
          <cell r="D386" t="str">
            <v>und</v>
          </cell>
          <cell r="E386">
            <v>35</v>
          </cell>
          <cell r="F386">
            <v>315</v>
          </cell>
          <cell r="G386">
            <v>11025</v>
          </cell>
          <cell r="H386">
            <v>9</v>
          </cell>
          <cell r="I386">
            <v>2835</v>
          </cell>
          <cell r="J386">
            <v>0.25714285714285712</v>
          </cell>
          <cell r="K386">
            <v>26</v>
          </cell>
          <cell r="L386">
            <v>8190</v>
          </cell>
          <cell r="M386">
            <v>0.74285714285714288</v>
          </cell>
          <cell r="N386">
            <v>35</v>
          </cell>
          <cell r="O386">
            <v>11025</v>
          </cell>
          <cell r="P386">
            <v>1</v>
          </cell>
          <cell r="Q386">
            <v>0</v>
          </cell>
          <cell r="R386">
            <v>0</v>
          </cell>
          <cell r="S386">
            <v>0</v>
          </cell>
        </row>
        <row r="387">
          <cell r="B387" t="str">
            <v>07.02.03</v>
          </cell>
          <cell r="C387" t="str">
            <v xml:space="preserve">      SEÑALIZACION TEMPORAL DE SEGURIDAD</v>
          </cell>
          <cell r="D387" t="str">
            <v>GLB</v>
          </cell>
          <cell r="E387">
            <v>2</v>
          </cell>
          <cell r="F387">
            <v>910</v>
          </cell>
          <cell r="G387">
            <v>1820</v>
          </cell>
          <cell r="H387">
            <v>0.1</v>
          </cell>
          <cell r="I387">
            <v>91</v>
          </cell>
          <cell r="J387">
            <v>0.05</v>
          </cell>
          <cell r="K387">
            <v>0</v>
          </cell>
          <cell r="L387">
            <v>0</v>
          </cell>
          <cell r="M387">
            <v>0</v>
          </cell>
          <cell r="N387">
            <v>0.1</v>
          </cell>
          <cell r="O387">
            <v>91</v>
          </cell>
          <cell r="P387">
            <v>0.05</v>
          </cell>
          <cell r="Q387">
            <v>1.9</v>
          </cell>
          <cell r="R387">
            <v>1729</v>
          </cell>
          <cell r="S387">
            <v>0.95</v>
          </cell>
        </row>
        <row r="388">
          <cell r="B388" t="str">
            <v>07.02.04</v>
          </cell>
          <cell r="C388" t="str">
            <v xml:space="preserve">      CAPACITACION EN SEGURIDAD Y SALUD</v>
          </cell>
          <cell r="D388" t="str">
            <v>GLB</v>
          </cell>
          <cell r="E388">
            <v>1</v>
          </cell>
          <cell r="F388">
            <v>1200</v>
          </cell>
          <cell r="G388">
            <v>1200</v>
          </cell>
          <cell r="H388">
            <v>0.1</v>
          </cell>
          <cell r="I388">
            <v>120</v>
          </cell>
          <cell r="J388">
            <v>0.1</v>
          </cell>
          <cell r="K388">
            <v>0</v>
          </cell>
          <cell r="L388">
            <v>0</v>
          </cell>
          <cell r="M388">
            <v>0</v>
          </cell>
          <cell r="N388">
            <v>0.1</v>
          </cell>
          <cell r="O388">
            <v>120</v>
          </cell>
          <cell r="P388">
            <v>0.1</v>
          </cell>
          <cell r="Q388">
            <v>0.9</v>
          </cell>
          <cell r="R388">
            <v>1080</v>
          </cell>
          <cell r="S388">
            <v>0.9</v>
          </cell>
        </row>
        <row r="389">
          <cell r="B389" t="str">
            <v>07.03</v>
          </cell>
          <cell r="C389" t="str">
            <v>PLAN DE CONTINGENCIAS</v>
          </cell>
          <cell r="G389">
            <v>770</v>
          </cell>
          <cell r="I389">
            <v>0</v>
          </cell>
          <cell r="L389">
            <v>0</v>
          </cell>
          <cell r="O389">
            <v>0</v>
          </cell>
        </row>
        <row r="390">
          <cell r="B390" t="str">
            <v>07.03.01</v>
          </cell>
          <cell r="C390" t="str">
            <v xml:space="preserve">      RECURSOS PARA RESPUESTAS ANTE EMERGENCIAS EN SEGURIDAD Y SALUD DURANTE EL TRABAJO</v>
          </cell>
          <cell r="D390" t="str">
            <v>GLB</v>
          </cell>
          <cell r="E390">
            <v>2</v>
          </cell>
          <cell r="F390">
            <v>385</v>
          </cell>
          <cell r="G390">
            <v>770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2</v>
          </cell>
          <cell r="R390">
            <v>770</v>
          </cell>
          <cell r="S390">
            <v>1</v>
          </cell>
        </row>
        <row r="391">
          <cell r="B391" t="str">
            <v>07.04</v>
          </cell>
          <cell r="C391" t="str">
            <v>PLAN DE CIERRE PROCESO CONSTRUCTIVO</v>
          </cell>
          <cell r="G391">
            <v>1370</v>
          </cell>
          <cell r="I391">
            <v>0</v>
          </cell>
          <cell r="K391">
            <v>0</v>
          </cell>
          <cell r="L391">
            <v>0</v>
          </cell>
          <cell r="O391">
            <v>0</v>
          </cell>
        </row>
        <row r="392">
          <cell r="B392" t="str">
            <v>07.04.01</v>
          </cell>
          <cell r="C392" t="str">
            <v xml:space="preserve">      DESMONTAJE DE INSTALACIONES PROVISIONALES</v>
          </cell>
          <cell r="D392" t="str">
            <v>GLB</v>
          </cell>
          <cell r="E392">
            <v>2</v>
          </cell>
          <cell r="F392">
            <v>185</v>
          </cell>
          <cell r="G392">
            <v>370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2</v>
          </cell>
          <cell r="R392">
            <v>370</v>
          </cell>
          <cell r="S392">
            <v>1</v>
          </cell>
        </row>
        <row r="393">
          <cell r="B393" t="str">
            <v>07.04.02</v>
          </cell>
          <cell r="C393" t="str">
            <v xml:space="preserve">      LIMPIEZA FINAL DE OBRA</v>
          </cell>
          <cell r="D393" t="str">
            <v>m2</v>
          </cell>
          <cell r="E393">
            <v>20000</v>
          </cell>
          <cell r="F393">
            <v>0.05</v>
          </cell>
          <cell r="G393">
            <v>1000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20000</v>
          </cell>
          <cell r="R393">
            <v>1000</v>
          </cell>
          <cell r="S393">
            <v>1</v>
          </cell>
        </row>
        <row r="394">
          <cell r="B394" t="str">
            <v>07.05</v>
          </cell>
          <cell r="C394" t="str">
            <v>PLAN DE OPERACION Y MANTENIMIENTO</v>
          </cell>
          <cell r="G394">
            <v>8576</v>
          </cell>
          <cell r="I394">
            <v>0</v>
          </cell>
          <cell r="L394">
            <v>0</v>
          </cell>
          <cell r="O394">
            <v>0</v>
          </cell>
        </row>
        <row r="395">
          <cell r="B395" t="str">
            <v>07.05.01</v>
          </cell>
          <cell r="C395" t="str">
            <v>EQUIPO PARA MANTENIMIENTO Y OPERACION DE LA OBRA</v>
          </cell>
          <cell r="G395">
            <v>8576</v>
          </cell>
          <cell r="I395">
            <v>0</v>
          </cell>
          <cell r="L395">
            <v>0</v>
          </cell>
          <cell r="O395">
            <v>0</v>
          </cell>
        </row>
        <row r="396">
          <cell r="B396" t="str">
            <v>07.05.01.01</v>
          </cell>
          <cell r="C396" t="str">
            <v xml:space="preserve">         EQUIPOS DE PROTECCION INDIVIDUAL PARA MANTENIMIENTO DEL SISTEMA DE AGUA Y DESAGUE</v>
          </cell>
          <cell r="D396" t="str">
            <v>und</v>
          </cell>
          <cell r="E396">
            <v>4</v>
          </cell>
          <cell r="F396">
            <v>233</v>
          </cell>
          <cell r="G396">
            <v>932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4</v>
          </cell>
          <cell r="R396">
            <v>932</v>
          </cell>
          <cell r="S396">
            <v>1</v>
          </cell>
        </row>
        <row r="397">
          <cell r="B397" t="str">
            <v>07.05.01.02</v>
          </cell>
          <cell r="C397" t="str">
            <v xml:space="preserve">         HERRAMIENTAS PARA EL MANTENIMIENTO Y OPERACION DEL SISTEMA DE AGUA Y DESAGUE</v>
          </cell>
          <cell r="D397" t="str">
            <v>GLB</v>
          </cell>
          <cell r="E397">
            <v>1</v>
          </cell>
          <cell r="F397">
            <v>2406</v>
          </cell>
          <cell r="G397">
            <v>2406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1</v>
          </cell>
          <cell r="R397">
            <v>2406</v>
          </cell>
          <cell r="S397">
            <v>1</v>
          </cell>
        </row>
        <row r="398">
          <cell r="B398" t="str">
            <v>07.05.01.03</v>
          </cell>
          <cell r="C398" t="str">
            <v xml:space="preserve">         UTENSILIOS PARA EL MANTENIMIENTO Y OPERACION DEL SISTEMA DE AGUA Y DESAGUE</v>
          </cell>
          <cell r="D398" t="str">
            <v>GLB</v>
          </cell>
          <cell r="E398">
            <v>1</v>
          </cell>
          <cell r="F398">
            <v>2888</v>
          </cell>
          <cell r="G398">
            <v>2888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1</v>
          </cell>
          <cell r="R398">
            <v>2888</v>
          </cell>
          <cell r="S398">
            <v>1</v>
          </cell>
        </row>
        <row r="399">
          <cell r="B399" t="str">
            <v>07.05.01.04</v>
          </cell>
          <cell r="C399" t="str">
            <v xml:space="preserve">         APARATOS PARA EL MANTENIMIENTO Y OPERACION DEL SISTEMA DE AGUA Y DESAGUE</v>
          </cell>
          <cell r="D399" t="str">
            <v>GLB</v>
          </cell>
          <cell r="E399">
            <v>1</v>
          </cell>
          <cell r="F399">
            <v>450</v>
          </cell>
          <cell r="G399">
            <v>450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1</v>
          </cell>
          <cell r="R399">
            <v>450</v>
          </cell>
          <cell r="S399">
            <v>1</v>
          </cell>
        </row>
        <row r="400">
          <cell r="B400" t="str">
            <v>07.05.01.05</v>
          </cell>
          <cell r="C400" t="str">
            <v xml:space="preserve">         EQUIPOS Y ACCESORIOS PARA EL MANTENIMIENTO Y OPERACION DEL SISTEMA DE AGUA Y DESAGUE</v>
          </cell>
          <cell r="D400" t="str">
            <v>GLB</v>
          </cell>
          <cell r="E400">
            <v>1</v>
          </cell>
          <cell r="F400">
            <v>1900</v>
          </cell>
          <cell r="G400">
            <v>1900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1</v>
          </cell>
          <cell r="R400">
            <v>1900</v>
          </cell>
          <cell r="S400">
            <v>1</v>
          </cell>
        </row>
      </sheetData>
      <sheetData sheetId="19">
        <row r="14">
          <cell r="B14" t="str">
            <v>01</v>
          </cell>
        </row>
        <row r="48">
          <cell r="B48" t="str">
            <v xml:space="preserve"> 01..</v>
          </cell>
          <cell r="C48" t="str">
            <v>SISTEMA DE ELIMINACION DE EXCETAS</v>
          </cell>
        </row>
        <row r="49">
          <cell r="B49" t="str">
            <v>01.01</v>
          </cell>
          <cell r="C49" t="str">
            <v xml:space="preserve">   LETRINAS DOMICILIARIA(114UND)</v>
          </cell>
        </row>
        <row r="50">
          <cell r="B50" t="str">
            <v>01.01.01</v>
          </cell>
          <cell r="C50" t="str">
            <v xml:space="preserve">      CONCRETO SIMPLE</v>
          </cell>
        </row>
        <row r="51">
          <cell r="B51" t="str">
            <v>01.01.01.01</v>
          </cell>
          <cell r="C51" t="str">
            <v xml:space="preserve">         CONCRETO FC=100KG/CM2 EN CIMIENTOS CORRIDOS</v>
          </cell>
          <cell r="D51" t="str">
            <v>m3</v>
          </cell>
          <cell r="E51">
            <v>98.95</v>
          </cell>
          <cell r="F51">
            <v>183.23</v>
          </cell>
          <cell r="G51">
            <v>18130.608499999998</v>
          </cell>
          <cell r="H51">
            <v>57.287999999999997</v>
          </cell>
          <cell r="I51">
            <v>10496.880239999999</v>
          </cell>
          <cell r="J51">
            <v>13.87</v>
          </cell>
          <cell r="K51">
            <v>2541.4000999999998</v>
          </cell>
          <cell r="L51">
            <v>71.158000000000001</v>
          </cell>
          <cell r="M51">
            <v>13038.280339999999</v>
          </cell>
        </row>
        <row r="52">
          <cell r="B52" t="str">
            <v>01.01.01.02</v>
          </cell>
          <cell r="C52" t="str">
            <v xml:space="preserve">         CONCRETO f'c=175 kg/cm2  EN SOBRECIMIENTO</v>
          </cell>
          <cell r="D52" t="str">
            <v>m3</v>
          </cell>
          <cell r="E52">
            <v>27.7</v>
          </cell>
          <cell r="F52">
            <v>385.47</v>
          </cell>
          <cell r="G52">
            <v>10677.519</v>
          </cell>
          <cell r="H52">
            <v>16.037999999999997</v>
          </cell>
          <cell r="I52">
            <v>6182.1678599999996</v>
          </cell>
          <cell r="J52">
            <v>3.88</v>
          </cell>
          <cell r="K52">
            <v>1495.6236000000001</v>
          </cell>
          <cell r="L52">
            <v>19.917999999999996</v>
          </cell>
          <cell r="M52">
            <v>7677.7914599999986</v>
          </cell>
        </row>
        <row r="53">
          <cell r="B53" t="str">
            <v>01.01.01.03</v>
          </cell>
          <cell r="C53" t="str">
            <v xml:space="preserve">         ENCOFRADO Y DESENCOFRADO EN SOBRE CIMIENTO</v>
          </cell>
          <cell r="D53" t="str">
            <v>m2</v>
          </cell>
          <cell r="E53">
            <v>451.44</v>
          </cell>
          <cell r="F53">
            <v>32.520000000000003</v>
          </cell>
          <cell r="G53">
            <v>14680.828800000001</v>
          </cell>
          <cell r="H53">
            <v>261.36</v>
          </cell>
          <cell r="I53">
            <v>8499.4272000000019</v>
          </cell>
          <cell r="J53">
            <v>63.36</v>
          </cell>
          <cell r="K53">
            <v>2060.4672</v>
          </cell>
          <cell r="L53">
            <v>324.72000000000003</v>
          </cell>
          <cell r="M53">
            <v>10559.894400000001</v>
          </cell>
        </row>
        <row r="54">
          <cell r="B54" t="str">
            <v>01.01.02</v>
          </cell>
          <cell r="C54" t="str">
            <v xml:space="preserve">      CONCRETO ARMADO</v>
          </cell>
        </row>
        <row r="55">
          <cell r="B55" t="str">
            <v>01.01.02.01</v>
          </cell>
          <cell r="C55" t="str">
            <v xml:space="preserve">         CONCRETO f'c=175 kg/cm2 EN DINTEL</v>
          </cell>
          <cell r="D55" t="str">
            <v>m3</v>
          </cell>
          <cell r="E55">
            <v>7.87</v>
          </cell>
          <cell r="F55">
            <v>385.47</v>
          </cell>
          <cell r="G55">
            <v>3033.6489000000001</v>
          </cell>
          <cell r="H55">
            <v>0</v>
          </cell>
          <cell r="I55">
            <v>0</v>
          </cell>
          <cell r="J55">
            <v>3.33</v>
          </cell>
          <cell r="K55">
            <v>1283.6151000000002</v>
          </cell>
          <cell r="L55">
            <v>3.33</v>
          </cell>
          <cell r="M55">
            <v>1283.6151000000002</v>
          </cell>
        </row>
        <row r="56">
          <cell r="B56" t="str">
            <v>01.01.02.02</v>
          </cell>
          <cell r="C56" t="str">
            <v xml:space="preserve">         ACERO DE REFUERZO fy=4,200 kg/cm2  GRADO 60 EN DINTEL</v>
          </cell>
          <cell r="D56" t="str">
            <v>kg</v>
          </cell>
          <cell r="E56">
            <v>280.90000000000003</v>
          </cell>
          <cell r="F56">
            <v>5.7</v>
          </cell>
          <cell r="G56">
            <v>1601.1300000000003</v>
          </cell>
          <cell r="H56">
            <v>0</v>
          </cell>
          <cell r="I56">
            <v>0</v>
          </cell>
          <cell r="J56">
            <v>118.21</v>
          </cell>
          <cell r="K56">
            <v>673.79700000000003</v>
          </cell>
          <cell r="L56">
            <v>118.21</v>
          </cell>
          <cell r="M56">
            <v>673.79700000000003</v>
          </cell>
        </row>
        <row r="57">
          <cell r="B57" t="str">
            <v>01.01.02.03</v>
          </cell>
          <cell r="C57" t="str">
            <v xml:space="preserve">         ENCOFRADO Y DESENCOFRADO EN DINTEL</v>
          </cell>
          <cell r="D57" t="str">
            <v>m2</v>
          </cell>
          <cell r="E57">
            <v>78.66</v>
          </cell>
          <cell r="F57">
            <v>32.520000000000003</v>
          </cell>
          <cell r="G57">
            <v>2558.0232000000001</v>
          </cell>
          <cell r="H57">
            <v>0</v>
          </cell>
          <cell r="I57">
            <v>0</v>
          </cell>
          <cell r="J57">
            <v>33.119999999999997</v>
          </cell>
          <cell r="K57">
            <v>1077.0624</v>
          </cell>
          <cell r="L57">
            <v>33.119999999999997</v>
          </cell>
          <cell r="M57">
            <v>1077.0624</v>
          </cell>
        </row>
        <row r="58">
          <cell r="B58" t="str">
            <v>01.01.03</v>
          </cell>
          <cell r="C58" t="str">
            <v xml:space="preserve">      ALBAÑILERIA</v>
          </cell>
        </row>
        <row r="59">
          <cell r="B59" t="str">
            <v>01.01.03.01</v>
          </cell>
          <cell r="C59" t="str">
            <v xml:space="preserve">         MURO DE ALBAÑILERIA CON BLOQUES DE CONCRETO</v>
          </cell>
          <cell r="D59" t="str">
            <v>m2</v>
          </cell>
          <cell r="E59">
            <v>1382.25</v>
          </cell>
          <cell r="F59">
            <v>76.59</v>
          </cell>
          <cell r="G59">
            <v>105866.52750000001</v>
          </cell>
          <cell r="H59">
            <v>0</v>
          </cell>
          <cell r="I59">
            <v>0</v>
          </cell>
          <cell r="J59">
            <v>703.78</v>
          </cell>
          <cell r="K59">
            <v>53902.510199999997</v>
          </cell>
          <cell r="L59">
            <v>703.78</v>
          </cell>
          <cell r="M59">
            <v>53902.510199999997</v>
          </cell>
        </row>
        <row r="60">
          <cell r="B60" t="str">
            <v>02</v>
          </cell>
          <cell r="C60" t="str">
            <v>BIODIGESTOR</v>
          </cell>
        </row>
        <row r="61">
          <cell r="B61" t="str">
            <v>02.01</v>
          </cell>
          <cell r="C61" t="str">
            <v xml:space="preserve">   TRAZO Y REPLANTEO</v>
          </cell>
          <cell r="D61" t="str">
            <v>m2</v>
          </cell>
          <cell r="E61">
            <v>268.04000000000002</v>
          </cell>
          <cell r="F61">
            <v>2.16</v>
          </cell>
          <cell r="G61">
            <v>578.96640000000014</v>
          </cell>
          <cell r="H61">
            <v>210.03999999999996</v>
          </cell>
          <cell r="I61">
            <v>453.68639999999994</v>
          </cell>
          <cell r="J61">
            <v>0</v>
          </cell>
          <cell r="K61">
            <v>0</v>
          </cell>
          <cell r="L61">
            <v>210.03999999999996</v>
          </cell>
          <cell r="M61">
            <v>453.68639999999994</v>
          </cell>
        </row>
        <row r="62">
          <cell r="B62" t="str">
            <v>02.02</v>
          </cell>
          <cell r="C62" t="str">
            <v xml:space="preserve">   EXCAVACION EN TERRENO NORMAL</v>
          </cell>
          <cell r="D62" t="str">
            <v>m3</v>
          </cell>
          <cell r="E62">
            <v>251.89000000000001</v>
          </cell>
          <cell r="F62">
            <v>18.89</v>
          </cell>
          <cell r="G62">
            <v>4758.2021000000004</v>
          </cell>
          <cell r="H62">
            <v>196.67000000000002</v>
          </cell>
          <cell r="I62">
            <v>3715.0963000000006</v>
          </cell>
          <cell r="J62">
            <v>0</v>
          </cell>
          <cell r="K62">
            <v>0</v>
          </cell>
          <cell r="L62">
            <v>196.67000000000002</v>
          </cell>
          <cell r="M62">
            <v>3715.0963000000006</v>
          </cell>
        </row>
        <row r="63">
          <cell r="B63" t="str">
            <v>02.03</v>
          </cell>
          <cell r="C63" t="str">
            <v xml:space="preserve">   ELIMINACION DE MATERIAL EXCEDENTE  D=30MTS</v>
          </cell>
          <cell r="D63" t="str">
            <v>m3</v>
          </cell>
          <cell r="E63">
            <v>314.89</v>
          </cell>
          <cell r="F63">
            <v>15.74</v>
          </cell>
          <cell r="G63">
            <v>4956.3685999999998</v>
          </cell>
          <cell r="H63">
            <v>245.73999999999998</v>
          </cell>
          <cell r="I63">
            <v>3867.9476</v>
          </cell>
          <cell r="J63">
            <v>0</v>
          </cell>
          <cell r="K63">
            <v>0</v>
          </cell>
          <cell r="L63">
            <v>245.73999999999998</v>
          </cell>
          <cell r="M63">
            <v>3867.9476</v>
          </cell>
        </row>
        <row r="64">
          <cell r="B64" t="str">
            <v>02.04</v>
          </cell>
          <cell r="C64" t="str">
            <v xml:space="preserve">   ENCOFRADO Y DESENCOFRADO</v>
          </cell>
          <cell r="D64" t="str">
            <v>m2</v>
          </cell>
          <cell r="E64">
            <v>367.08</v>
          </cell>
          <cell r="F64">
            <v>32.520000000000003</v>
          </cell>
          <cell r="G64">
            <v>11937.4416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</row>
        <row r="65">
          <cell r="B65" t="str">
            <v>02.05</v>
          </cell>
          <cell r="C65" t="str">
            <v xml:space="preserve">   ACERO DE REFUERZO fy=4,200 kg/cm2</v>
          </cell>
          <cell r="D65" t="str">
            <v>kg</v>
          </cell>
          <cell r="E65">
            <v>136.80000000000001</v>
          </cell>
          <cell r="F65">
            <v>5.7</v>
          </cell>
          <cell r="G65">
            <v>779.7600000000001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</row>
        <row r="66">
          <cell r="B66" t="str">
            <v>02.06</v>
          </cell>
          <cell r="C66" t="str">
            <v xml:space="preserve">   CONCRETO f'c=175 kg/cm2</v>
          </cell>
          <cell r="D66" t="str">
            <v>m3</v>
          </cell>
          <cell r="E66">
            <v>27.47</v>
          </cell>
          <cell r="F66">
            <v>385.47</v>
          </cell>
          <cell r="G66">
            <v>10588.8609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</row>
        <row r="67">
          <cell r="B67" t="str">
            <v>02.07</v>
          </cell>
          <cell r="C67" t="str">
            <v xml:space="preserve">   SUMINISTRO E INSTALACION DE BIODIGESTOR Y ACCESORIOS</v>
          </cell>
          <cell r="D67" t="str">
            <v>glb</v>
          </cell>
          <cell r="E67">
            <v>114</v>
          </cell>
          <cell r="F67">
            <v>1200.8900000000001</v>
          </cell>
          <cell r="G67">
            <v>136901.46000000002</v>
          </cell>
          <cell r="H67">
            <v>0</v>
          </cell>
          <cell r="I67">
            <v>0</v>
          </cell>
          <cell r="J67">
            <v>20</v>
          </cell>
          <cell r="K67">
            <v>24017.800000000003</v>
          </cell>
          <cell r="L67">
            <v>20</v>
          </cell>
          <cell r="M67">
            <v>24017.800000000003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Liquidación"/>
      <sheetName val="Valorización"/>
      <sheetName val="Coef. Reaj. &quot;K&quot;"/>
      <sheetName val="Cálculo de Reintegro"/>
      <sheetName val="Amort. Adel. en Efectivo"/>
      <sheetName val="Amort. Adel. en Efectivo (2)"/>
      <sheetName val="Deducc. que no Corresp."/>
      <sheetName val="Deducc. que no Corresp. (2)"/>
      <sheetName val="Amort.Adel.Mat.01"/>
      <sheetName val="Amort.Adel.Mat.02"/>
      <sheetName val="Amort.Adel.Mat.03 "/>
      <sheetName val="Amort.Adel.Mat.04  "/>
      <sheetName val="Mat. en Cancha Nº 01"/>
      <sheetName val="Mat.en Cancha02"/>
      <sheetName val="Mat.en Cancha03"/>
      <sheetName val="Mat. en Cancha Nº 04 "/>
      <sheetName val="Mat. en Cancha Nº 05"/>
      <sheetName val="Mat. en Cancha Nº 06 "/>
      <sheetName val="Mat. en Cancha Nº 07 "/>
      <sheetName val="Mat. en Cancha Nº 08 "/>
      <sheetName val="Resumen de Valorizaciones"/>
      <sheetName val="DATOS1"/>
      <sheetName val="Gráfico1"/>
      <sheetName val="DATOS2"/>
      <sheetName val="Gráfico1 (2)"/>
      <sheetName val="F-9-B Valoriz Progr"/>
      <sheetName val="F-9-C Adic MM,PN Y D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RESLIQ"/>
      <sheetName val="PAGOS"/>
      <sheetName val="cal01"/>
      <sheetName val="val.  M. G.G N°05"/>
      <sheetName val="val.  M. G.G N° 01"/>
      <sheetName val="Reajuste"/>
      <sheetName val="resumen ded.y amor. mat"/>
      <sheetName val="Ded. y amort. mat.  FP 1"/>
      <sheetName val="Ded. y amort. mat.  FP 2"/>
      <sheetName val="Ded. y amort. adel. Direc."/>
      <sheetName val="FORM. POL"/>
      <sheetName val="RES. CAL. VAL"/>
      <sheetName val="CAL. Val FP. 01"/>
      <sheetName val="Cronograma Actualizado amp plaz"/>
      <sheetName val="CAL. Val FP. 02"/>
      <sheetName val="Metrado 01"/>
      <sheetName val="Metrado 02"/>
      <sheetName val="cal"/>
      <sheetName val="MET. ACT. FP-01"/>
      <sheetName val="MET. ACT. FP-02"/>
      <sheetName val="REAJ. AD"/>
      <sheetName val="F.P. Ad. N° 01 "/>
      <sheetName val="F.P. Ad. N° 02"/>
      <sheetName val="F.P. Ad. N° 03"/>
      <sheetName val="Ad. N° 01"/>
      <sheetName val="Ad. N° 02"/>
      <sheetName val="Ad. N° 03"/>
      <sheetName val="PTO.DEDUCTIVO01"/>
      <sheetName val="INDICES"/>
      <sheetName val="Resumen"/>
      <sheetName val="Presupuesto 01"/>
      <sheetName val="Presupuesto 02"/>
      <sheetName val="Adelanto de Materiales"/>
      <sheetName val="Plant. Mens"/>
      <sheetName val="VAL.JUN-12"/>
      <sheetName val="Pre Liquidacion"/>
      <sheetName val="INF 07--12"/>
      <sheetName val="MMM -07-12"/>
      <sheetName val="DIRT"/>
      <sheetName val="PAPLT"/>
      <sheetName val="A VISITA"/>
      <sheetName val="AUT TRAB"/>
      <sheetName val="CR-JUL-12"/>
      <sheetName val="PAPLT (2)"/>
      <sheetName val="PAPLT (3)"/>
      <sheetName val="PAPLT (4)"/>
      <sheetName val="PAPLT (5)"/>
      <sheetName val="PAPLT (6)"/>
      <sheetName val="INF-12"/>
      <sheetName val="MEM-12"/>
      <sheetName val="Hoja1"/>
      <sheetName val="Hoja2"/>
      <sheetName val="Cr A AB F4"/>
      <sheetName val="Cr A  F4"/>
      <sheetName val="Hoja6"/>
      <sheetName val="SUST.METR. 4.01 AL 4.04"/>
      <sheetName val="AREA  COR.Y RELL. TMC"/>
      <sheetName val="Amort. Adel. en Efectivo"/>
      <sheetName val="Deducc. que no Corresp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Liquidación"/>
      <sheetName val="Valorización"/>
      <sheetName val="Coef. Reaj. &quot;K&quot;"/>
      <sheetName val="Cálculo de Reintegro"/>
      <sheetName val="Amort. Adel. en Efectivo"/>
      <sheetName val="Amort. Adel. en Efectivo (2)"/>
      <sheetName val="Deducc. que no Corresp."/>
      <sheetName val="Deducc. que no Corresp. (2)"/>
      <sheetName val="Cuadro Resumen Amor. Valor.2"/>
      <sheetName val="Mat. en Cancha Nº 01"/>
      <sheetName val="Mat. en Cancha N° 03 "/>
      <sheetName val="Mat. en Cancha Nº 04  "/>
      <sheetName val="Amort.Adel.Mat.03 "/>
      <sheetName val="Mat. en Cancha Nº 05"/>
      <sheetName val="Mat. en Cancha Nº 06 "/>
      <sheetName val="Mat. en Cancha Nº 07 "/>
      <sheetName val="Amort.Adel.Mat.04  "/>
      <sheetName val="Mat. en Cancha Nº 08 "/>
      <sheetName val="Resumen de Valorizaciones (2)"/>
      <sheetName val="DATOS1"/>
      <sheetName val="Gráfico1"/>
      <sheetName val="DATOS2"/>
      <sheetName val="Gráfico1 (2)"/>
      <sheetName val="MATERIAL"/>
      <sheetName val="Plant. Mens"/>
    </sheetNames>
    <sheetDataSet>
      <sheetData sheetId="0">
        <row r="35">
          <cell r="AW3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SUMEN"/>
      <sheetName val="SUST.METR. 4.01 AL 4.04"/>
      <sheetName val="SUS.METR.4.05,4.12 Y 4.15"/>
      <sheetName val="LONG. ALC. TMC 24,36,48,60,72"/>
      <sheetName val="AREA  COR.Y RELL. TMC"/>
      <sheetName val=" MURO MAMPOSTERIA"/>
      <sheetName val="MURO SECO"/>
      <sheetName val="BADENES"/>
      <sheetName val="SUB DREN RUSTICO"/>
      <sheetName val="CANAL DE RIEGO"/>
      <sheetName val="ZANJA LATERAL"/>
      <sheetName val="ALC.INTERCONECTADA"/>
      <sheetName val="CUNETA EN TIERRA"/>
      <sheetName val="CUNETA REVESTIDA"/>
      <sheetName val="CUN. TRATA. CORREGIDO"/>
      <sheetName val="ALC. EXIST. TRATAMIENTO"/>
      <sheetName val="Bloques"/>
      <sheetName val="Codigos"/>
      <sheetName val="Amort. Adel. en Efectivo"/>
      <sheetName val="Deducc. que no Corresp."/>
      <sheetName val="Hoja1"/>
    </sheetNames>
    <sheetDataSet>
      <sheetData sheetId="0" refreshError="1"/>
      <sheetData sheetId="1" refreshError="1">
        <row r="8">
          <cell r="AN8" t="str">
            <v>Ø24"</v>
          </cell>
          <cell r="AQ8">
            <v>1.6</v>
          </cell>
        </row>
        <row r="9">
          <cell r="AN9" t="str">
            <v>Ø36"</v>
          </cell>
          <cell r="AQ9">
            <v>1.9</v>
          </cell>
        </row>
        <row r="10">
          <cell r="AN10" t="str">
            <v>Ø48"</v>
          </cell>
          <cell r="AQ10">
            <v>2.2200000000000002</v>
          </cell>
        </row>
        <row r="11">
          <cell r="AN11" t="str">
            <v>Ø60"</v>
          </cell>
          <cell r="AQ11">
            <v>2.52</v>
          </cell>
        </row>
        <row r="12">
          <cell r="AN12" t="str">
            <v>Ø72"</v>
          </cell>
          <cell r="AQ12">
            <v>2.83</v>
          </cell>
        </row>
      </sheetData>
      <sheetData sheetId="2" refreshError="1"/>
      <sheetData sheetId="3" refreshError="1"/>
      <sheetData sheetId="4" refreshError="1">
        <row r="2">
          <cell r="B2">
            <v>625.79999999999995</v>
          </cell>
          <cell r="C2">
            <v>7.34</v>
          </cell>
          <cell r="E2">
            <v>625.79999999999995</v>
          </cell>
          <cell r="F2">
            <v>0.46040000000000003</v>
          </cell>
        </row>
        <row r="3">
          <cell r="B3">
            <v>701.5</v>
          </cell>
          <cell r="C3">
            <v>1.98</v>
          </cell>
          <cell r="E3">
            <v>701.5</v>
          </cell>
          <cell r="F3">
            <v>1.8404</v>
          </cell>
        </row>
        <row r="4">
          <cell r="B4">
            <v>900</v>
          </cell>
          <cell r="C4">
            <v>1.59</v>
          </cell>
          <cell r="E4">
            <v>900</v>
          </cell>
          <cell r="F4">
            <v>9.5704000000000011</v>
          </cell>
        </row>
        <row r="5">
          <cell r="B5">
            <v>1361</v>
          </cell>
          <cell r="C5">
            <v>1.55</v>
          </cell>
          <cell r="E5">
            <v>1361</v>
          </cell>
          <cell r="F5">
            <v>0.9104000000000001</v>
          </cell>
        </row>
        <row r="6">
          <cell r="B6">
            <v>1530</v>
          </cell>
          <cell r="C6">
            <v>13.73</v>
          </cell>
          <cell r="E6">
            <v>1530</v>
          </cell>
          <cell r="F6">
            <v>1.9603999999999999</v>
          </cell>
        </row>
        <row r="7">
          <cell r="B7">
            <v>2370</v>
          </cell>
          <cell r="C7">
            <v>4.9800000000000004</v>
          </cell>
          <cell r="E7">
            <v>2370</v>
          </cell>
          <cell r="F7">
            <v>4.6103999999999994</v>
          </cell>
        </row>
        <row r="8">
          <cell r="B8">
            <v>2873</v>
          </cell>
          <cell r="C8">
            <v>1.46</v>
          </cell>
          <cell r="E8">
            <v>2873</v>
          </cell>
          <cell r="F8">
            <v>1.1904000000000001</v>
          </cell>
        </row>
        <row r="9">
          <cell r="B9">
            <v>3250</v>
          </cell>
          <cell r="C9">
            <v>4.66</v>
          </cell>
          <cell r="E9">
            <v>3250</v>
          </cell>
          <cell r="F9">
            <v>3.0104000000000002</v>
          </cell>
        </row>
        <row r="10">
          <cell r="B10">
            <v>3740</v>
          </cell>
          <cell r="C10">
            <v>4.0199999999999996</v>
          </cell>
          <cell r="E10">
            <v>3740</v>
          </cell>
          <cell r="F10">
            <v>2.1404000000000001</v>
          </cell>
        </row>
        <row r="11">
          <cell r="B11">
            <v>4490</v>
          </cell>
          <cell r="C11">
            <v>0.71</v>
          </cell>
          <cell r="E11">
            <v>4490</v>
          </cell>
          <cell r="F11">
            <v>1.1304000000000001</v>
          </cell>
        </row>
        <row r="12">
          <cell r="B12">
            <v>4600</v>
          </cell>
          <cell r="C12">
            <v>0.73</v>
          </cell>
          <cell r="E12">
            <v>4600</v>
          </cell>
          <cell r="F12">
            <v>4.1403999999999996</v>
          </cell>
        </row>
        <row r="13">
          <cell r="B13">
            <v>4802.5</v>
          </cell>
          <cell r="C13">
            <v>1.01</v>
          </cell>
          <cell r="E13">
            <v>4802.5</v>
          </cell>
          <cell r="F13">
            <v>0.43640000000000001</v>
          </cell>
        </row>
        <row r="14">
          <cell r="B14">
            <v>4980</v>
          </cell>
          <cell r="C14">
            <v>1.23</v>
          </cell>
          <cell r="E14">
            <v>4980</v>
          </cell>
          <cell r="F14">
            <v>1.9003999999999999</v>
          </cell>
        </row>
        <row r="15">
          <cell r="B15">
            <v>5220</v>
          </cell>
          <cell r="C15">
            <v>2.19</v>
          </cell>
          <cell r="E15">
            <v>5220</v>
          </cell>
          <cell r="F15">
            <v>1.5004</v>
          </cell>
        </row>
        <row r="16">
          <cell r="B16">
            <v>5450</v>
          </cell>
          <cell r="C16">
            <v>2.04</v>
          </cell>
          <cell r="E16">
            <v>5450</v>
          </cell>
          <cell r="F16">
            <v>1.6104000000000001</v>
          </cell>
        </row>
        <row r="17">
          <cell r="B17">
            <v>5870</v>
          </cell>
          <cell r="C17">
            <v>1.81</v>
          </cell>
          <cell r="E17">
            <v>5870</v>
          </cell>
          <cell r="F17">
            <v>1.8004</v>
          </cell>
        </row>
        <row r="18">
          <cell r="B18">
            <v>6000</v>
          </cell>
          <cell r="C18">
            <v>3.68</v>
          </cell>
          <cell r="E18">
            <v>6000</v>
          </cell>
          <cell r="F18">
            <v>1.5704</v>
          </cell>
        </row>
        <row r="19">
          <cell r="B19">
            <v>6130</v>
          </cell>
          <cell r="C19">
            <v>2.08</v>
          </cell>
          <cell r="E19">
            <v>6130</v>
          </cell>
          <cell r="F19">
            <v>1.3504</v>
          </cell>
        </row>
        <row r="20">
          <cell r="B20">
            <v>6213.5</v>
          </cell>
          <cell r="C20">
            <v>1.6</v>
          </cell>
          <cell r="E20">
            <v>6213.5</v>
          </cell>
          <cell r="F20">
            <v>0.36040000000000005</v>
          </cell>
        </row>
        <row r="21">
          <cell r="B21">
            <v>6401</v>
          </cell>
          <cell r="C21">
            <v>0.89</v>
          </cell>
          <cell r="E21">
            <v>6401</v>
          </cell>
          <cell r="F21">
            <v>0.40040000000000003</v>
          </cell>
        </row>
        <row r="22">
          <cell r="B22">
            <v>6580</v>
          </cell>
          <cell r="C22">
            <v>1.36</v>
          </cell>
          <cell r="E22">
            <v>6580</v>
          </cell>
          <cell r="F22">
            <v>1.0004</v>
          </cell>
        </row>
        <row r="23">
          <cell r="B23">
            <v>6808</v>
          </cell>
          <cell r="C23">
            <v>2</v>
          </cell>
          <cell r="E23">
            <v>6808</v>
          </cell>
          <cell r="F23">
            <v>1.4703999999999999</v>
          </cell>
        </row>
        <row r="24">
          <cell r="B24">
            <v>7020</v>
          </cell>
          <cell r="C24">
            <v>1.6</v>
          </cell>
          <cell r="E24">
            <v>7020</v>
          </cell>
          <cell r="F24">
            <v>1.5504</v>
          </cell>
        </row>
        <row r="25">
          <cell r="B25">
            <v>7250</v>
          </cell>
          <cell r="C25">
            <v>3</v>
          </cell>
          <cell r="E25">
            <v>7250</v>
          </cell>
          <cell r="F25">
            <v>1.5004</v>
          </cell>
        </row>
        <row r="26">
          <cell r="B26">
            <v>8150</v>
          </cell>
          <cell r="C26">
            <v>2.1</v>
          </cell>
          <cell r="E26">
            <v>8150</v>
          </cell>
          <cell r="F26">
            <v>1.6403999999999999</v>
          </cell>
        </row>
        <row r="27">
          <cell r="B27">
            <v>8260</v>
          </cell>
          <cell r="C27">
            <v>2</v>
          </cell>
          <cell r="E27">
            <v>8260</v>
          </cell>
          <cell r="F27">
            <v>1.3903999999999999</v>
          </cell>
        </row>
        <row r="28">
          <cell r="B28">
            <v>8520</v>
          </cell>
          <cell r="C28">
            <v>1.5</v>
          </cell>
          <cell r="E28">
            <v>8520</v>
          </cell>
          <cell r="F28">
            <v>2.2103999999999999</v>
          </cell>
        </row>
        <row r="29">
          <cell r="B29">
            <v>8780</v>
          </cell>
          <cell r="C29">
            <v>0.94</v>
          </cell>
          <cell r="E29">
            <v>8780</v>
          </cell>
          <cell r="F29">
            <v>1.7704</v>
          </cell>
        </row>
        <row r="30">
          <cell r="B30">
            <v>9040</v>
          </cell>
          <cell r="C30">
            <v>1.5</v>
          </cell>
          <cell r="E30">
            <v>9040</v>
          </cell>
          <cell r="F30">
            <v>0.33040000000000003</v>
          </cell>
        </row>
        <row r="31">
          <cell r="B31">
            <v>9103</v>
          </cell>
          <cell r="C31">
            <v>1.62</v>
          </cell>
          <cell r="E31">
            <v>9103</v>
          </cell>
          <cell r="F31">
            <v>0.48040000000000005</v>
          </cell>
        </row>
        <row r="32">
          <cell r="B32">
            <v>9260</v>
          </cell>
          <cell r="C32">
            <v>4.3899999999999997</v>
          </cell>
          <cell r="E32">
            <v>9260</v>
          </cell>
          <cell r="F32">
            <v>5.5203999999999995</v>
          </cell>
        </row>
        <row r="33">
          <cell r="B33">
            <v>9385</v>
          </cell>
          <cell r="C33">
            <v>1.42</v>
          </cell>
          <cell r="E33">
            <v>9385</v>
          </cell>
          <cell r="F33">
            <v>3.4504000000000001</v>
          </cell>
        </row>
        <row r="34">
          <cell r="B34">
            <v>9640</v>
          </cell>
          <cell r="C34">
            <v>1.45</v>
          </cell>
          <cell r="E34">
            <v>9640</v>
          </cell>
          <cell r="F34">
            <v>2.9404000000000003</v>
          </cell>
        </row>
        <row r="35">
          <cell r="B35">
            <v>9829</v>
          </cell>
          <cell r="C35">
            <v>0.5</v>
          </cell>
          <cell r="E35">
            <v>9829</v>
          </cell>
          <cell r="F35">
            <v>0.58040000000000003</v>
          </cell>
        </row>
        <row r="36">
          <cell r="B36">
            <v>10342</v>
          </cell>
          <cell r="C36">
            <v>1.88</v>
          </cell>
          <cell r="E36">
            <v>10342</v>
          </cell>
          <cell r="F36">
            <v>1.9703999999999999</v>
          </cell>
        </row>
        <row r="37">
          <cell r="B37">
            <v>10420</v>
          </cell>
          <cell r="C37">
            <v>12.51</v>
          </cell>
          <cell r="E37">
            <v>10420</v>
          </cell>
          <cell r="F37">
            <v>2.4704000000000002</v>
          </cell>
        </row>
        <row r="38">
          <cell r="B38">
            <v>10550</v>
          </cell>
          <cell r="C38">
            <v>1.36</v>
          </cell>
          <cell r="E38">
            <v>10550</v>
          </cell>
          <cell r="F38">
            <v>2.4304000000000001</v>
          </cell>
        </row>
        <row r="39">
          <cell r="B39">
            <v>10865</v>
          </cell>
          <cell r="C39">
            <v>1.49</v>
          </cell>
          <cell r="E39">
            <v>10865</v>
          </cell>
          <cell r="F39">
            <v>10.680400000000001</v>
          </cell>
        </row>
        <row r="40">
          <cell r="B40">
            <v>11225</v>
          </cell>
          <cell r="C40">
            <v>1.33</v>
          </cell>
          <cell r="E40">
            <v>11225</v>
          </cell>
          <cell r="F40">
            <v>1.6304000000000001</v>
          </cell>
        </row>
        <row r="41">
          <cell r="B41">
            <v>11525</v>
          </cell>
          <cell r="C41">
            <v>2.4300000000000002</v>
          </cell>
          <cell r="E41">
            <v>11525</v>
          </cell>
          <cell r="F41">
            <v>1.9303999999999999</v>
          </cell>
        </row>
        <row r="42">
          <cell r="B42">
            <v>11715</v>
          </cell>
          <cell r="C42">
            <v>1.28</v>
          </cell>
          <cell r="E42">
            <v>11715</v>
          </cell>
          <cell r="F42">
            <v>4.0804</v>
          </cell>
        </row>
        <row r="43">
          <cell r="B43">
            <v>13600</v>
          </cell>
          <cell r="C43">
            <v>2.06</v>
          </cell>
          <cell r="E43">
            <v>13600</v>
          </cell>
          <cell r="F43">
            <v>1.8804000000000001</v>
          </cell>
        </row>
        <row r="44">
          <cell r="B44">
            <v>13966</v>
          </cell>
          <cell r="C44">
            <v>0.99</v>
          </cell>
          <cell r="E44">
            <v>13966</v>
          </cell>
          <cell r="F44">
            <v>3.2904</v>
          </cell>
        </row>
        <row r="45">
          <cell r="B45">
            <v>14130</v>
          </cell>
          <cell r="C45">
            <v>1.03</v>
          </cell>
          <cell r="E45">
            <v>14130</v>
          </cell>
          <cell r="F45">
            <v>2.5904000000000003</v>
          </cell>
        </row>
        <row r="46">
          <cell r="B46">
            <v>14198</v>
          </cell>
          <cell r="C46">
            <v>1.1299999999999999</v>
          </cell>
          <cell r="E46">
            <v>14198</v>
          </cell>
          <cell r="F46">
            <v>2.0604</v>
          </cell>
        </row>
        <row r="47">
          <cell r="B47">
            <v>14830</v>
          </cell>
          <cell r="C47">
            <v>2.97</v>
          </cell>
          <cell r="E47">
            <v>14830</v>
          </cell>
          <cell r="F47">
            <v>3.7704</v>
          </cell>
        </row>
        <row r="48">
          <cell r="B48">
            <v>14915</v>
          </cell>
          <cell r="C48">
            <v>1.74</v>
          </cell>
          <cell r="E48">
            <v>14915</v>
          </cell>
          <cell r="F48">
            <v>2.7204000000000002</v>
          </cell>
        </row>
        <row r="49">
          <cell r="B49">
            <v>15230</v>
          </cell>
          <cell r="C49">
            <v>3.11</v>
          </cell>
          <cell r="E49">
            <v>15230</v>
          </cell>
          <cell r="F49">
            <v>3.5204</v>
          </cell>
        </row>
        <row r="50">
          <cell r="B50">
            <v>15520</v>
          </cell>
          <cell r="C50">
            <v>1.5</v>
          </cell>
          <cell r="E50">
            <v>15520</v>
          </cell>
          <cell r="F50">
            <v>5.5303999999999993</v>
          </cell>
        </row>
        <row r="51">
          <cell r="B51">
            <v>16527</v>
          </cell>
          <cell r="C51">
            <v>1.19</v>
          </cell>
          <cell r="E51">
            <v>16527</v>
          </cell>
          <cell r="F51">
            <v>1.2704</v>
          </cell>
        </row>
        <row r="52">
          <cell r="B52">
            <v>17000</v>
          </cell>
          <cell r="C52">
            <v>11.47</v>
          </cell>
          <cell r="E52">
            <v>17000</v>
          </cell>
          <cell r="F52">
            <v>0.86040000000000005</v>
          </cell>
        </row>
        <row r="53">
          <cell r="B53">
            <v>17130</v>
          </cell>
          <cell r="C53">
            <v>1.1299999999999999</v>
          </cell>
          <cell r="E53">
            <v>17130</v>
          </cell>
          <cell r="F53">
            <v>3.3104</v>
          </cell>
        </row>
        <row r="54">
          <cell r="B54">
            <v>17260</v>
          </cell>
          <cell r="C54">
            <v>1.19</v>
          </cell>
          <cell r="E54">
            <v>17260</v>
          </cell>
          <cell r="F54">
            <v>1.1304000000000001</v>
          </cell>
        </row>
        <row r="55">
          <cell r="B55">
            <v>17530</v>
          </cell>
          <cell r="C55">
            <v>0.94</v>
          </cell>
          <cell r="E55">
            <v>17530</v>
          </cell>
          <cell r="F55">
            <v>3.9704000000000002</v>
          </cell>
        </row>
        <row r="56">
          <cell r="B56">
            <v>17695</v>
          </cell>
          <cell r="C56">
            <v>1.21</v>
          </cell>
          <cell r="E56">
            <v>17695</v>
          </cell>
          <cell r="F56">
            <v>1.4203999999999999</v>
          </cell>
        </row>
        <row r="57">
          <cell r="B57">
            <v>17810</v>
          </cell>
          <cell r="C57">
            <v>1.79</v>
          </cell>
          <cell r="E57">
            <v>17810</v>
          </cell>
          <cell r="F57">
            <v>5.6403999999999996</v>
          </cell>
        </row>
        <row r="58">
          <cell r="B58">
            <v>17990</v>
          </cell>
          <cell r="C58">
            <v>1.26</v>
          </cell>
          <cell r="E58">
            <v>17990</v>
          </cell>
          <cell r="F58">
            <v>1.3704000000000001</v>
          </cell>
        </row>
        <row r="59">
          <cell r="B59">
            <v>18130</v>
          </cell>
          <cell r="C59">
            <v>8.56</v>
          </cell>
          <cell r="E59">
            <v>18130</v>
          </cell>
          <cell r="F59">
            <v>1.1904000000000001</v>
          </cell>
        </row>
        <row r="60">
          <cell r="B60">
            <v>18280</v>
          </cell>
          <cell r="C60">
            <v>1.31</v>
          </cell>
          <cell r="E60">
            <v>18280</v>
          </cell>
          <cell r="F60">
            <v>10.3004</v>
          </cell>
        </row>
        <row r="61">
          <cell r="B61">
            <v>18480</v>
          </cell>
          <cell r="C61">
            <v>1.47</v>
          </cell>
          <cell r="E61">
            <v>18480</v>
          </cell>
          <cell r="F61">
            <v>1.5404</v>
          </cell>
        </row>
        <row r="62">
          <cell r="B62">
            <v>18785</v>
          </cell>
          <cell r="C62">
            <v>2.86</v>
          </cell>
          <cell r="E62">
            <v>18785</v>
          </cell>
          <cell r="F62">
            <v>0.52039999999999997</v>
          </cell>
        </row>
        <row r="63">
          <cell r="B63">
            <v>19020</v>
          </cell>
          <cell r="C63">
            <v>3.41</v>
          </cell>
          <cell r="E63">
            <v>19020</v>
          </cell>
          <cell r="F63">
            <v>1.7203999999999999</v>
          </cell>
        </row>
        <row r="64">
          <cell r="B64">
            <v>19134</v>
          </cell>
          <cell r="C64">
            <v>1.33</v>
          </cell>
          <cell r="E64">
            <v>19134</v>
          </cell>
          <cell r="F64">
            <v>0.6804</v>
          </cell>
        </row>
        <row r="65">
          <cell r="B65">
            <v>19459</v>
          </cell>
          <cell r="C65">
            <v>1.01</v>
          </cell>
          <cell r="E65">
            <v>19459</v>
          </cell>
          <cell r="F65">
            <v>0.44040000000000001</v>
          </cell>
        </row>
        <row r="66">
          <cell r="B66">
            <v>19570</v>
          </cell>
          <cell r="C66">
            <v>3.08</v>
          </cell>
          <cell r="E66">
            <v>19570</v>
          </cell>
          <cell r="F66">
            <v>2.9604000000000004</v>
          </cell>
        </row>
        <row r="67">
          <cell r="B67">
            <v>19750</v>
          </cell>
          <cell r="C67">
            <v>1.02</v>
          </cell>
          <cell r="E67">
            <v>19750</v>
          </cell>
          <cell r="F67">
            <v>0.59040000000000004</v>
          </cell>
        </row>
        <row r="68">
          <cell r="B68">
            <v>19860</v>
          </cell>
          <cell r="C68">
            <v>1.0900000000000001</v>
          </cell>
          <cell r="E68">
            <v>19860</v>
          </cell>
          <cell r="F68">
            <v>0.97039999999999993</v>
          </cell>
        </row>
        <row r="69">
          <cell r="B69">
            <v>19980</v>
          </cell>
          <cell r="C69">
            <v>0.95</v>
          </cell>
          <cell r="E69">
            <v>19980</v>
          </cell>
          <cell r="F69">
            <v>0.96039999999999992</v>
          </cell>
        </row>
        <row r="70">
          <cell r="B70">
            <v>20100</v>
          </cell>
          <cell r="C70">
            <v>1.87</v>
          </cell>
          <cell r="E70">
            <v>20100</v>
          </cell>
          <cell r="F70">
            <v>2.6304000000000003</v>
          </cell>
        </row>
        <row r="71">
          <cell r="B71">
            <v>20330</v>
          </cell>
          <cell r="C71">
            <v>1.5</v>
          </cell>
          <cell r="E71">
            <v>20330</v>
          </cell>
          <cell r="F71">
            <v>3.1304000000000003</v>
          </cell>
        </row>
        <row r="72">
          <cell r="B72">
            <v>20750</v>
          </cell>
          <cell r="C72">
            <v>1.17</v>
          </cell>
          <cell r="E72">
            <v>20750</v>
          </cell>
          <cell r="F72">
            <v>1.1404000000000001</v>
          </cell>
        </row>
        <row r="73">
          <cell r="B73">
            <v>20880</v>
          </cell>
          <cell r="C73">
            <v>0.6</v>
          </cell>
          <cell r="E73">
            <v>20880</v>
          </cell>
          <cell r="F73">
            <v>1.7904</v>
          </cell>
        </row>
        <row r="74">
          <cell r="B74">
            <v>21000</v>
          </cell>
          <cell r="C74">
            <v>0.91</v>
          </cell>
          <cell r="E74">
            <v>21000</v>
          </cell>
          <cell r="F74">
            <v>0.65040000000000009</v>
          </cell>
        </row>
        <row r="75">
          <cell r="B75">
            <v>21120</v>
          </cell>
          <cell r="C75">
            <v>1.89</v>
          </cell>
          <cell r="E75">
            <v>21120</v>
          </cell>
          <cell r="F75">
            <v>0.95039999999999991</v>
          </cell>
        </row>
        <row r="76">
          <cell r="B76">
            <v>21420</v>
          </cell>
          <cell r="C76">
            <v>1.82</v>
          </cell>
          <cell r="E76">
            <v>21420</v>
          </cell>
          <cell r="F76">
            <v>3.3304</v>
          </cell>
        </row>
        <row r="77">
          <cell r="B77">
            <v>21540</v>
          </cell>
          <cell r="C77">
            <v>1.61</v>
          </cell>
          <cell r="E77">
            <v>21540</v>
          </cell>
          <cell r="F77">
            <v>0.65040000000000009</v>
          </cell>
        </row>
        <row r="78">
          <cell r="B78">
            <v>21661</v>
          </cell>
          <cell r="C78">
            <v>1.02</v>
          </cell>
          <cell r="E78">
            <v>21661</v>
          </cell>
          <cell r="F78">
            <v>0.40339999999999998</v>
          </cell>
        </row>
        <row r="79">
          <cell r="B79">
            <v>21780</v>
          </cell>
          <cell r="C79">
            <v>1.61</v>
          </cell>
          <cell r="E79">
            <v>21780</v>
          </cell>
          <cell r="F79">
            <v>3.4604000000000004</v>
          </cell>
        </row>
        <row r="80">
          <cell r="B80">
            <v>21950</v>
          </cell>
          <cell r="C80">
            <v>2.83</v>
          </cell>
          <cell r="E80">
            <v>21950</v>
          </cell>
          <cell r="F80">
            <v>0.40040000000000003</v>
          </cell>
        </row>
        <row r="81">
          <cell r="B81">
            <v>22100</v>
          </cell>
          <cell r="C81">
            <v>1.2</v>
          </cell>
          <cell r="E81">
            <v>22100</v>
          </cell>
          <cell r="F81">
            <v>1.0504</v>
          </cell>
        </row>
        <row r="82">
          <cell r="B82">
            <v>22280</v>
          </cell>
          <cell r="C82">
            <v>2.23</v>
          </cell>
          <cell r="E82">
            <v>22280</v>
          </cell>
          <cell r="F82">
            <v>1.2203999999999999</v>
          </cell>
        </row>
        <row r="83">
          <cell r="B83">
            <v>22735</v>
          </cell>
          <cell r="C83">
            <v>1.78</v>
          </cell>
          <cell r="E83">
            <v>22735</v>
          </cell>
          <cell r="F83">
            <v>4.8003999999999998</v>
          </cell>
        </row>
        <row r="84">
          <cell r="B84">
            <v>23020</v>
          </cell>
          <cell r="C84">
            <v>1.18</v>
          </cell>
          <cell r="E84">
            <v>23020</v>
          </cell>
          <cell r="F84">
            <v>2.5404</v>
          </cell>
        </row>
        <row r="85">
          <cell r="B85">
            <v>23142</v>
          </cell>
          <cell r="C85">
            <v>0.92</v>
          </cell>
          <cell r="E85">
            <v>23142</v>
          </cell>
          <cell r="F85">
            <v>2.4904000000000002</v>
          </cell>
        </row>
        <row r="86">
          <cell r="B86">
            <v>23180</v>
          </cell>
          <cell r="C86">
            <v>1.8</v>
          </cell>
          <cell r="E86">
            <v>23180</v>
          </cell>
          <cell r="F86">
            <v>4.1703999999999999</v>
          </cell>
        </row>
        <row r="87">
          <cell r="B87">
            <v>23280</v>
          </cell>
          <cell r="C87">
            <v>1.26</v>
          </cell>
          <cell r="E87">
            <v>23280</v>
          </cell>
          <cell r="F87">
            <v>0.93040000000000012</v>
          </cell>
        </row>
        <row r="88">
          <cell r="B88">
            <v>23420</v>
          </cell>
          <cell r="C88">
            <v>1.61</v>
          </cell>
          <cell r="E88">
            <v>23420</v>
          </cell>
          <cell r="F88">
            <v>3.6404000000000001</v>
          </cell>
        </row>
        <row r="89">
          <cell r="B89">
            <v>23640</v>
          </cell>
          <cell r="C89">
            <v>1.32</v>
          </cell>
          <cell r="E89">
            <v>23640</v>
          </cell>
          <cell r="F89">
            <v>3.7704</v>
          </cell>
        </row>
        <row r="90">
          <cell r="B90">
            <v>23800</v>
          </cell>
          <cell r="C90">
            <v>1.93</v>
          </cell>
          <cell r="E90">
            <v>23800</v>
          </cell>
          <cell r="F90">
            <v>2.4304000000000001</v>
          </cell>
        </row>
        <row r="91">
          <cell r="B91">
            <v>24070</v>
          </cell>
          <cell r="C91">
            <v>2.25</v>
          </cell>
          <cell r="E91">
            <v>24070</v>
          </cell>
          <cell r="F91">
            <v>4.1904000000000003</v>
          </cell>
        </row>
        <row r="92">
          <cell r="B92">
            <v>24170</v>
          </cell>
          <cell r="C92">
            <v>1.03</v>
          </cell>
          <cell r="E92">
            <v>24170</v>
          </cell>
          <cell r="F92">
            <v>2.2204000000000002</v>
          </cell>
        </row>
        <row r="93">
          <cell r="B93">
            <v>24589</v>
          </cell>
          <cell r="C93">
            <v>0.95</v>
          </cell>
          <cell r="E93">
            <v>24589</v>
          </cell>
          <cell r="F93">
            <v>0.44840000000000002</v>
          </cell>
        </row>
        <row r="94">
          <cell r="B94">
            <v>24710</v>
          </cell>
          <cell r="C94">
            <v>1.3</v>
          </cell>
          <cell r="E94">
            <v>24710</v>
          </cell>
          <cell r="F94">
            <v>3.1904000000000003</v>
          </cell>
        </row>
        <row r="95">
          <cell r="B95">
            <v>24880</v>
          </cell>
          <cell r="C95">
            <v>1.25</v>
          </cell>
          <cell r="E95">
            <v>24880</v>
          </cell>
          <cell r="F95">
            <v>2.3304</v>
          </cell>
        </row>
        <row r="96">
          <cell r="B96">
            <v>24980</v>
          </cell>
          <cell r="C96">
            <v>1.56</v>
          </cell>
          <cell r="E96">
            <v>24980</v>
          </cell>
          <cell r="F96">
            <v>7.3003999999999998</v>
          </cell>
        </row>
        <row r="97">
          <cell r="B97">
            <v>25126</v>
          </cell>
          <cell r="C97">
            <v>1.06</v>
          </cell>
          <cell r="E97">
            <v>25126</v>
          </cell>
          <cell r="F97">
            <v>1.3104</v>
          </cell>
        </row>
        <row r="98">
          <cell r="B98">
            <v>25440</v>
          </cell>
          <cell r="C98">
            <v>1.42</v>
          </cell>
          <cell r="E98">
            <v>25440</v>
          </cell>
          <cell r="F98">
            <v>3.7504000000000004</v>
          </cell>
        </row>
        <row r="99">
          <cell r="B99">
            <v>25620</v>
          </cell>
          <cell r="C99">
            <v>1.33</v>
          </cell>
          <cell r="E99">
            <v>25620</v>
          </cell>
          <cell r="F99">
            <v>6.1604000000000001</v>
          </cell>
        </row>
        <row r="100">
          <cell r="B100">
            <v>25880</v>
          </cell>
          <cell r="C100">
            <v>1.37</v>
          </cell>
          <cell r="E100">
            <v>25880</v>
          </cell>
          <cell r="F100">
            <v>5.4203999999999999</v>
          </cell>
        </row>
        <row r="101">
          <cell r="B101">
            <v>26001</v>
          </cell>
          <cell r="C101">
            <v>0.6</v>
          </cell>
          <cell r="E101">
            <v>26001</v>
          </cell>
          <cell r="F101">
            <v>0.33440000000000003</v>
          </cell>
        </row>
        <row r="102">
          <cell r="B102">
            <v>26260</v>
          </cell>
          <cell r="C102">
            <v>1.2</v>
          </cell>
          <cell r="E102">
            <v>26260</v>
          </cell>
          <cell r="F102">
            <v>2.3704000000000001</v>
          </cell>
        </row>
        <row r="103">
          <cell r="B103">
            <v>26380</v>
          </cell>
          <cell r="C103">
            <v>1.37</v>
          </cell>
          <cell r="E103">
            <v>26380</v>
          </cell>
          <cell r="F103">
            <v>2.0004</v>
          </cell>
        </row>
        <row r="104">
          <cell r="B104">
            <v>26470</v>
          </cell>
          <cell r="C104">
            <v>1.34</v>
          </cell>
          <cell r="E104">
            <v>26470</v>
          </cell>
          <cell r="F104">
            <v>0.84040000000000004</v>
          </cell>
        </row>
        <row r="105">
          <cell r="B105">
            <v>26580</v>
          </cell>
          <cell r="C105">
            <v>1.27</v>
          </cell>
          <cell r="E105">
            <v>26580</v>
          </cell>
          <cell r="F105">
            <v>1.8104</v>
          </cell>
        </row>
        <row r="106">
          <cell r="B106">
            <v>26950</v>
          </cell>
          <cell r="C106">
            <v>0.68</v>
          </cell>
          <cell r="E106">
            <v>26950</v>
          </cell>
          <cell r="F106">
            <v>4.1604000000000001</v>
          </cell>
        </row>
        <row r="107">
          <cell r="B107">
            <v>27020</v>
          </cell>
          <cell r="C107">
            <v>1.34</v>
          </cell>
          <cell r="E107">
            <v>27020</v>
          </cell>
          <cell r="F107">
            <v>2.6404000000000001</v>
          </cell>
        </row>
        <row r="108">
          <cell r="B108">
            <v>27180</v>
          </cell>
          <cell r="C108">
            <v>1.41</v>
          </cell>
          <cell r="E108">
            <v>27180</v>
          </cell>
          <cell r="F108">
            <v>3.1604000000000001</v>
          </cell>
        </row>
        <row r="109">
          <cell r="B109">
            <v>27280</v>
          </cell>
          <cell r="C109">
            <v>2.12</v>
          </cell>
          <cell r="E109">
            <v>27280</v>
          </cell>
          <cell r="F109">
            <v>1.1004</v>
          </cell>
        </row>
        <row r="110">
          <cell r="B110">
            <v>27510</v>
          </cell>
          <cell r="C110">
            <v>1.38</v>
          </cell>
          <cell r="E110">
            <v>27510</v>
          </cell>
          <cell r="F110">
            <v>1.6104000000000001</v>
          </cell>
        </row>
        <row r="111">
          <cell r="B111">
            <v>27605</v>
          </cell>
          <cell r="C111">
            <v>1.38</v>
          </cell>
          <cell r="E111">
            <v>27605</v>
          </cell>
          <cell r="F111">
            <v>0.4204</v>
          </cell>
        </row>
        <row r="112">
          <cell r="B112">
            <v>27878</v>
          </cell>
          <cell r="C112">
            <v>1.6</v>
          </cell>
          <cell r="E112">
            <v>27878</v>
          </cell>
          <cell r="F112">
            <v>3.1204000000000001</v>
          </cell>
        </row>
        <row r="113">
          <cell r="B113">
            <v>27980</v>
          </cell>
          <cell r="C113">
            <v>1.34</v>
          </cell>
          <cell r="E113">
            <v>27980</v>
          </cell>
          <cell r="F113">
            <v>2.1503999999999999</v>
          </cell>
        </row>
        <row r="114">
          <cell r="B114">
            <v>28640</v>
          </cell>
          <cell r="C114">
            <v>1.31</v>
          </cell>
          <cell r="E114">
            <v>28640</v>
          </cell>
          <cell r="F114">
            <v>14.340400000000001</v>
          </cell>
        </row>
        <row r="115">
          <cell r="B115">
            <v>29305</v>
          </cell>
          <cell r="C115">
            <v>2.1</v>
          </cell>
          <cell r="E115">
            <v>29305</v>
          </cell>
          <cell r="F115">
            <v>0.88040000000000007</v>
          </cell>
        </row>
        <row r="116">
          <cell r="B116">
            <v>29460</v>
          </cell>
          <cell r="C116">
            <v>1.63</v>
          </cell>
          <cell r="E116">
            <v>29460</v>
          </cell>
          <cell r="F116">
            <v>4.2004000000000001</v>
          </cell>
        </row>
        <row r="117">
          <cell r="B117">
            <v>29715</v>
          </cell>
          <cell r="C117">
            <v>1.48</v>
          </cell>
          <cell r="E117">
            <v>29715</v>
          </cell>
          <cell r="F117">
            <v>1.3804000000000001</v>
          </cell>
        </row>
        <row r="118">
          <cell r="B118">
            <v>29870</v>
          </cell>
          <cell r="C118">
            <v>1.5</v>
          </cell>
          <cell r="E118">
            <v>29870</v>
          </cell>
          <cell r="F118">
            <v>1.6703999999999999</v>
          </cell>
        </row>
        <row r="119">
          <cell r="B119">
            <v>30220</v>
          </cell>
          <cell r="C119">
            <v>1.1100000000000001</v>
          </cell>
          <cell r="E119">
            <v>30220</v>
          </cell>
          <cell r="F119">
            <v>2.9004000000000003</v>
          </cell>
        </row>
        <row r="120">
          <cell r="B120">
            <v>30445</v>
          </cell>
          <cell r="C120">
            <v>1.04</v>
          </cell>
          <cell r="E120">
            <v>30445</v>
          </cell>
          <cell r="F120">
            <v>0.64040000000000008</v>
          </cell>
        </row>
        <row r="121">
          <cell r="B121">
            <v>30565</v>
          </cell>
          <cell r="C121">
            <v>1.75</v>
          </cell>
          <cell r="E121">
            <v>30565</v>
          </cell>
          <cell r="F121">
            <v>1.5604</v>
          </cell>
        </row>
        <row r="122">
          <cell r="B122">
            <v>30640</v>
          </cell>
          <cell r="C122">
            <v>1.45</v>
          </cell>
          <cell r="E122">
            <v>30640</v>
          </cell>
          <cell r="F122">
            <v>0.65040000000000009</v>
          </cell>
        </row>
        <row r="123">
          <cell r="B123">
            <v>30840</v>
          </cell>
          <cell r="C123">
            <v>1.18</v>
          </cell>
          <cell r="E123">
            <v>30840</v>
          </cell>
          <cell r="F123">
            <v>0.63040000000000007</v>
          </cell>
        </row>
        <row r="124">
          <cell r="B124">
            <v>30990</v>
          </cell>
          <cell r="C124">
            <v>0.77</v>
          </cell>
          <cell r="E124">
            <v>30990</v>
          </cell>
          <cell r="F124">
            <v>1.7704</v>
          </cell>
        </row>
        <row r="125">
          <cell r="B125">
            <v>31065</v>
          </cell>
          <cell r="C125">
            <v>0.66</v>
          </cell>
          <cell r="E125">
            <v>31065</v>
          </cell>
          <cell r="F125">
            <v>0.40040000000000003</v>
          </cell>
        </row>
        <row r="126">
          <cell r="B126">
            <v>31395</v>
          </cell>
          <cell r="C126">
            <v>1.3</v>
          </cell>
          <cell r="E126">
            <v>31395</v>
          </cell>
          <cell r="F126">
            <v>0.6804</v>
          </cell>
        </row>
        <row r="127">
          <cell r="B127">
            <v>31530</v>
          </cell>
          <cell r="C127">
            <v>1.19</v>
          </cell>
          <cell r="E127">
            <v>31530</v>
          </cell>
          <cell r="F127">
            <v>1.2604</v>
          </cell>
        </row>
        <row r="128">
          <cell r="B128">
            <v>31730</v>
          </cell>
          <cell r="C128">
            <v>1.24</v>
          </cell>
          <cell r="E128">
            <v>31730</v>
          </cell>
          <cell r="F128">
            <v>0.99039999999999995</v>
          </cell>
        </row>
        <row r="129">
          <cell r="B129">
            <v>31833</v>
          </cell>
          <cell r="C129">
            <v>1.23</v>
          </cell>
          <cell r="E129">
            <v>31833</v>
          </cell>
          <cell r="F129">
            <v>0.33040000000000003</v>
          </cell>
        </row>
        <row r="130">
          <cell r="B130">
            <v>31910</v>
          </cell>
          <cell r="C130">
            <v>1.4</v>
          </cell>
          <cell r="E130">
            <v>31910</v>
          </cell>
          <cell r="F130">
            <v>0.70040000000000002</v>
          </cell>
        </row>
        <row r="131">
          <cell r="B131">
            <v>31980</v>
          </cell>
          <cell r="C131">
            <v>1.94</v>
          </cell>
          <cell r="E131">
            <v>31980</v>
          </cell>
          <cell r="F131">
            <v>0.88040000000000007</v>
          </cell>
        </row>
        <row r="132">
          <cell r="B132">
            <v>32095</v>
          </cell>
          <cell r="C132">
            <v>1.42</v>
          </cell>
          <cell r="E132">
            <v>32095</v>
          </cell>
          <cell r="F132">
            <v>0.85040000000000004</v>
          </cell>
        </row>
        <row r="133">
          <cell r="B133">
            <v>32530</v>
          </cell>
          <cell r="C133">
            <v>1.19</v>
          </cell>
          <cell r="E133">
            <v>32530</v>
          </cell>
          <cell r="F133">
            <v>0.78039999999999998</v>
          </cell>
        </row>
        <row r="134">
          <cell r="B134">
            <v>32820</v>
          </cell>
          <cell r="C134">
            <v>1.39</v>
          </cell>
          <cell r="E134">
            <v>32820</v>
          </cell>
          <cell r="F134">
            <v>0.75039999999999996</v>
          </cell>
        </row>
        <row r="135">
          <cell r="B135">
            <v>32920</v>
          </cell>
          <cell r="C135">
            <v>1.1599999999999999</v>
          </cell>
          <cell r="E135">
            <v>32920</v>
          </cell>
          <cell r="F135">
            <v>7.3704000000000001</v>
          </cell>
        </row>
        <row r="136">
          <cell r="B136">
            <v>33140</v>
          </cell>
          <cell r="C136">
            <v>1.33</v>
          </cell>
          <cell r="E136">
            <v>33140</v>
          </cell>
          <cell r="F136">
            <v>1.6403999999999999</v>
          </cell>
        </row>
        <row r="137">
          <cell r="B137">
            <v>33400</v>
          </cell>
          <cell r="C137">
            <v>1.32</v>
          </cell>
          <cell r="E137">
            <v>33400</v>
          </cell>
          <cell r="F137">
            <v>1.3804000000000001</v>
          </cell>
        </row>
        <row r="138">
          <cell r="B138">
            <v>33485</v>
          </cell>
          <cell r="C138">
            <v>1.29</v>
          </cell>
          <cell r="E138">
            <v>33485</v>
          </cell>
          <cell r="F138">
            <v>1.5504</v>
          </cell>
        </row>
        <row r="139">
          <cell r="B139">
            <v>33600</v>
          </cell>
          <cell r="C139">
            <v>1.44</v>
          </cell>
          <cell r="E139">
            <v>33600</v>
          </cell>
          <cell r="F139">
            <v>2.4404000000000003</v>
          </cell>
        </row>
        <row r="140">
          <cell r="B140">
            <v>33840</v>
          </cell>
          <cell r="C140">
            <v>1.41</v>
          </cell>
          <cell r="E140">
            <v>33840</v>
          </cell>
          <cell r="F140">
            <v>1.7203999999999999</v>
          </cell>
        </row>
        <row r="141">
          <cell r="B141">
            <v>33940</v>
          </cell>
          <cell r="C141">
            <v>1.19</v>
          </cell>
          <cell r="E141">
            <v>33940</v>
          </cell>
          <cell r="F141">
            <v>1.4603999999999999</v>
          </cell>
        </row>
        <row r="142">
          <cell r="B142">
            <v>34030</v>
          </cell>
          <cell r="C142">
            <v>1.21</v>
          </cell>
          <cell r="E142">
            <v>34030</v>
          </cell>
          <cell r="F142">
            <v>1.3604000000000001</v>
          </cell>
        </row>
        <row r="143">
          <cell r="B143">
            <v>34270</v>
          </cell>
          <cell r="C143">
            <v>3.55</v>
          </cell>
          <cell r="E143">
            <v>34270</v>
          </cell>
          <cell r="F143">
            <v>1.7604</v>
          </cell>
        </row>
        <row r="144">
          <cell r="B144">
            <v>34365</v>
          </cell>
          <cell r="C144">
            <v>1.66</v>
          </cell>
          <cell r="E144">
            <v>34365</v>
          </cell>
          <cell r="F144">
            <v>1.6703999999999999</v>
          </cell>
        </row>
        <row r="145">
          <cell r="B145">
            <v>34430</v>
          </cell>
          <cell r="C145">
            <v>1.18</v>
          </cell>
          <cell r="E145">
            <v>34430</v>
          </cell>
          <cell r="F145">
            <v>1.4803999999999999</v>
          </cell>
        </row>
        <row r="146">
          <cell r="B146">
            <v>34600</v>
          </cell>
          <cell r="C146">
            <v>1.36</v>
          </cell>
          <cell r="E146">
            <v>34600</v>
          </cell>
          <cell r="F146">
            <v>1.7604</v>
          </cell>
        </row>
        <row r="147">
          <cell r="B147">
            <v>34670</v>
          </cell>
          <cell r="C147">
            <v>7.49</v>
          </cell>
          <cell r="E147">
            <v>34670</v>
          </cell>
          <cell r="F147">
            <v>0.39040000000000002</v>
          </cell>
        </row>
        <row r="148">
          <cell r="B148">
            <v>34950</v>
          </cell>
          <cell r="C148">
            <v>1.69</v>
          </cell>
          <cell r="E148">
            <v>34950</v>
          </cell>
          <cell r="F148">
            <v>1.2504</v>
          </cell>
        </row>
        <row r="149">
          <cell r="B149">
            <v>35080</v>
          </cell>
          <cell r="C149">
            <v>1.43</v>
          </cell>
          <cell r="E149">
            <v>35080</v>
          </cell>
          <cell r="F149">
            <v>1.6703999999999999</v>
          </cell>
        </row>
        <row r="150">
          <cell r="B150">
            <v>35200</v>
          </cell>
          <cell r="C150">
            <v>1.24</v>
          </cell>
          <cell r="E150">
            <v>35200</v>
          </cell>
          <cell r="F150">
            <v>0.69040000000000001</v>
          </cell>
        </row>
        <row r="151">
          <cell r="B151">
            <v>35325</v>
          </cell>
          <cell r="C151">
            <v>1.69</v>
          </cell>
          <cell r="E151">
            <v>35325</v>
          </cell>
          <cell r="F151">
            <v>0.5504</v>
          </cell>
        </row>
        <row r="152">
          <cell r="B152">
            <v>35400</v>
          </cell>
          <cell r="C152">
            <v>1.21</v>
          </cell>
          <cell r="E152">
            <v>35400</v>
          </cell>
          <cell r="F152">
            <v>1.1304000000000001</v>
          </cell>
        </row>
        <row r="153">
          <cell r="B153">
            <v>35480</v>
          </cell>
          <cell r="C153">
            <v>1.05</v>
          </cell>
          <cell r="E153">
            <v>35480</v>
          </cell>
          <cell r="F153">
            <v>0.81040000000000001</v>
          </cell>
        </row>
        <row r="154">
          <cell r="B154">
            <v>35690</v>
          </cell>
          <cell r="C154">
            <v>1.3</v>
          </cell>
          <cell r="E154">
            <v>35690</v>
          </cell>
          <cell r="F154">
            <v>1.9303999999999999</v>
          </cell>
        </row>
        <row r="155">
          <cell r="B155">
            <v>35790</v>
          </cell>
          <cell r="C155">
            <v>1.1599999999999999</v>
          </cell>
          <cell r="E155">
            <v>35790</v>
          </cell>
          <cell r="F155">
            <v>0.70040000000000002</v>
          </cell>
        </row>
        <row r="156">
          <cell r="B156">
            <v>36210</v>
          </cell>
          <cell r="C156">
            <v>1.53</v>
          </cell>
          <cell r="E156">
            <v>36210</v>
          </cell>
          <cell r="F156">
            <v>1.5804</v>
          </cell>
        </row>
        <row r="157">
          <cell r="B157">
            <v>36290</v>
          </cell>
          <cell r="C157">
            <v>0.95</v>
          </cell>
          <cell r="E157">
            <v>36290</v>
          </cell>
          <cell r="F157">
            <v>3.9404000000000003</v>
          </cell>
        </row>
        <row r="158">
          <cell r="B158">
            <v>36380</v>
          </cell>
          <cell r="C158">
            <v>1.28</v>
          </cell>
          <cell r="E158">
            <v>36380</v>
          </cell>
          <cell r="F158">
            <v>1.1204000000000001</v>
          </cell>
        </row>
        <row r="159">
          <cell r="B159">
            <v>36500</v>
          </cell>
          <cell r="C159">
            <v>1.05</v>
          </cell>
          <cell r="E159">
            <v>36500</v>
          </cell>
          <cell r="F159">
            <v>0.75039999999999996</v>
          </cell>
        </row>
        <row r="160">
          <cell r="B160">
            <v>36590</v>
          </cell>
          <cell r="C160">
            <v>1.28</v>
          </cell>
          <cell r="E160">
            <v>36590</v>
          </cell>
          <cell r="F160">
            <v>1.9103999999999999</v>
          </cell>
        </row>
        <row r="161">
          <cell r="B161">
            <v>36707</v>
          </cell>
          <cell r="C161">
            <v>1.1200000000000001</v>
          </cell>
          <cell r="E161">
            <v>36707</v>
          </cell>
          <cell r="F161">
            <v>3.3004000000000002</v>
          </cell>
        </row>
        <row r="162">
          <cell r="B162">
            <v>36900</v>
          </cell>
          <cell r="C162">
            <v>1.23</v>
          </cell>
          <cell r="E162">
            <v>36900</v>
          </cell>
          <cell r="F162">
            <v>0.60040000000000004</v>
          </cell>
        </row>
        <row r="163">
          <cell r="B163">
            <v>37080</v>
          </cell>
          <cell r="C163">
            <v>10.75</v>
          </cell>
          <cell r="E163">
            <v>37080</v>
          </cell>
          <cell r="F163">
            <v>4.7504</v>
          </cell>
        </row>
        <row r="164">
          <cell r="B164">
            <v>37390</v>
          </cell>
          <cell r="C164">
            <v>2.02</v>
          </cell>
          <cell r="E164">
            <v>37390</v>
          </cell>
          <cell r="F164">
            <v>2.7704</v>
          </cell>
        </row>
        <row r="165">
          <cell r="B165">
            <v>37500</v>
          </cell>
          <cell r="C165">
            <v>0.88</v>
          </cell>
          <cell r="E165">
            <v>37500</v>
          </cell>
          <cell r="F165">
            <v>3.3204000000000002</v>
          </cell>
        </row>
        <row r="166">
          <cell r="B166">
            <v>37670</v>
          </cell>
          <cell r="C166">
            <v>1.4</v>
          </cell>
          <cell r="E166">
            <v>37670</v>
          </cell>
          <cell r="F166">
            <v>1.0504</v>
          </cell>
        </row>
        <row r="167">
          <cell r="B167">
            <v>37820</v>
          </cell>
          <cell r="C167">
            <v>1.45</v>
          </cell>
          <cell r="E167">
            <v>37820</v>
          </cell>
          <cell r="F167">
            <v>1.2003999999999999</v>
          </cell>
        </row>
        <row r="168">
          <cell r="B168">
            <v>37890</v>
          </cell>
          <cell r="C168">
            <v>1.6</v>
          </cell>
          <cell r="E168">
            <v>37890</v>
          </cell>
          <cell r="F168">
            <v>2.8604000000000003</v>
          </cell>
        </row>
        <row r="169">
          <cell r="B169">
            <v>38140</v>
          </cell>
          <cell r="C169">
            <v>1.29</v>
          </cell>
          <cell r="E169">
            <v>38140</v>
          </cell>
          <cell r="F169">
            <v>2.1903999999999999</v>
          </cell>
        </row>
        <row r="170">
          <cell r="B170">
            <v>38693</v>
          </cell>
          <cell r="C170">
            <v>0</v>
          </cell>
          <cell r="E170">
            <v>38693</v>
          </cell>
          <cell r="F170">
            <v>0.33940000000000003</v>
          </cell>
        </row>
        <row r="171">
          <cell r="B171">
            <v>38785</v>
          </cell>
          <cell r="C171">
            <v>1.5</v>
          </cell>
          <cell r="E171">
            <v>38785</v>
          </cell>
          <cell r="F171">
            <v>1.0404</v>
          </cell>
        </row>
        <row r="172">
          <cell r="B172">
            <v>39067</v>
          </cell>
          <cell r="C172">
            <v>0.83</v>
          </cell>
          <cell r="E172">
            <v>39067</v>
          </cell>
          <cell r="F172">
            <v>0.38040000000000002</v>
          </cell>
        </row>
        <row r="173">
          <cell r="B173">
            <v>39220</v>
          </cell>
          <cell r="C173">
            <v>1.38</v>
          </cell>
          <cell r="E173">
            <v>39220</v>
          </cell>
          <cell r="F173">
            <v>0.60040000000000004</v>
          </cell>
        </row>
        <row r="174">
          <cell r="B174">
            <v>39330</v>
          </cell>
          <cell r="C174">
            <v>2.62</v>
          </cell>
          <cell r="E174">
            <v>39330</v>
          </cell>
          <cell r="F174">
            <v>2.9604000000000004</v>
          </cell>
        </row>
        <row r="175">
          <cell r="B175">
            <v>39530</v>
          </cell>
          <cell r="C175">
            <v>1.81</v>
          </cell>
          <cell r="E175">
            <v>39530</v>
          </cell>
          <cell r="F175">
            <v>1.9703999999999999</v>
          </cell>
        </row>
        <row r="176">
          <cell r="B176">
            <v>39720</v>
          </cell>
          <cell r="C176">
            <v>1.47</v>
          </cell>
          <cell r="E176">
            <v>39720</v>
          </cell>
          <cell r="F176">
            <v>2.0504000000000002</v>
          </cell>
        </row>
        <row r="177">
          <cell r="B177">
            <v>39983</v>
          </cell>
          <cell r="C177">
            <v>0.66</v>
          </cell>
          <cell r="E177">
            <v>39983</v>
          </cell>
          <cell r="F177">
            <v>0.72040000000000004</v>
          </cell>
        </row>
        <row r="178">
          <cell r="B178">
            <v>40105</v>
          </cell>
          <cell r="C178">
            <v>4.3</v>
          </cell>
          <cell r="E178">
            <v>40105</v>
          </cell>
          <cell r="F178">
            <v>1.9703999999999999</v>
          </cell>
        </row>
        <row r="179">
          <cell r="B179">
            <v>40220</v>
          </cell>
          <cell r="C179">
            <v>1.23</v>
          </cell>
          <cell r="E179">
            <v>40220</v>
          </cell>
          <cell r="F179">
            <v>2.3304</v>
          </cell>
        </row>
        <row r="180">
          <cell r="B180">
            <v>40508</v>
          </cell>
          <cell r="C180">
            <v>3.44</v>
          </cell>
          <cell r="E180">
            <v>40508</v>
          </cell>
          <cell r="F180">
            <v>1.1504000000000001</v>
          </cell>
        </row>
        <row r="181">
          <cell r="B181">
            <v>40670</v>
          </cell>
          <cell r="C181">
            <v>1.74</v>
          </cell>
          <cell r="E181">
            <v>40670</v>
          </cell>
          <cell r="F181">
            <v>1.2003999999999999</v>
          </cell>
        </row>
        <row r="182">
          <cell r="B182">
            <v>40780</v>
          </cell>
          <cell r="C182">
            <v>3.86</v>
          </cell>
          <cell r="E182">
            <v>40780</v>
          </cell>
          <cell r="F182">
            <v>4.7603999999999997</v>
          </cell>
        </row>
        <row r="183">
          <cell r="B183">
            <v>40880</v>
          </cell>
          <cell r="C183">
            <v>1.63</v>
          </cell>
          <cell r="E183">
            <v>40880</v>
          </cell>
          <cell r="F183">
            <v>1.4103999999999999</v>
          </cell>
        </row>
        <row r="184">
          <cell r="B184">
            <v>41193</v>
          </cell>
          <cell r="C184">
            <v>7.25</v>
          </cell>
          <cell r="E184">
            <v>41193</v>
          </cell>
          <cell r="F184">
            <v>0.36940000000000001</v>
          </cell>
        </row>
        <row r="185">
          <cell r="B185">
            <v>41344</v>
          </cell>
          <cell r="C185">
            <v>3.38</v>
          </cell>
          <cell r="E185">
            <v>41344</v>
          </cell>
          <cell r="F185">
            <v>1.7604</v>
          </cell>
        </row>
        <row r="186">
          <cell r="B186">
            <v>41575</v>
          </cell>
          <cell r="C186">
            <v>1.81</v>
          </cell>
          <cell r="E186">
            <v>41575</v>
          </cell>
          <cell r="F186">
            <v>1.0004</v>
          </cell>
        </row>
        <row r="187">
          <cell r="B187">
            <v>41910</v>
          </cell>
          <cell r="C187">
            <v>2.36</v>
          </cell>
          <cell r="E187">
            <v>41910</v>
          </cell>
          <cell r="F187">
            <v>0.39040000000000002</v>
          </cell>
        </row>
        <row r="188">
          <cell r="B188">
            <v>42130</v>
          </cell>
          <cell r="C188">
            <v>1.33</v>
          </cell>
          <cell r="E188">
            <v>42130</v>
          </cell>
          <cell r="F188">
            <v>1.7203999999999999</v>
          </cell>
        </row>
        <row r="189">
          <cell r="B189">
            <v>42192</v>
          </cell>
          <cell r="C189">
            <v>7.45</v>
          </cell>
          <cell r="E189">
            <v>42192</v>
          </cell>
          <cell r="F189">
            <v>1.3204</v>
          </cell>
        </row>
        <row r="190">
          <cell r="B190">
            <v>42235</v>
          </cell>
          <cell r="C190">
            <v>1.74</v>
          </cell>
          <cell r="E190">
            <v>42235</v>
          </cell>
          <cell r="F190">
            <v>0.94040000000000012</v>
          </cell>
        </row>
        <row r="191">
          <cell r="B191">
            <v>42292</v>
          </cell>
          <cell r="C191">
            <v>0.93</v>
          </cell>
          <cell r="E191">
            <v>42292</v>
          </cell>
          <cell r="F191">
            <v>0.82040000000000002</v>
          </cell>
        </row>
        <row r="192">
          <cell r="B192">
            <v>42390</v>
          </cell>
          <cell r="C192">
            <v>2.68</v>
          </cell>
          <cell r="E192">
            <v>42390</v>
          </cell>
          <cell r="F192">
            <v>1.6004</v>
          </cell>
        </row>
        <row r="193">
          <cell r="B193">
            <v>42480</v>
          </cell>
          <cell r="C193">
            <v>7.16</v>
          </cell>
          <cell r="E193">
            <v>42480</v>
          </cell>
          <cell r="F193">
            <v>0.99039999999999995</v>
          </cell>
        </row>
        <row r="194">
          <cell r="B194">
            <v>42580</v>
          </cell>
          <cell r="C194">
            <v>1.41</v>
          </cell>
          <cell r="E194">
            <v>42580</v>
          </cell>
          <cell r="F194">
            <v>2.1404000000000001</v>
          </cell>
        </row>
        <row r="195">
          <cell r="B195">
            <v>42670</v>
          </cell>
          <cell r="C195">
            <v>1.3</v>
          </cell>
          <cell r="E195">
            <v>42670</v>
          </cell>
          <cell r="F195">
            <v>1.0704</v>
          </cell>
        </row>
        <row r="196">
          <cell r="B196">
            <v>42860</v>
          </cell>
          <cell r="C196">
            <v>2.0099999999999998</v>
          </cell>
          <cell r="E196">
            <v>42860</v>
          </cell>
          <cell r="F196">
            <v>2.3204000000000002</v>
          </cell>
        </row>
        <row r="197">
          <cell r="B197">
            <v>42965</v>
          </cell>
          <cell r="C197">
            <v>5.6</v>
          </cell>
          <cell r="E197">
            <v>42965</v>
          </cell>
          <cell r="F197">
            <v>1.9603999999999999</v>
          </cell>
        </row>
        <row r="198">
          <cell r="B198">
            <v>43035</v>
          </cell>
          <cell r="C198">
            <v>1.8</v>
          </cell>
          <cell r="E198">
            <v>43035</v>
          </cell>
          <cell r="F198">
            <v>2.1903999999999999</v>
          </cell>
        </row>
        <row r="199">
          <cell r="B199">
            <v>43383</v>
          </cell>
          <cell r="C199">
            <v>6.59</v>
          </cell>
          <cell r="E199">
            <v>43383</v>
          </cell>
          <cell r="F199">
            <v>0.4234</v>
          </cell>
        </row>
        <row r="200">
          <cell r="B200">
            <v>43460</v>
          </cell>
          <cell r="C200">
            <v>1.66</v>
          </cell>
          <cell r="E200">
            <v>43460</v>
          </cell>
          <cell r="F200">
            <v>2.2804000000000002</v>
          </cell>
        </row>
        <row r="201">
          <cell r="B201">
            <v>43550</v>
          </cell>
          <cell r="C201">
            <v>1.1399999999999999</v>
          </cell>
          <cell r="E201">
            <v>43550</v>
          </cell>
          <cell r="F201">
            <v>4.6803999999999997</v>
          </cell>
        </row>
        <row r="202">
          <cell r="B202">
            <v>43630</v>
          </cell>
          <cell r="C202">
            <v>2.67</v>
          </cell>
          <cell r="E202">
            <v>43630</v>
          </cell>
          <cell r="F202">
            <v>0.34040000000000004</v>
          </cell>
        </row>
        <row r="203">
          <cell r="B203">
            <v>43710</v>
          </cell>
          <cell r="C203">
            <v>1.22</v>
          </cell>
          <cell r="E203">
            <v>43710</v>
          </cell>
          <cell r="F203">
            <v>0.40239999999999998</v>
          </cell>
        </row>
        <row r="204">
          <cell r="B204">
            <v>44650</v>
          </cell>
          <cell r="C204">
            <v>1.87</v>
          </cell>
          <cell r="E204">
            <v>44650</v>
          </cell>
          <cell r="F204">
            <v>4.7803999999999993</v>
          </cell>
        </row>
        <row r="205">
          <cell r="B205">
            <v>44700</v>
          </cell>
          <cell r="C205">
            <v>0.85</v>
          </cell>
          <cell r="E205">
            <v>44700</v>
          </cell>
          <cell r="F205">
            <v>8.1204000000000001</v>
          </cell>
        </row>
        <row r="206">
          <cell r="B206">
            <v>44860</v>
          </cell>
          <cell r="C206">
            <v>1.47</v>
          </cell>
          <cell r="E206">
            <v>44860</v>
          </cell>
          <cell r="F206">
            <v>7.4203999999999999</v>
          </cell>
        </row>
        <row r="207">
          <cell r="B207">
            <v>45040</v>
          </cell>
          <cell r="C207">
            <v>2.2599999999999998</v>
          </cell>
          <cell r="E207">
            <v>45040</v>
          </cell>
          <cell r="F207">
            <v>4.4003999999999994</v>
          </cell>
        </row>
        <row r="208">
          <cell r="B208">
            <v>45250</v>
          </cell>
          <cell r="C208">
            <v>1.29</v>
          </cell>
          <cell r="E208">
            <v>45250</v>
          </cell>
          <cell r="F208">
            <v>2.1204000000000001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P"/>
      <sheetName val="Generalidades"/>
      <sheetName val="Datos"/>
      <sheetName val="Esquema Bloques"/>
      <sheetName val="Bloques"/>
      <sheetName val="Indicadores"/>
      <sheetName val="Indicadores 2"/>
      <sheetName val="Codigos"/>
      <sheetName val="DATOS DE OBRA"/>
      <sheetName val="DATOS FIERRO y clavos"/>
      <sheetName val="DATOS BASE"/>
      <sheetName val="PLL. METRADOS"/>
      <sheetName val="RESU METRADO"/>
      <sheetName val="PRESUPUESTO"/>
      <sheetName val="PRESU RESUMEN"/>
      <sheetName val="PRESU RESUMEN (2)"/>
      <sheetName val="ANALISIS DE C.U."/>
      <sheetName val="APORTE"/>
      <sheetName val="APORTES 1"/>
      <sheetName val="Distancia de Transporte"/>
      <sheetName val="FLETE MATERIALES"/>
      <sheetName val="REL INSUMOS"/>
      <sheetName val="FLETE  AGREGADOS yPIEDRA"/>
      <sheetName val="Describión y ubioc de punt"/>
      <sheetName val="HERRAMIENTAS"/>
      <sheetName val="BOTIQUIN"/>
      <sheetName val="CRON. VAL."/>
      <sheetName val="CRON. ADQUI."/>
      <sheetName val="CRON. G.M.O."/>
      <sheetName val="DESEM"/>
      <sheetName val="FICHA TEC 007 - S 02"/>
      <sheetName val="ESTADO SITUACIONAL"/>
      <sheetName val="METRADOS"/>
      <sheetName val="VALORIZACIÓN"/>
      <sheetName val="F-23 PARTIDAS"/>
      <sheetName val="F-23 TÍTULOS"/>
      <sheetName val="CURVA S"/>
      <sheetName val="PPTO"/>
      <sheetName val="ACU"/>
      <sheetName val="Analisis CU"/>
      <sheetName val="APORTE PNVR ADOBE"/>
      <sheetName val="FLETE MATERIALES NEC"/>
      <sheetName val="Compras NEC"/>
      <sheetName val="Hoja1"/>
      <sheetName val="NoBorrar"/>
      <sheetName val="AYUDA"/>
      <sheetName val="RESIDENTE DE OBRA"/>
      <sheetName val="Valoriz. exacto"/>
      <sheetName val="CONCILIACION SETIEMBRE"/>
      <sheetName val="Adquisiciones"/>
      <sheetName val="ARMA S.E 01"/>
      <sheetName val="PRE.C.MERCADO"/>
      <sheetName val="C.Unitario"/>
      <sheetName val="SUST.METR. 4.01 AL 4.04"/>
      <sheetName val="AREA  COR.Y RELL. TMC"/>
    </sheetNames>
    <sheetDataSet>
      <sheetData sheetId="0">
        <row r="2">
          <cell r="B2" t="str">
            <v>SISTEMA DE GESTION DE PROYECTOS Y OBRAS</v>
          </cell>
        </row>
      </sheetData>
      <sheetData sheetId="1">
        <row r="65">
          <cell r="B65" t="str">
            <v>Plazo de ejecución</v>
          </cell>
        </row>
      </sheetData>
      <sheetData sheetId="2"/>
      <sheetData sheetId="3">
        <row r="5">
          <cell r="F5">
            <v>1</v>
          </cell>
        </row>
      </sheetData>
      <sheetData sheetId="4">
        <row r="1">
          <cell r="S1" t="str">
            <v>BLOQUES</v>
          </cell>
        </row>
        <row r="5">
          <cell r="F5">
            <v>5055280.9600000009</v>
          </cell>
        </row>
        <row r="6">
          <cell r="F6">
            <v>0</v>
          </cell>
        </row>
        <row r="7">
          <cell r="F7">
            <v>0</v>
          </cell>
        </row>
        <row r="8">
          <cell r="F8">
            <v>0</v>
          </cell>
        </row>
        <row r="9">
          <cell r="F9">
            <v>0</v>
          </cell>
        </row>
        <row r="10">
          <cell r="F10">
            <v>0</v>
          </cell>
        </row>
        <row r="11">
          <cell r="F11">
            <v>0</v>
          </cell>
        </row>
        <row r="12">
          <cell r="F12">
            <v>0</v>
          </cell>
        </row>
        <row r="13">
          <cell r="F13">
            <v>0</v>
          </cell>
        </row>
        <row r="14">
          <cell r="F14">
            <v>0</v>
          </cell>
        </row>
        <row r="16">
          <cell r="B16" t="str">
            <v>DP3</v>
          </cell>
        </row>
        <row r="17">
          <cell r="B17" t="str">
            <v>DP4</v>
          </cell>
        </row>
        <row r="18">
          <cell r="B18" t="str">
            <v>DP5</v>
          </cell>
        </row>
        <row r="19">
          <cell r="B19" t="str">
            <v>DP6</v>
          </cell>
        </row>
        <row r="20">
          <cell r="B20" t="str">
            <v>DP7</v>
          </cell>
        </row>
        <row r="21">
          <cell r="B21" t="str">
            <v>DP8</v>
          </cell>
        </row>
        <row r="22">
          <cell r="B22" t="str">
            <v>DSH</v>
          </cell>
        </row>
        <row r="23">
          <cell r="B23" t="str">
            <v>DV1</v>
          </cell>
        </row>
        <row r="24">
          <cell r="B24" t="str">
            <v>OE1</v>
          </cell>
        </row>
        <row r="25">
          <cell r="B25" t="str">
            <v>OE10</v>
          </cell>
        </row>
        <row r="26">
          <cell r="B26" t="str">
            <v>OE11</v>
          </cell>
        </row>
        <row r="27">
          <cell r="B27" t="str">
            <v>OE12</v>
          </cell>
        </row>
        <row r="28">
          <cell r="B28" t="str">
            <v>OE13</v>
          </cell>
        </row>
        <row r="29">
          <cell r="B29" t="str">
            <v>OE14</v>
          </cell>
        </row>
        <row r="30">
          <cell r="B30" t="str">
            <v>OE15</v>
          </cell>
        </row>
        <row r="31">
          <cell r="B31" t="str">
            <v>OE16</v>
          </cell>
        </row>
        <row r="32">
          <cell r="B32" t="str">
            <v>OE17</v>
          </cell>
        </row>
        <row r="33">
          <cell r="B33" t="str">
            <v>OE18</v>
          </cell>
        </row>
        <row r="34">
          <cell r="B34" t="str">
            <v>OE19</v>
          </cell>
        </row>
        <row r="35">
          <cell r="B35" t="str">
            <v>OE2</v>
          </cell>
        </row>
        <row r="36">
          <cell r="B36" t="str">
            <v>OE20</v>
          </cell>
        </row>
      </sheetData>
      <sheetData sheetId="5"/>
      <sheetData sheetId="6">
        <row r="1">
          <cell r="S1" t="str">
            <v>BLOQUE</v>
          </cell>
        </row>
      </sheetData>
      <sheetData sheetId="7">
        <row r="1">
          <cell r="S1" t="str">
            <v>BLOQUE</v>
          </cell>
        </row>
        <row r="88">
          <cell r="B88" t="str">
            <v>P11</v>
          </cell>
        </row>
        <row r="89">
          <cell r="B89" t="str">
            <v>P12</v>
          </cell>
        </row>
        <row r="90">
          <cell r="B90" t="str">
            <v>P13</v>
          </cell>
        </row>
        <row r="91">
          <cell r="B91" t="str">
            <v>P14</v>
          </cell>
        </row>
        <row r="92">
          <cell r="B92" t="str">
            <v>AT</v>
          </cell>
        </row>
        <row r="93">
          <cell r="B93" t="str">
            <v>AL</v>
          </cell>
        </row>
        <row r="94">
          <cell r="B94" t="str">
            <v>MO</v>
          </cell>
        </row>
        <row r="95">
          <cell r="B95" t="str">
            <v>GD</v>
          </cell>
        </row>
        <row r="96">
          <cell r="B96" t="str">
            <v>GN</v>
          </cell>
        </row>
        <row r="97">
          <cell r="B97" t="str">
            <v>JF1</v>
          </cell>
        </row>
        <row r="98">
          <cell r="B98" t="str">
            <v>CH</v>
          </cell>
        </row>
        <row r="99">
          <cell r="B99" t="str">
            <v>H6</v>
          </cell>
        </row>
        <row r="100">
          <cell r="B100" t="str">
            <v>H7</v>
          </cell>
        </row>
        <row r="101">
          <cell r="B101" t="str">
            <v>H8</v>
          </cell>
        </row>
        <row r="102">
          <cell r="B102" t="str">
            <v>I1</v>
          </cell>
        </row>
        <row r="103">
          <cell r="B103" t="str">
            <v xml:space="preserve">PERSONAL </v>
          </cell>
        </row>
        <row r="104">
          <cell r="B104" t="str">
            <v>TO</v>
          </cell>
        </row>
        <row r="105">
          <cell r="B105" t="str">
            <v>PP</v>
          </cell>
        </row>
        <row r="106">
          <cell r="B106" t="str">
            <v>V1</v>
          </cell>
        </row>
        <row r="107">
          <cell r="B107" t="str">
            <v>V2</v>
          </cell>
        </row>
        <row r="108">
          <cell r="B108" t="str">
            <v>V3</v>
          </cell>
        </row>
        <row r="109">
          <cell r="B109" t="str">
            <v>V4</v>
          </cell>
        </row>
        <row r="110">
          <cell r="B110" t="str">
            <v>V5</v>
          </cell>
        </row>
        <row r="111">
          <cell r="B111" t="str">
            <v>V6</v>
          </cell>
        </row>
        <row r="112">
          <cell r="B112" t="str">
            <v>V7</v>
          </cell>
        </row>
        <row r="113">
          <cell r="B113" t="str">
            <v>V8</v>
          </cell>
        </row>
        <row r="114">
          <cell r="B114" t="str">
            <v>V9</v>
          </cell>
        </row>
        <row r="115">
          <cell r="B115" t="str">
            <v>V10</v>
          </cell>
        </row>
        <row r="116">
          <cell r="B116" t="str">
            <v>V11</v>
          </cell>
        </row>
      </sheetData>
      <sheetData sheetId="8" refreshError="1"/>
      <sheetData sheetId="9">
        <row r="5">
          <cell r="F5">
            <v>1.03</v>
          </cell>
        </row>
      </sheetData>
      <sheetData sheetId="10"/>
      <sheetData sheetId="11"/>
      <sheetData sheetId="12">
        <row r="5">
          <cell r="F5">
            <v>0</v>
          </cell>
        </row>
      </sheetData>
      <sheetData sheetId="13"/>
      <sheetData sheetId="14"/>
      <sheetData sheetId="15"/>
      <sheetData sheetId="16"/>
      <sheetData sheetId="17">
        <row r="5">
          <cell r="F5">
            <v>1.03</v>
          </cell>
        </row>
      </sheetData>
      <sheetData sheetId="18"/>
      <sheetData sheetId="19"/>
      <sheetData sheetId="20">
        <row r="5">
          <cell r="F5">
            <v>0</v>
          </cell>
        </row>
      </sheetData>
      <sheetData sheetId="21"/>
      <sheetData sheetId="22"/>
      <sheetData sheetId="23">
        <row r="5">
          <cell r="F5">
            <v>0</v>
          </cell>
        </row>
      </sheetData>
      <sheetData sheetId="24"/>
      <sheetData sheetId="25"/>
      <sheetData sheetId="26"/>
      <sheetData sheetId="27"/>
      <sheetData sheetId="28"/>
      <sheetData sheetId="29"/>
      <sheetData sheetId="30">
        <row r="5">
          <cell r="F5">
            <v>0</v>
          </cell>
        </row>
      </sheetData>
      <sheetData sheetId="31"/>
      <sheetData sheetId="32">
        <row r="5">
          <cell r="F5">
            <v>0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1">
          <cell r="S1" t="str">
            <v>BLOQUE</v>
          </cell>
        </row>
      </sheetData>
      <sheetData sheetId="44"/>
      <sheetData sheetId="45"/>
      <sheetData sheetId="46">
        <row r="17">
          <cell r="B17" t="str">
            <v>2.1 DIRECCIÓN ACTUAL</v>
          </cell>
        </row>
      </sheetData>
      <sheetData sheetId="47" refreshError="1"/>
      <sheetData sheetId="48">
        <row r="17">
          <cell r="B17" t="str">
            <v>2.1 DIRECCIÓN ACTUAL</v>
          </cell>
        </row>
      </sheetData>
      <sheetData sheetId="49">
        <row r="2">
          <cell r="B2" t="str">
            <v>SISTEMA DE GESTION DE PROYECTOS Y OBRAS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ARMA S.E 01"/>
      <sheetName val="Planilla de Estruc.RS."/>
      <sheetName val="C.Unitario"/>
      <sheetName val="F.Polinomica"/>
      <sheetName val="PRE.C.SICODI"/>
      <sheetName val="PRE.C.MERCADO"/>
      <sheetName val="G.G"/>
      <sheetName val="Resumen T."/>
      <sheetName val="Resumen Inver."/>
      <sheetName val="Hoja1"/>
      <sheetName val="S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BASE DE DATOS"/>
      <sheetName val="NOMBRE"/>
      <sheetName val="Ficha Tecnica No "/>
      <sheetName val="Curva S"/>
      <sheetName val="metrados"/>
      <sheetName val="Val. mensual "/>
      <sheetName val="VALORIZ"/>
      <sheetName val="Fotos"/>
      <sheetName val="RESUMEN GENERAL"/>
      <sheetName val="mayor metrado"/>
      <sheetName val="Val. mayor metrado"/>
      <sheetName val="Val. mensual adicional"/>
      <sheetName val="V.F.DEDUCTIVOS(51)"/>
      <sheetName val="V.F.F. APORTE DE 3(52)"/>
      <sheetName val="VAL. DE EQUIPO(55)"/>
      <sheetName val="P. DIARIO DE MAQUINARIA(57)"/>
      <sheetName val="RESUMEN ESPECIFICA(58)"/>
      <sheetName val="M.T. GASTOS DE OBRA(59)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esivas"/>
      <sheetName val="Cuaderno de Obra MAYO"/>
      <sheetName val="Cuaderno de Obra JUNIO OK"/>
      <sheetName val="Cuaderno de Obra Julio"/>
      <sheetName val="Comple Julio"/>
      <sheetName val="jULIO ACUMU"/>
      <sheetName val="jULIO ACUMU EX"/>
      <sheetName val="recursos"/>
      <sheetName val="Cuaderno de Obra Modelo"/>
      <sheetName val="Lista de trabajadores May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LA DE METRADOS"/>
      <sheetName val="ACERO"/>
      <sheetName val="Datos"/>
      <sheetName val="deductivos"/>
      <sheetName val="METRADOS ACERO OBRA"/>
      <sheetName val="Hoja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otas"/>
      <sheetName val="Taller"/>
      <sheetName val="Oper"/>
      <sheetName val="Deprec"/>
      <sheetName val="Dis_Mec"/>
      <sheetName val="C_MtoxMes"/>
      <sheetName val="Cost"/>
      <sheetName val="Grafico"/>
      <sheetName val="Tareo Abril"/>
      <sheetName val="Comple Jul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la_Pers"/>
    </sheetNames>
    <sheetDataSet>
      <sheetData sheetId="0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07-04VAL"/>
      <sheetName val="F-07-04VAL.M.M"/>
      <sheetName val="F-07-04VAL.P.N. "/>
      <sheetName val="METRADO-NOVIEMBRE"/>
      <sheetName val="METRADO PN"/>
      <sheetName val="ACUMULADO-OCT REND"/>
      <sheetName val="GRAFICO OCT"/>
      <sheetName val="ACUMULADOxCUADRILLA"/>
      <sheetName val="CUADRILLA"/>
      <sheetName val="OCTUBRE"/>
      <sheetName val="CALENDARIO"/>
      <sheetName val="Hoja1"/>
      <sheetName val="ACUMULADO-ABRIL"/>
      <sheetName val="ANALISIS ALQUILER FERREYROS"/>
      <sheetName val="JAPO-MAX"/>
      <sheetName val="f-05"/>
      <sheetName val="F-07-04VAL_M_M"/>
      <sheetName val="F-07-04VAL_P_N__"/>
      <sheetName val="METRADO_PN"/>
      <sheetName val="ACUMULADO-OCT_REND"/>
      <sheetName val="GRAFICO_OCT"/>
      <sheetName val="ANALISIS_ALQUILER_FERREY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-07-04VAL"/>
      <sheetName val="F-07-04VAL.M.M"/>
      <sheetName val="F-07-04VAL.P.N. "/>
      <sheetName val="METRADO-RENDIMIENTOS-MAYO"/>
      <sheetName val="JUSTIF METRADO PN 2021"/>
      <sheetName val="ACUMULADO-MAYO REND"/>
      <sheetName val="GRAFICO MAYO"/>
      <sheetName val="ACUMULADOxCUADRILLA"/>
      <sheetName val="CUADRILLA"/>
      <sheetName val="ABRIL"/>
      <sheetName val="CALENDARIO"/>
      <sheetName val="Hoja1"/>
      <sheetName val="ACUMULADO-ABRIL"/>
      <sheetName val="exp"/>
      <sheetName val="Milestones&amp;Weights"/>
      <sheetName val="ALT-PREC"/>
      <sheetName val="Tareo Abril"/>
      <sheetName val="Plla_Pers"/>
    </sheetNames>
    <sheetDataSet>
      <sheetData sheetId="0"/>
      <sheetData sheetId="1"/>
      <sheetData sheetId="2"/>
      <sheetData sheetId="3">
        <row r="4">
          <cell r="AG4" t="str">
            <v>ENCOF-01</v>
          </cell>
          <cell r="AH4" t="str">
            <v>ENCOF-02</v>
          </cell>
          <cell r="AI4" t="str">
            <v>ACERO-01</v>
          </cell>
          <cell r="AJ4" t="str">
            <v>ACERO-02</v>
          </cell>
          <cell r="AK4" t="str">
            <v>ALB-M-01</v>
          </cell>
          <cell r="AL4" t="str">
            <v>ALB-M-02</v>
          </cell>
          <cell r="AM4" t="str">
            <v>ALB-M-03</v>
          </cell>
          <cell r="AN4" t="str">
            <v>TARRAJEO-01</v>
          </cell>
          <cell r="AO4" t="str">
            <v>TARRAJEO-02</v>
          </cell>
          <cell r="AP4" t="str">
            <v>TARRAJEO-03</v>
          </cell>
          <cell r="AQ4" t="str">
            <v>TARRAJEO-04</v>
          </cell>
          <cell r="AR4" t="str">
            <v>TARRAJEO-05</v>
          </cell>
          <cell r="AS4" t="str">
            <v>TARRAJEO-06</v>
          </cell>
          <cell r="AT4" t="str">
            <v>TARRAJEO-07</v>
          </cell>
          <cell r="AU4" t="str">
            <v>TARRAJEO-08</v>
          </cell>
          <cell r="AV4" t="str">
            <v>TARRAJEO-09</v>
          </cell>
          <cell r="AW4" t="str">
            <v>TARRAJEO-10</v>
          </cell>
          <cell r="AX4" t="str">
            <v>PICADO-01</v>
          </cell>
          <cell r="AY4" t="str">
            <v>CONCRETO-01</v>
          </cell>
          <cell r="AZ4" t="str">
            <v>LIMP-01</v>
          </cell>
          <cell r="BA4" t="str">
            <v>DEMO-01</v>
          </cell>
          <cell r="BB4" t="str">
            <v>CURADO-01</v>
          </cell>
          <cell r="BC4" t="str">
            <v>SOLD-01</v>
          </cell>
          <cell r="BD4" t="str">
            <v>WINCHE-01</v>
          </cell>
          <cell r="BE4" t="str">
            <v>ELECT-01</v>
          </cell>
          <cell r="BF4" t="str">
            <v>GASFIT-01</v>
          </cell>
          <cell r="BG4" t="str">
            <v>RELLENO-01</v>
          </cell>
          <cell r="BH4" t="str">
            <v>COCINA-01</v>
          </cell>
          <cell r="BI4" t="str">
            <v>LIMP.COV-01</v>
          </cell>
          <cell r="BJ4" t="str">
            <v>PERS.TEC-01</v>
          </cell>
          <cell r="BK4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-C NOV"/>
      <sheetName val="MD NOV"/>
      <sheetName val="RESUMEN."/>
      <sheetName val="D-2 NOV"/>
      <sheetName val="Tablas"/>
      <sheetName val="PAT-CS"/>
      <sheetName val="C-CH"/>
      <sheetName val="ENCARGO"/>
      <sheetName val="Plla_Pers"/>
      <sheetName val="CUADRILLA"/>
    </sheetNames>
    <sheetDataSet>
      <sheetData sheetId="0"/>
      <sheetData sheetId="1"/>
      <sheetData sheetId="2"/>
      <sheetData sheetId="3"/>
      <sheetData sheetId="4">
        <row r="5">
          <cell r="B5" t="str">
            <v>AGUA</v>
          </cell>
        </row>
        <row r="6">
          <cell r="B6" t="str">
            <v>AGUA ACILADA</v>
          </cell>
        </row>
        <row r="7">
          <cell r="B7" t="str">
            <v>AGUA MINERAL EN BIDONES</v>
          </cell>
        </row>
        <row r="8">
          <cell r="B8" t="str">
            <v>AGUA MINERAL EN BOTELLAS</v>
          </cell>
        </row>
        <row r="9">
          <cell r="B9" t="str">
            <v>AGUA OXIGENADA</v>
          </cell>
        </row>
        <row r="10">
          <cell r="B10" t="str">
            <v>ALAMBRE GALVANIZADO N°14</v>
          </cell>
        </row>
        <row r="11">
          <cell r="B11" t="str">
            <v>ALAMBRE GALVANIZADO N°16</v>
          </cell>
        </row>
        <row r="12">
          <cell r="B12" t="str">
            <v>ALAMBRE NEGRO N° 16</v>
          </cell>
        </row>
        <row r="13">
          <cell r="B13" t="str">
            <v>ALAMBRE NEGRO N° 8</v>
          </cell>
        </row>
        <row r="14">
          <cell r="B14" t="str">
            <v>ALCOHOL</v>
          </cell>
        </row>
        <row r="15">
          <cell r="B15" t="str">
            <v>ALDABA DE 4"</v>
          </cell>
        </row>
        <row r="16">
          <cell r="B16" t="str">
            <v>ALGODÓN X 25 GR</v>
          </cell>
        </row>
        <row r="17">
          <cell r="B17" t="str">
            <v>AMPICILINA</v>
          </cell>
        </row>
        <row r="18">
          <cell r="B18" t="str">
            <v>ANDAMIO METALICO</v>
          </cell>
        </row>
        <row r="19">
          <cell r="B19" t="str">
            <v>ANGULO   DE 2"X2"X1/4" X 6 M  AREQUIPA</v>
          </cell>
        </row>
        <row r="20">
          <cell r="B20" t="str">
            <v>APRONAX</v>
          </cell>
        </row>
        <row r="21">
          <cell r="B21" t="str">
            <v>ARCHIVADOR DE L/ANCHO PARA FORM A-4</v>
          </cell>
        </row>
        <row r="22">
          <cell r="B22" t="str">
            <v>ARCHIVADOR DE L/ANCHO PARA FORM A-5</v>
          </cell>
        </row>
        <row r="23">
          <cell r="B23" t="str">
            <v>ARENA FINA</v>
          </cell>
        </row>
        <row r="24">
          <cell r="B24" t="str">
            <v>ARENA GRUESA</v>
          </cell>
        </row>
        <row r="25">
          <cell r="B25" t="str">
            <v>ARNES DE SEGURIDAD DE CUERPO ENTERO C/ LINEA DE VIDA</v>
          </cell>
        </row>
        <row r="26">
          <cell r="B26" t="str">
            <v>ARPILLERA  ANCHO = 2.50M.</v>
          </cell>
        </row>
        <row r="27">
          <cell r="B27" t="str">
            <v>BACTRIN FORTE</v>
          </cell>
        </row>
        <row r="28">
          <cell r="B28" t="str">
            <v>BADILEJO MEDIANO</v>
          </cell>
        </row>
        <row r="29">
          <cell r="B29" t="str">
            <v>BALDES DE 5 GALONES</v>
          </cell>
        </row>
        <row r="30">
          <cell r="B30" t="str">
            <v>BALDES DE 5 GALONES C/OTRO PRECIO</v>
          </cell>
        </row>
        <row r="31">
          <cell r="B31" t="str">
            <v>BANDEJA PORTAPAPELERA</v>
          </cell>
        </row>
        <row r="32">
          <cell r="B32" t="str">
            <v>BARNIZ PARA MADERA</v>
          </cell>
        </row>
        <row r="33">
          <cell r="B33" t="str">
            <v>BARRETA   3 M</v>
          </cell>
        </row>
        <row r="34">
          <cell r="B34" t="str">
            <v xml:space="preserve">BATEA </v>
          </cell>
        </row>
        <row r="35">
          <cell r="B35" t="str">
            <v>BATERIA PARA CAMARA FOTOGRAFICA</v>
          </cell>
        </row>
        <row r="36">
          <cell r="B36" t="str">
            <v>BISAGRA CAPUCHINA ALUMINIZADA 4"</v>
          </cell>
        </row>
        <row r="37">
          <cell r="B37" t="str">
            <v>BLOQUE DE CONCRETO DE  15X20X30</v>
          </cell>
        </row>
        <row r="38">
          <cell r="B38" t="str">
            <v>BORRADOR BR40</v>
          </cell>
        </row>
        <row r="39">
          <cell r="B39" t="str">
            <v>BOTAS DE CUERO  CAT</v>
          </cell>
        </row>
        <row r="40">
          <cell r="B40" t="str">
            <v>BOTAS DE JEBE</v>
          </cell>
        </row>
        <row r="41">
          <cell r="B41" t="str">
            <v>BOTIQUIN PARA LA OBRA (EQUIPADO PRIMEROS AUXILIOS)</v>
          </cell>
        </row>
        <row r="42">
          <cell r="B42" t="str">
            <v>BROCHA 2"</v>
          </cell>
        </row>
        <row r="43">
          <cell r="B43" t="str">
            <v>BROCHA 4"</v>
          </cell>
        </row>
        <row r="44">
          <cell r="B44" t="str">
            <v>CALAMINA GALVANIZADA 1.83X0.83X0.4MM</v>
          </cell>
        </row>
        <row r="45">
          <cell r="B45" t="str">
            <v>CAMARA DIGITAL  13  MEGAPIX</v>
          </cell>
        </row>
        <row r="46">
          <cell r="B46" t="str">
            <v>CANDADOS</v>
          </cell>
        </row>
        <row r="47">
          <cell r="B47" t="str">
            <v>CARGADOR DE BATERIAS</v>
          </cell>
        </row>
        <row r="48">
          <cell r="B48" t="str">
            <v>CARRETILLAS BUGUIES + ACCESORIOS</v>
          </cell>
        </row>
        <row r="49">
          <cell r="B49" t="str">
            <v>CARTEL DE OBRA 2.40X3.60M - TIPO GIGANTOGRAFIA</v>
          </cell>
        </row>
        <row r="50">
          <cell r="B50" t="str">
            <v>CASCOS BLANCO 3M</v>
          </cell>
        </row>
        <row r="51">
          <cell r="B51" t="str">
            <v>CASCOS DE PROTECCION COLOR NARANJA</v>
          </cell>
        </row>
        <row r="52">
          <cell r="B52" t="str">
            <v>CEMENTO PORTLAND TIPO I (42.5 KG)</v>
          </cell>
        </row>
        <row r="53">
          <cell r="B53" t="str">
            <v>CERAMICA CELIMA 0.30X0.30 CM</v>
          </cell>
        </row>
        <row r="54">
          <cell r="B54" t="str">
            <v>CERRADURA GEO PARA BAÑO</v>
          </cell>
        </row>
        <row r="55">
          <cell r="B55" t="str">
            <v>CERRADURA SCHLAGE ORBIT SERIE "A" EXTERIOR</v>
          </cell>
        </row>
        <row r="56">
          <cell r="B56" t="str">
            <v>CHALECO LIVIANO C/CINTA REFLECTIVA C/NARANJA</v>
          </cell>
        </row>
        <row r="57">
          <cell r="B57" t="str">
            <v>CILINDRO PLASTICO CAP. 50 GL.</v>
          </cell>
        </row>
        <row r="58">
          <cell r="B58" t="str">
            <v>CILINDRO PLASTICO CAP. 50 GLN C/OTRO PRECIO</v>
          </cell>
        </row>
        <row r="59">
          <cell r="B59" t="str">
            <v>CINCEL  1" X 20 CM</v>
          </cell>
        </row>
        <row r="60">
          <cell r="B60" t="str">
            <v>CINTA DE EMBALAJE</v>
          </cell>
        </row>
        <row r="61">
          <cell r="B61" t="str">
            <v>CINTA DE SEGURIDAD</v>
          </cell>
        </row>
        <row r="62">
          <cell r="B62" t="str">
            <v>CINTA MASKING  1"</v>
          </cell>
        </row>
        <row r="63">
          <cell r="B63" t="str">
            <v>CINTA MASKING 2''</v>
          </cell>
        </row>
        <row r="64">
          <cell r="B64" t="str">
            <v>CINTA TEFLON</v>
          </cell>
        </row>
        <row r="65">
          <cell r="B65" t="str">
            <v>CLAVO DE 1"</v>
          </cell>
        </row>
        <row r="66">
          <cell r="B66" t="str">
            <v>CLAVO DE 2"</v>
          </cell>
        </row>
        <row r="67">
          <cell r="B67" t="str">
            <v>CLAVO DE 3"</v>
          </cell>
        </row>
        <row r="68">
          <cell r="B68" t="str">
            <v>CLAVO DE 4"</v>
          </cell>
        </row>
        <row r="69">
          <cell r="B69" t="str">
            <v>CLAVO DE 5"</v>
          </cell>
        </row>
        <row r="70">
          <cell r="B70" t="str">
            <v>CLAVO DE 6"</v>
          </cell>
        </row>
        <row r="71">
          <cell r="B71" t="str">
            <v>CLAVO PARA MADERA C/C 2"</v>
          </cell>
        </row>
        <row r="72">
          <cell r="B72" t="str">
            <v>CLAVO PARA MADERA C/C 3"</v>
          </cell>
        </row>
        <row r="73">
          <cell r="B73" t="str">
            <v>CLAVOS PARA CALAMINA</v>
          </cell>
        </row>
        <row r="74">
          <cell r="B74" t="str">
            <v>CLIP TIPO MARIPOSA X 100 UNID</v>
          </cell>
        </row>
        <row r="75">
          <cell r="B75" t="str">
            <v>CLIP WINGO PEQUEÑO X 100 UNID</v>
          </cell>
        </row>
        <row r="76">
          <cell r="B76" t="str">
            <v>COBERTURA CALAMINON TIPO "T"</v>
          </cell>
        </row>
        <row r="77">
          <cell r="B77" t="str">
            <v>COBERTURA CALAMINON TIPO "T" 1.2 X 4.5M</v>
          </cell>
        </row>
        <row r="78">
          <cell r="B78" t="str">
            <v>COMBA DE 25 LBS</v>
          </cell>
        </row>
        <row r="79">
          <cell r="B79" t="str">
            <v>COMBO 5 LBS</v>
          </cell>
        </row>
        <row r="80">
          <cell r="B80" t="str">
            <v>CONO DE SEGURIDAD</v>
          </cell>
        </row>
        <row r="81">
          <cell r="B81" t="str">
            <v>CORDEL</v>
          </cell>
        </row>
        <row r="82">
          <cell r="B82" t="str">
            <v>CORRECTOR ORTOGRAFICO</v>
          </cell>
        </row>
        <row r="83">
          <cell r="B83" t="str">
            <v>CUADERNO 50 HOJAS</v>
          </cell>
        </row>
        <row r="84">
          <cell r="B84" t="str">
            <v>CUADERNO DE CARGO</v>
          </cell>
        </row>
        <row r="85">
          <cell r="B85" t="str">
            <v>CUADERNO DE OBRA AUTOCOPIABLE 1X3COPIAS X 50 HOJAS</v>
          </cell>
        </row>
        <row r="86">
          <cell r="B86" t="str">
            <v>CUADERNO ESPIRALADO 200 HJAS</v>
          </cell>
        </row>
        <row r="87">
          <cell r="B87" t="str">
            <v>CUERPO DE ANDAMIO METALICO</v>
          </cell>
        </row>
        <row r="88">
          <cell r="B88" t="str">
            <v>CUTER GRANDE</v>
          </cell>
        </row>
        <row r="89">
          <cell r="B89" t="str">
            <v>DISCO DE CORTE P/METAL 7''</v>
          </cell>
        </row>
        <row r="90">
          <cell r="B90" t="str">
            <v>DISCO DE CORTE TIPO SIERRA P/MADERA 7''</v>
          </cell>
        </row>
        <row r="91">
          <cell r="B91" t="str">
            <v>DISCO DE PULIDO P/METAL 7''</v>
          </cell>
        </row>
        <row r="92">
          <cell r="B92" t="str">
            <v>DISCO PULIDO P/MADERA 7''</v>
          </cell>
        </row>
        <row r="93">
          <cell r="B93" t="str">
            <v>DOLOFLAN</v>
          </cell>
        </row>
        <row r="94">
          <cell r="B94" t="str">
            <v>ELECTRODO CELLOCORD 1/8"</v>
          </cell>
        </row>
        <row r="95">
          <cell r="B95" t="str">
            <v>ENGRAMPADOR TIPO ALICATE</v>
          </cell>
        </row>
        <row r="96">
          <cell r="B96" t="str">
            <v>ESCALERA DE ALUMINIO PLEGABLE TIPO ALICATE</v>
          </cell>
        </row>
        <row r="97">
          <cell r="B97" t="str">
            <v>ESCALERA DE ALUMINIO TIPO TIJERA</v>
          </cell>
        </row>
        <row r="98">
          <cell r="B98" t="str">
            <v>ESCOBA</v>
          </cell>
        </row>
        <row r="99">
          <cell r="B99" t="str">
            <v>ESCRITORIO</v>
          </cell>
        </row>
        <row r="100">
          <cell r="B100" t="str">
            <v>ESPARADRAPO</v>
          </cell>
        </row>
        <row r="101">
          <cell r="B101" t="str">
            <v>ESPATULA 4''</v>
          </cell>
        </row>
        <row r="102">
          <cell r="B102" t="str">
            <v>ESPIRALADORA A4</v>
          </cell>
        </row>
        <row r="103">
          <cell r="B103" t="str">
            <v>ESTANTE DE 4 NIVELES</v>
          </cell>
        </row>
        <row r="104">
          <cell r="B104" t="str">
            <v>ESTOBOL AUTOPERFORANTE 3" CON CAPUCHA</v>
          </cell>
        </row>
        <row r="105">
          <cell r="B105" t="str">
            <v>EXTINTOR DE POLVO QUIMICO SECO (PQS)</v>
          </cell>
        </row>
        <row r="106">
          <cell r="B106" t="str">
            <v>FASTENERX50 UND</v>
          </cell>
        </row>
        <row r="107">
          <cell r="B107" t="str">
            <v>FILES X 25  UND</v>
          </cell>
        </row>
        <row r="108">
          <cell r="B108" t="str">
            <v>FLUORESCENTE CIRCULAR CON ADAPTADOR 22WAT</v>
          </cell>
        </row>
        <row r="109">
          <cell r="B109" t="str">
            <v>FLUORESCENTE RECTO IPSE DE 22WAT</v>
          </cell>
        </row>
        <row r="110">
          <cell r="B110" t="str">
            <v>FOCOS DE ILUMINACION</v>
          </cell>
        </row>
        <row r="111">
          <cell r="B111" t="str">
            <v>FOLDERES</v>
          </cell>
        </row>
        <row r="112">
          <cell r="B112" t="str">
            <v>FRAGUA</v>
          </cell>
        </row>
        <row r="113">
          <cell r="B113" t="str">
            <v>FROTACHO 20 X 25</v>
          </cell>
        </row>
        <row r="114">
          <cell r="B114" t="str">
            <v>GASA FRACCIONADA X 10 PZAS.</v>
          </cell>
        </row>
        <row r="115">
          <cell r="B115" t="str">
            <v>GASOLINA 84 OCT</v>
          </cell>
        </row>
        <row r="116">
          <cell r="B116" t="str">
            <v>GRAPAS</v>
          </cell>
        </row>
        <row r="117">
          <cell r="B117" t="str">
            <v>GRIFERIA  DE DUCHA  CROMADA INCL. ACCESORIOS</v>
          </cell>
        </row>
        <row r="118">
          <cell r="B118" t="str">
            <v>GUANTES DE CUERO</v>
          </cell>
        </row>
        <row r="119">
          <cell r="B119" t="str">
            <v>GUANTES DE JEBE</v>
          </cell>
        </row>
        <row r="120">
          <cell r="B120" t="str">
            <v>GUILLOTINA</v>
          </cell>
        </row>
        <row r="121">
          <cell r="B121" t="str">
            <v>HOJA DE CAPASHI</v>
          </cell>
        </row>
        <row r="122">
          <cell r="B122" t="str">
            <v>HONGOCID</v>
          </cell>
        </row>
        <row r="123">
          <cell r="B123" t="str">
            <v>HORMIGON</v>
          </cell>
        </row>
        <row r="124">
          <cell r="B124" t="str">
            <v>IMPRESORA HP LASERJET P1102W</v>
          </cell>
        </row>
        <row r="125">
          <cell r="B125" t="str">
            <v>IMPRIMANTE</v>
          </cell>
        </row>
        <row r="126">
          <cell r="B126" t="str">
            <v>INODORO BLANCO C/TANQUE BAJO INCL. ACCESORIOS</v>
          </cell>
        </row>
        <row r="127">
          <cell r="B127" t="str">
            <v>INTERRUPTOR SIMPLE C/ LUZ PILOTO</v>
          </cell>
        </row>
        <row r="128">
          <cell r="B128" t="str">
            <v>JUNQUILLO 1 1/2" X 1/2 X 10' AGUANO</v>
          </cell>
        </row>
        <row r="129">
          <cell r="B129" t="str">
            <v>KIT COMPLETO DE ACCESORIOS PARA INODORO</v>
          </cell>
        </row>
        <row r="130">
          <cell r="B130" t="str">
            <v>LADRILLO PASTELERO DE 3X24X24 CM</v>
          </cell>
        </row>
        <row r="131">
          <cell r="B131" t="str">
            <v>LAPICERO AZUL/NEGRO 033 FABER CASTELL</v>
          </cell>
        </row>
        <row r="132">
          <cell r="B132" t="str">
            <v>LAPIZ HB</v>
          </cell>
        </row>
        <row r="133">
          <cell r="B133" t="str">
            <v>LAVATORIO  SIMPLE 37x50 INCL. ACCESORIOS</v>
          </cell>
        </row>
        <row r="134">
          <cell r="B134" t="str">
            <v xml:space="preserve">LAVATORIO DE 1 POZA DE ACERO INOXIDABLE 94x50 INCL. ACCESORIOS </v>
          </cell>
        </row>
        <row r="135">
          <cell r="B135" t="str">
            <v>LAVATORIO DE POZA DE ACERO INOXIDABLE Y ACCESORIOS</v>
          </cell>
        </row>
        <row r="136">
          <cell r="B136" t="str">
            <v>LAVATORIO TIPO OVALIN INCL. PEDESTAL Y ACCESORIOS</v>
          </cell>
        </row>
        <row r="137">
          <cell r="B137" t="str">
            <v>LENTES DE SEGURIDAD CLAROS</v>
          </cell>
        </row>
        <row r="138">
          <cell r="B138" t="str">
            <v>LENTES DE SEGURIDAD OSCUROS</v>
          </cell>
        </row>
        <row r="139">
          <cell r="B139" t="str">
            <v>LIBRETA DE CAMPO</v>
          </cell>
        </row>
        <row r="140">
          <cell r="B140" t="str">
            <v>LIBRETA TOPOGRÁFICA FIELD BOOK</v>
          </cell>
        </row>
        <row r="141">
          <cell r="B141" t="str">
            <v>LIBRETA TOPOGRÁFICA LEVEL BOOK</v>
          </cell>
        </row>
        <row r="142">
          <cell r="B142" t="str">
            <v>LIJA DE FIERRO #80</v>
          </cell>
        </row>
        <row r="143">
          <cell r="B143" t="str">
            <v>LIJA DE FIERRO #40</v>
          </cell>
        </row>
        <row r="144">
          <cell r="B144" t="str">
            <v>LIJA PARA MADERA</v>
          </cell>
        </row>
        <row r="145">
          <cell r="B145" t="str">
            <v>LIJA PARA MADERA</v>
          </cell>
        </row>
        <row r="146">
          <cell r="B146" t="str">
            <v>LINTERNAS DOS PILAS</v>
          </cell>
        </row>
        <row r="147">
          <cell r="B147" t="str">
            <v>LISTONES 2X3X10' AGUANO</v>
          </cell>
        </row>
        <row r="148">
          <cell r="B148" t="str">
            <v>LLANTAS DE REPUESTOS DE CARRETILLA Y/O BUGUIES</v>
          </cell>
        </row>
        <row r="149">
          <cell r="B149" t="str">
            <v>MACHIHEMBRADO 1"X4"X10'</v>
          </cell>
        </row>
        <row r="150">
          <cell r="B150" t="str">
            <v>MADERA CEDRO</v>
          </cell>
        </row>
        <row r="151">
          <cell r="B151" t="str">
            <v>MADERA CORRIENTE</v>
          </cell>
        </row>
        <row r="152">
          <cell r="B152" t="str">
            <v>MADERA CORRIENTE TABLON 2"X8"X10'</v>
          </cell>
        </row>
        <row r="153">
          <cell r="B153" t="str">
            <v>MADERA ROLLIZA 4"X3M</v>
          </cell>
        </row>
        <row r="154">
          <cell r="B154" t="str">
            <v>MADERA ROLLIZO DE 5"X3.5M.</v>
          </cell>
        </row>
        <row r="155">
          <cell r="B155" t="str">
            <v>MADERA TORNILLO</v>
          </cell>
        </row>
        <row r="156">
          <cell r="B156" t="str">
            <v>MALLA DE SEGURIDAD</v>
          </cell>
        </row>
        <row r="157">
          <cell r="B157" t="str">
            <v>MALLA MOSQUITERO DE FG°</v>
          </cell>
        </row>
        <row r="158">
          <cell r="B158" t="str">
            <v>MANGOS DE PICO</v>
          </cell>
        </row>
        <row r="159">
          <cell r="B159" t="str">
            <v>MANGOS DE RASTRILLO</v>
          </cell>
        </row>
        <row r="160">
          <cell r="B160" t="str">
            <v>MANGUERA REFORZADA 1/2''</v>
          </cell>
        </row>
        <row r="161">
          <cell r="B161" t="str">
            <v>MANGUERA TRANSPARENTE DE 3/8</v>
          </cell>
        </row>
        <row r="162">
          <cell r="B162" t="str">
            <v>MEMORIA USB 4 GB</v>
          </cell>
        </row>
        <row r="163">
          <cell r="B163" t="str">
            <v>MINA HB</v>
          </cell>
        </row>
        <row r="164">
          <cell r="B164" t="str">
            <v>OTROS</v>
          </cell>
        </row>
        <row r="165">
          <cell r="B165" t="str">
            <v>OTROS (HERRAMIENTAS)</v>
          </cell>
        </row>
        <row r="166">
          <cell r="B166" t="str">
            <v>OVALIN</v>
          </cell>
        </row>
        <row r="167">
          <cell r="B167" t="str">
            <v>PALAS TIPO CUCHARA</v>
          </cell>
        </row>
        <row r="168">
          <cell r="B168" t="str">
            <v>PALAS TIPO CUCHARA C/ MANGO</v>
          </cell>
        </row>
        <row r="169">
          <cell r="B169" t="str">
            <v>PALETA DE MADERA</v>
          </cell>
        </row>
        <row r="170">
          <cell r="B170" t="str">
            <v>PANADOL</v>
          </cell>
        </row>
        <row r="171">
          <cell r="B171" t="str">
            <v>PAPEL BOND 80 GR A-4 AMARILLO</v>
          </cell>
        </row>
        <row r="172">
          <cell r="B172" t="str">
            <v>PAPEL BOND 80 GR A-4 AZUL</v>
          </cell>
        </row>
        <row r="173">
          <cell r="B173" t="str">
            <v>PAPEL BOND 80 GR A-4 BLANCO</v>
          </cell>
        </row>
        <row r="174">
          <cell r="B174" t="str">
            <v>PARTE DE CONTROL VISIBLE DE ALMACÉN</v>
          </cell>
        </row>
        <row r="175">
          <cell r="B175" t="str">
            <v>PARTES DIARIOS MAQUINARIA  1X3 COPIAS</v>
          </cell>
        </row>
        <row r="176">
          <cell r="B176" t="str">
            <v>PASTA MURAL</v>
          </cell>
        </row>
        <row r="177">
          <cell r="B177" t="str">
            <v>PEGAMENTO DE CERAMICO EN POLVO (X25 KG)</v>
          </cell>
        </row>
        <row r="178">
          <cell r="B178" t="str">
            <v>PEGAMENTO EN BARRA</v>
          </cell>
        </row>
        <row r="179">
          <cell r="B179" t="str">
            <v>PEGAMENTO PARA PVC DE 1/4 GLN</v>
          </cell>
        </row>
        <row r="180">
          <cell r="B180" t="str">
            <v>PERFORADOR</v>
          </cell>
        </row>
        <row r="181">
          <cell r="B181" t="str">
            <v>PETROLEO D-2</v>
          </cell>
        </row>
        <row r="182">
          <cell r="B182" t="str">
            <v>PICOS</v>
          </cell>
        </row>
        <row r="183">
          <cell r="B183" t="str">
            <v>PICOS C/PUNTA TRAMONTINA</v>
          </cell>
        </row>
        <row r="184">
          <cell r="B184" t="str">
            <v>PIEDRA GRANDE 6'' - 8  ''</v>
          </cell>
        </row>
        <row r="185">
          <cell r="B185" t="str">
            <v>PILAS DURACELL A</v>
          </cell>
        </row>
        <row r="186">
          <cell r="B186" t="str">
            <v>PINTOQ DE 8ml. x 1"</v>
          </cell>
        </row>
        <row r="187">
          <cell r="B187" t="str">
            <v>PINTURA ESMALTE ANTICORROSIVO</v>
          </cell>
        </row>
        <row r="188">
          <cell r="B188" t="str">
            <v>PINTURA ESMALTE SINCROMATO</v>
          </cell>
        </row>
        <row r="189">
          <cell r="B189" t="str">
            <v>PINTURA ESMALTE SINTETICO</v>
          </cell>
        </row>
        <row r="190">
          <cell r="B190" t="str">
            <v>PINTURA LATEX</v>
          </cell>
        </row>
        <row r="191">
          <cell r="B191" t="str">
            <v>PLANCHA DE ACERO 16MM X 1.22 X 2.40 DE 16MM</v>
          </cell>
        </row>
        <row r="192">
          <cell r="B192" t="str">
            <v>PLANCHA ONDULADA DE FIBROCEMENTO 0.83 X 3.05M</v>
          </cell>
        </row>
        <row r="193">
          <cell r="B193" t="str">
            <v>PLATINA DE 1 1/2" X 1/8" X 6M</v>
          </cell>
        </row>
        <row r="194">
          <cell r="B194" t="str">
            <v>PLUMON INDELEBLE DELGADO DIFER. COLORES</v>
          </cell>
        </row>
        <row r="195">
          <cell r="B195" t="str">
            <v>PLUMON INDELEBLE GRUESO DIFER. COLORES</v>
          </cell>
        </row>
        <row r="196">
          <cell r="B196" t="str">
            <v>PLUMONES DELGADOS FC 45</v>
          </cell>
        </row>
        <row r="197">
          <cell r="B197" t="str">
            <v>PLUMONES GRUESOS PARA PAPEL FC</v>
          </cell>
        </row>
        <row r="198">
          <cell r="B198" t="str">
            <v>PORTAMINAS</v>
          </cell>
        </row>
        <row r="199">
          <cell r="B199" t="str">
            <v>POST IT CUADRADO COLORES</v>
          </cell>
        </row>
        <row r="200">
          <cell r="B200" t="str">
            <v>PRESERVANTE DE MADERA</v>
          </cell>
        </row>
        <row r="201">
          <cell r="B201" t="str">
            <v>PROTECTOR BUCAL DESCARTABLE</v>
          </cell>
        </row>
        <row r="202">
          <cell r="B202" t="str">
            <v>RASTRILLO</v>
          </cell>
        </row>
        <row r="203">
          <cell r="B203" t="str">
            <v>RECOGEDOR</v>
          </cell>
        </row>
        <row r="204">
          <cell r="B204" t="str">
            <v>REGLA DE ALUMINIO 1" X 4" X 8'</v>
          </cell>
        </row>
        <row r="205">
          <cell r="B205" t="str">
            <v>REGLA METALICA DE 30 CM</v>
          </cell>
        </row>
        <row r="206">
          <cell r="B206" t="str">
            <v>REPUESTOS PARA PORTAMINAS</v>
          </cell>
        </row>
        <row r="207">
          <cell r="B207" t="str">
            <v>RESALTADOR</v>
          </cell>
        </row>
        <row r="208">
          <cell r="B208" t="str">
            <v>RODILLO 12'' P/PINTURA</v>
          </cell>
        </row>
        <row r="209">
          <cell r="B209" t="str">
            <v>SCANNER</v>
          </cell>
        </row>
        <row r="210">
          <cell r="B210" t="str">
            <v>SELLO DE OBRA</v>
          </cell>
        </row>
        <row r="211">
          <cell r="B211" t="str">
            <v>SILLAS</v>
          </cell>
        </row>
        <row r="212">
          <cell r="B212" t="str">
            <v>SOCKET PARA ARTEFACTO FLOURESCENTE</v>
          </cell>
        </row>
        <row r="213">
          <cell r="B213" t="str">
            <v>SUMIDERO DE BRONCE DE 2"</v>
          </cell>
        </row>
        <row r="214">
          <cell r="B214" t="str">
            <v>TABLAS</v>
          </cell>
        </row>
        <row r="215">
          <cell r="B215" t="str">
            <v>TABLERO ACRILICO</v>
          </cell>
        </row>
        <row r="216">
          <cell r="B216" t="str">
            <v>TACHO BASURERO MEDIANO</v>
          </cell>
        </row>
        <row r="217">
          <cell r="B217" t="str">
            <v>TAPA  DE CONCRETO PARA CAJAS DE REGISTRO</v>
          </cell>
        </row>
        <row r="218">
          <cell r="B218" t="str">
            <v>TAPAPOROS DE MADERA  ACABADA C/ BARNIZ O LACA</v>
          </cell>
        </row>
        <row r="219">
          <cell r="B219" t="str">
            <v>TEE DE ACERO DE 1 1/2"X1 1/2"X1/8" 6M A. AREQUIPA</v>
          </cell>
        </row>
        <row r="220">
          <cell r="B220" t="str">
            <v>TEROKAL</v>
          </cell>
        </row>
        <row r="221">
          <cell r="B221" t="str">
            <v>THINNER ACRILICO</v>
          </cell>
        </row>
        <row r="222">
          <cell r="B222" t="str">
            <v>THINNER STANDAR</v>
          </cell>
        </row>
        <row r="223">
          <cell r="B223" t="str">
            <v>THONER HP LASERJET 1102</v>
          </cell>
        </row>
        <row r="224">
          <cell r="B224" t="str">
            <v>TIJERA GRANDE C/NEGRO</v>
          </cell>
        </row>
        <row r="225">
          <cell r="B225" t="str">
            <v>TINA DE DUCHA 89x89 INCL. ACCESORIOS</v>
          </cell>
        </row>
        <row r="226">
          <cell r="B226" t="str">
            <v>TINA Y ACCESORIOS</v>
          </cell>
        </row>
        <row r="227">
          <cell r="B227" t="str">
            <v>TOMACORRIENTE DOBLE</v>
          </cell>
        </row>
        <row r="228">
          <cell r="B228" t="str">
            <v>TORNILLO AUTOROSCANTE 2 1/2 X 1/8 &amp; VOLANDOS</v>
          </cell>
        </row>
        <row r="229">
          <cell r="B229" t="str">
            <v>TRAMPA BOTELLA CON DESAGUE DE PVC</v>
          </cell>
        </row>
        <row r="230">
          <cell r="B230" t="str">
            <v>TRAMPA BOTELLA CON DESAGUE DE PVC 2''</v>
          </cell>
        </row>
        <row r="231">
          <cell r="B231" t="str">
            <v>TRAMPA P/LAVATORIO PVC 2"</v>
          </cell>
        </row>
        <row r="232">
          <cell r="B232" t="str">
            <v>TRIPLEY DE 1.20X2.40X8MM.</v>
          </cell>
        </row>
        <row r="233">
          <cell r="B233" t="str">
            <v>TUBO DE ABASTO PARA INODORO 1/2"X5/8"X 35CM.</v>
          </cell>
        </row>
        <row r="234">
          <cell r="B234" t="str">
            <v>TUBO DE ABASTO PARA LAVATORIO1/2" X1/2" X 35CM</v>
          </cell>
        </row>
        <row r="235">
          <cell r="B235" t="str">
            <v>TUBO DE ABASTO REFORZADO DE 1/2</v>
          </cell>
        </row>
        <row r="236">
          <cell r="B236" t="str">
            <v>URINARIO BAMBY (TREBOL) INCL. ACCESORIOS</v>
          </cell>
        </row>
        <row r="237">
          <cell r="B237" t="str">
            <v>VENDAS ELASTICAS</v>
          </cell>
        </row>
        <row r="238">
          <cell r="B238" t="str">
            <v>VENTILADOR GIRATORIO</v>
          </cell>
        </row>
        <row r="239">
          <cell r="B239" t="str">
            <v>WINCHA 5 MT</v>
          </cell>
        </row>
        <row r="240">
          <cell r="B240" t="str">
            <v>WINCHA 50 MT</v>
          </cell>
        </row>
        <row r="241">
          <cell r="B241" t="str">
            <v>YESO (28 KG)</v>
          </cell>
        </row>
        <row r="242">
          <cell r="B242" t="str">
            <v>YODO</v>
          </cell>
        </row>
        <row r="243">
          <cell r="B243" t="str">
            <v>LIJAS P/MADERA</v>
          </cell>
        </row>
        <row r="244">
          <cell r="B244" t="str">
            <v>BARRETA</v>
          </cell>
        </row>
        <row r="245">
          <cell r="B245" t="str">
            <v>CHALECOS CON ESTAMPADO</v>
          </cell>
        </row>
        <row r="246">
          <cell r="B246" t="str">
            <v>GAFAS DE SEGURIDAD</v>
          </cell>
        </row>
        <row r="249">
          <cell r="B249" t="str">
            <v>BISAGRA CAPUCHINA ALUMINIZADA DE 4"</v>
          </cell>
        </row>
        <row r="250">
          <cell r="B250" t="str">
            <v>CERRADURA SCHLAGE ORBIT SERIE "A"</v>
          </cell>
        </row>
        <row r="251">
          <cell r="B251" t="str">
            <v>CERRADURA TIPO BOLA</v>
          </cell>
        </row>
        <row r="252">
          <cell r="B252" t="str">
            <v>ESTOBOL AUTOPERFORANTES DE 3" CON CAPUCHA</v>
          </cell>
        </row>
        <row r="253">
          <cell r="B253" t="str">
            <v>SOCKER PARA ARTEFACTO FLORESCENTE</v>
          </cell>
        </row>
        <row r="255">
          <cell r="B255" t="str">
            <v>MALLA HEXAGONAL GALVANIZADO DE 1/2"</v>
          </cell>
        </row>
        <row r="257">
          <cell r="B257" t="str">
            <v xml:space="preserve">PINTURA </v>
          </cell>
        </row>
        <row r="265">
          <cell r="B265" t="str">
            <v>ADQUISICION DE VEHICULOS, MAQUINARIAS Y OTROS</v>
          </cell>
        </row>
        <row r="266">
          <cell r="B266" t="str">
            <v>COMBUSTIBLES, CARBURANTES, LUBRICANTES Y AFINES</v>
          </cell>
        </row>
        <row r="267">
          <cell r="B267" t="str">
            <v>COMPRA DE OTROS BIENES</v>
          </cell>
        </row>
        <row r="268">
          <cell r="B268" t="str">
            <v>ENSERES</v>
          </cell>
        </row>
        <row r="269">
          <cell r="B269" t="str">
            <v>MATERIALES DE CONSTRUCCION</v>
          </cell>
        </row>
        <row r="270">
          <cell r="B270" t="str">
            <v>MATERIALES DE USO EN OFICINA</v>
          </cell>
        </row>
        <row r="271">
          <cell r="B271" t="str">
            <v>SUMINISTROS MEDICOS</v>
          </cell>
        </row>
        <row r="272">
          <cell r="B272" t="str">
            <v>IMPLEMENTOS DE SEGURIDAD PERSONAL</v>
          </cell>
        </row>
        <row r="273">
          <cell r="B273" t="str">
            <v>MATERIALES ELECTRICOS</v>
          </cell>
        </row>
        <row r="274">
          <cell r="B274" t="str">
            <v>MADERA</v>
          </cell>
        </row>
        <row r="275">
          <cell r="B275" t="str">
            <v>EQUIPOS VARIOS</v>
          </cell>
        </row>
        <row r="287">
          <cell r="B287" t="str">
            <v>MATERIAL</v>
          </cell>
        </row>
        <row r="288">
          <cell r="B288" t="str">
            <v>ALDABA DE 4 "</v>
          </cell>
        </row>
        <row r="289">
          <cell r="B289" t="str">
            <v>ARNEL</v>
          </cell>
        </row>
        <row r="290">
          <cell r="B290" t="str">
            <v>ARPILLERA  ANCHO = 2.50MTR</v>
          </cell>
        </row>
        <row r="291">
          <cell r="B291" t="str">
            <v>BALDES DE 5 GLN</v>
          </cell>
        </row>
        <row r="292">
          <cell r="B292" t="str">
            <v>BAYGON</v>
          </cell>
        </row>
        <row r="293">
          <cell r="B293" t="str">
            <v>BOTAS DE JEBE</v>
          </cell>
        </row>
        <row r="294">
          <cell r="B294" t="str">
            <v>CABLE EXTENSIÓN VULCANIZADO</v>
          </cell>
        </row>
        <row r="295">
          <cell r="B295" t="str">
            <v>CANDADOS DE 50 ML</v>
          </cell>
        </row>
        <row r="296">
          <cell r="B296" t="str">
            <v>CASCOS DE PROTECCION C/ AMARILLO</v>
          </cell>
        </row>
        <row r="297">
          <cell r="B297" t="str">
            <v>CLAVO DE 3"</v>
          </cell>
        </row>
        <row r="298">
          <cell r="B298" t="str">
            <v>CLAVO DE 4"</v>
          </cell>
        </row>
        <row r="299">
          <cell r="B299" t="str">
            <v>CUCHILLA TERMICA 15A</v>
          </cell>
        </row>
        <row r="300">
          <cell r="B300" t="str">
            <v>DISCO DE ACERO</v>
          </cell>
        </row>
        <row r="301">
          <cell r="B301" t="str">
            <v>ESCOBILLA DE ACERO</v>
          </cell>
        </row>
        <row r="302">
          <cell r="B302" t="str">
            <v>ESPATULA DE 4"</v>
          </cell>
        </row>
        <row r="303">
          <cell r="B303" t="str">
            <v>GAFAS DE SEGURIDAD</v>
          </cell>
        </row>
        <row r="304">
          <cell r="B304" t="str">
            <v>GUANTES DE CUERO REFORZADO</v>
          </cell>
        </row>
        <row r="305">
          <cell r="B305" t="str">
            <v>GUANTES DE JEBE INDUSTRIAL</v>
          </cell>
        </row>
        <row r="306">
          <cell r="B306" t="str">
            <v>LEGIA CLORO</v>
          </cell>
        </row>
        <row r="307">
          <cell r="B307" t="str">
            <v>LIJA PARA FIERRO N°40</v>
          </cell>
        </row>
        <row r="308">
          <cell r="B308" t="str">
            <v>LIJA PARA FIERRO N°60</v>
          </cell>
        </row>
        <row r="309">
          <cell r="B309" t="str">
            <v>LIMPIA VIDRIOS</v>
          </cell>
        </row>
        <row r="310">
          <cell r="B310" t="str">
            <v>MALLA ZARDINERA</v>
          </cell>
        </row>
        <row r="311">
          <cell r="B311" t="str">
            <v>MALLA HEXAGONAL</v>
          </cell>
        </row>
        <row r="312">
          <cell r="B312" t="str">
            <v>MANGUERA 3/8</v>
          </cell>
        </row>
        <row r="313">
          <cell r="B313" t="str">
            <v>MASCARILLA ANTIPOLVO</v>
          </cell>
        </row>
        <row r="314">
          <cell r="B314" t="str">
            <v>PALETA DE MADERA</v>
          </cell>
        </row>
        <row r="315">
          <cell r="B315" t="str">
            <v>PEGAMENTO 1/8</v>
          </cell>
        </row>
        <row r="316">
          <cell r="B316" t="str">
            <v>PENASOL</v>
          </cell>
        </row>
        <row r="317">
          <cell r="B317" t="str">
            <v>PLANCHA EMPASTAR STANLEY</v>
          </cell>
        </row>
        <row r="318">
          <cell r="B318" t="str">
            <v>PLANCHAS DE PVC</v>
          </cell>
        </row>
        <row r="319">
          <cell r="B319" t="str">
            <v>PLASTICO  DE 3M DE ANCHO</v>
          </cell>
        </row>
        <row r="320">
          <cell r="B320" t="str">
            <v>PONCHOS</v>
          </cell>
        </row>
        <row r="321">
          <cell r="B321" t="str">
            <v>REGLA DE ALUMINIO</v>
          </cell>
        </row>
        <row r="322">
          <cell r="B322" t="str">
            <v>TARRAJA DE 1/2</v>
          </cell>
        </row>
        <row r="323">
          <cell r="B323" t="str">
            <v>CABLE VOLCANIZADO 2X14 AW6</v>
          </cell>
        </row>
        <row r="324">
          <cell r="B324" t="str">
            <v xml:space="preserve"> CODO 4X90 SAC. PVC.</v>
          </cell>
        </row>
        <row r="325">
          <cell r="B325" t="str">
            <v xml:space="preserve">BROCA PARA CONCRETO </v>
          </cell>
        </row>
        <row r="326">
          <cell r="B326" t="str">
            <v>CINTA TEFLON DE 1/2</v>
          </cell>
        </row>
        <row r="327">
          <cell r="B327" t="str">
            <v>CLAVO DE 2 1/2 PARA MADERA</v>
          </cell>
        </row>
        <row r="328">
          <cell r="B328" t="str">
            <v>CODO PVC DE 1/2</v>
          </cell>
        </row>
        <row r="329">
          <cell r="B329" t="str">
            <v>CODO PVC DE 3/4</v>
          </cell>
        </row>
        <row r="330">
          <cell r="B330" t="str">
            <v>TEE PVC DE 3/4</v>
          </cell>
        </row>
        <row r="331">
          <cell r="B331" t="str">
            <v>MAYA ZARANDA 1/2 PRODAD</v>
          </cell>
        </row>
        <row r="332">
          <cell r="B332" t="str">
            <v>CABLE UNIPOLAR # 14 AW6 THW -90</v>
          </cell>
        </row>
        <row r="333">
          <cell r="B333" t="str">
            <v>CINTA AISLANDT 3 cm</v>
          </cell>
        </row>
        <row r="334">
          <cell r="B334" t="str">
            <v>TOMACORRIENTE DOBLE C/ TIERRA</v>
          </cell>
        </row>
        <row r="335">
          <cell r="B335" t="str">
            <v>EXTENCON VOLCANIZADA</v>
          </cell>
        </row>
        <row r="336">
          <cell r="B336" t="str">
            <v>GRANPA PARA CABLE # 10</v>
          </cell>
        </row>
        <row r="337">
          <cell r="B337" t="str">
            <v>TIJERA DE CORTE DE METAL 12"</v>
          </cell>
        </row>
        <row r="338">
          <cell r="B338" t="str">
            <v>GUANTES DE JABE</v>
          </cell>
        </row>
        <row r="340">
          <cell r="B340" t="str">
            <v>MATERIAL</v>
          </cell>
        </row>
        <row r="341">
          <cell r="B341" t="str">
            <v>ANILLADO DE C/ NEGRO</v>
          </cell>
        </row>
        <row r="342">
          <cell r="B342" t="str">
            <v>ARCHIVADOR A-4</v>
          </cell>
        </row>
        <row r="343">
          <cell r="B343" t="str">
            <v>ARCHIVADOR A-5</v>
          </cell>
        </row>
        <row r="344">
          <cell r="B344" t="str">
            <v>CINTA DE EMBALAJE 2"</v>
          </cell>
        </row>
        <row r="345">
          <cell r="B345" t="str">
            <v>CINTA DE EMBALAJE GRANDE 2"</v>
          </cell>
        </row>
        <row r="346">
          <cell r="B346" t="str">
            <v>FOLDER MANILA A-4</v>
          </cell>
        </row>
        <row r="347">
          <cell r="B347" t="str">
            <v>PAPEL A-4 A COLORES</v>
          </cell>
        </row>
        <row r="348">
          <cell r="B348" t="str">
            <v>PAPEL BOND A-4</v>
          </cell>
        </row>
        <row r="349">
          <cell r="B349" t="str">
            <v>PAPEL BOND A-4 C / AMARILLO</v>
          </cell>
        </row>
        <row r="350">
          <cell r="B350" t="str">
            <v>PAPEL BOND A-4 C / AMARILLO</v>
          </cell>
        </row>
        <row r="351">
          <cell r="B351" t="str">
            <v>PAPEL DE CARBON</v>
          </cell>
        </row>
        <row r="352">
          <cell r="B352" t="str">
            <v>PAPEL LUSTRE</v>
          </cell>
        </row>
        <row r="353">
          <cell r="B353" t="str">
            <v>PAPEL LUSTRE</v>
          </cell>
        </row>
        <row r="354">
          <cell r="B354" t="str">
            <v>PAPEL LUSTRE</v>
          </cell>
        </row>
        <row r="355">
          <cell r="B355" t="str">
            <v>REGLA DE 30 CM</v>
          </cell>
        </row>
        <row r="356">
          <cell r="B356" t="str">
            <v>SACA GRAMPAS</v>
          </cell>
        </row>
        <row r="357">
          <cell r="B357" t="str">
            <v>VINIFAN</v>
          </cell>
        </row>
        <row r="360">
          <cell r="B360" t="str">
            <v>MATERIAL</v>
          </cell>
        </row>
        <row r="361">
          <cell r="B361" t="str">
            <v>TAPAS DE ESPIRALADO</v>
          </cell>
        </row>
        <row r="362">
          <cell r="B362" t="str">
            <v>TIJERA GRANDE</v>
          </cell>
        </row>
        <row r="363">
          <cell r="B363" t="str">
            <v>HOJAS A COLORES</v>
          </cell>
        </row>
        <row r="364">
          <cell r="B364" t="str">
            <v>VINIFAN</v>
          </cell>
        </row>
        <row r="365">
          <cell r="B365" t="str">
            <v>CINTA ADHESIVA</v>
          </cell>
        </row>
      </sheetData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reo Abril"/>
      <sheetName val="Ded_no_corres"/>
      <sheetName val="Reintegro"/>
      <sheetName val="Resumen"/>
      <sheetName val="CUADRIL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eo Abril"/>
      <sheetName val="DATOS"/>
      <sheetName val="METRADO-RENDIMIENTOS-MAY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07-04VAL"/>
      <sheetName val="F-07-04VAL.M.M"/>
      <sheetName val="F-07-04VAL.P.N. "/>
      <sheetName val="METRADO-RENDIMIENTOS-AGOSTO"/>
      <sheetName val="JUSTIF METRADO PN 2021"/>
      <sheetName val="ACUMULADO-MAYO REND"/>
      <sheetName val="GRAFICO JUNIO"/>
      <sheetName val="CUADRILLA"/>
      <sheetName val="JUNIO"/>
      <sheetName val="CALENDARIO"/>
      <sheetName val="ACUMULADOxCUADRILLA"/>
      <sheetName val="Hoja1"/>
      <sheetName val="ACUMULADO-ABRIL"/>
      <sheetName val="F-07-04VAL_M_M"/>
      <sheetName val="F-07-04VAL_P_N__"/>
      <sheetName val="JUSTIF_METRADO_PN_2021"/>
      <sheetName val="ACUMULADO-MAYO_REND"/>
      <sheetName val="GRAFICO_JUN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s"/>
      <sheetName val="Membrete"/>
      <sheetName val="Contenido"/>
      <sheetName val="RELACION PARTIDAS"/>
      <sheetName val="VALORIZACION DE OBRA"/>
      <sheetName val="DATOS"/>
      <sheetName val="PART"/>
      <sheetName val="Hoja1"/>
      <sheetName val="Tareo Abr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4">
          <cell r="B4">
            <v>0.25</v>
          </cell>
        </row>
        <row r="5">
          <cell r="B5">
            <v>0.375</v>
          </cell>
        </row>
        <row r="6">
          <cell r="B6">
            <v>0.5</v>
          </cell>
        </row>
        <row r="7">
          <cell r="B7">
            <v>0.625</v>
          </cell>
        </row>
        <row r="8">
          <cell r="B8">
            <v>0.75</v>
          </cell>
        </row>
        <row r="9">
          <cell r="B9">
            <v>1</v>
          </cell>
        </row>
        <row r="10">
          <cell r="B10">
            <v>1.25</v>
          </cell>
        </row>
        <row r="11">
          <cell r="B11">
            <v>1.375</v>
          </cell>
        </row>
        <row r="12">
          <cell r="B12">
            <v>1.5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eo Abril"/>
      <sheetName val="DATOS"/>
      <sheetName val="METRADO-RENDIMIENTOS-AGOST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01.Caratula"/>
      <sheetName val="F-02.Contenido"/>
      <sheetName val="F-03.FichaTecn."/>
      <sheetName val="F-04.MetaAnual"/>
      <sheetName val="F-05.ResumEjec"/>
      <sheetName val="F-06.Recursos-1"/>
      <sheetName val="F-06.Recursos-2"/>
      <sheetName val="07-NO"/>
      <sheetName val="F-07.Control-T-C-A"/>
      <sheetName val="EJECUCION FISICA"/>
      <sheetName val="F-08.Res.Avance"/>
      <sheetName val="F-09.Res.Valoriz."/>
      <sheetName val="F-10.Valorizacion B II,CPyMC"/>
      <sheetName val="10-NO"/>
      <sheetName val="F-10.Valorizacion B IIIyIV"/>
      <sheetName val="F-10.Valorizacion B V"/>
      <sheetName val="F-10.Valorizacion MOByEQP"/>
      <sheetName val="F-10.V-MM B II,CPyMC"/>
      <sheetName val="F-10.V-MM B IIIyIV"/>
      <sheetName val="F-12.V-PartAdic B II,CPyMC"/>
      <sheetName val="F-12.V-PartAdic B IIIyIV"/>
      <sheetName val="EJEC.FINANCIERA"/>
      <sheetName val="F-14 Resum.Gral.EjeFinan."/>
      <sheetName val="F-15 Calend.Comprom."/>
      <sheetName val="PANEL FOTOGRAFICO"/>
      <sheetName val="FOTOGRAFIAS"/>
      <sheetName val="SUSTENTO EJEC.OBRA"/>
      <sheetName val="Met_Dario B II,CPyMC"/>
      <sheetName val="Met_Dario B IIIyIV"/>
      <sheetName val="Met_Dario B V"/>
      <sheetName val="Met_Dario MOByEQP"/>
      <sheetName val="Met_Dario MM B II,CPyMC"/>
      <sheetName val="Met_Dario MM B IIIyIV"/>
      <sheetName val="Met_Dario PARTNUEVAS B IIIyIV"/>
      <sheetName val="Sust.Mtdos.-01"/>
      <sheetName val="Sust.Mtdos.-02"/>
      <sheetName val="Sust.Mtdos.-03"/>
      <sheetName val="Sust.Mtdos.-04"/>
      <sheetName val="Sust.Mtdos.-05"/>
      <sheetName val="Sust.Mtdos.-06"/>
      <sheetName val="Plla_Pers"/>
      <sheetName val="Res.Men_Alm"/>
      <sheetName val="Mov.Men_Alm"/>
      <sheetName val="Mov.Dia_Alm"/>
      <sheetName val="Res.Men_EqMec"/>
      <sheetName val="Mov.Men_EqMec"/>
      <sheetName val="Cont.Dia_EqMec"/>
      <sheetName val="Cont.CºHidra"/>
      <sheetName val="Cont.Aten.Req"/>
      <sheetName val="Cont_Rend"/>
      <sheetName val="32"/>
      <sheetName val="31"/>
      <sheetName val="18"/>
      <sheetName val="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s"/>
      <sheetName val="Avance_obra"/>
      <sheetName val="Hoja1"/>
      <sheetName val="Amortizacion"/>
      <sheetName val="Resumen"/>
      <sheetName val="Reintegro"/>
      <sheetName val="Ded_no_corres"/>
      <sheetName val="Ded_efect"/>
      <sheetName val="Factor_k"/>
      <sheetName val="ÀÁ6_x0000__x0000__x0000__x0000__x0000_×°="/>
      <sheetName val=""/>
      <sheetName val="Afirmado"/>
      <sheetName val="Pavimentado"/>
      <sheetName val="Emergencia"/>
      <sheetName val="Detalle Emergencia"/>
      <sheetName val="Pyme"/>
      <sheetName val="San Miguel"/>
      <sheetName val="San Miguel - Detallado"/>
      <sheetName val="ÀÁ6"/>
      <sheetName val="VALADC"/>
      <sheetName val="MET"/>
      <sheetName val="RESVAL"/>
      <sheetName val="VAL"/>
      <sheetName val="POLINOMICA"/>
      <sheetName val="Tareo Abr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6">
          <cell r="B66" t="str">
            <v xml:space="preserve">            MINISTERIO DE LA PRESIDENCIA</v>
          </cell>
        </row>
        <row r="131">
          <cell r="B131" t="str">
            <v xml:space="preserve">            MINISTERIO DE LA PRESIDENCIA</v>
          </cell>
          <cell r="F131" t="str">
            <v>INSPECTOR      :</v>
          </cell>
          <cell r="G131" t="str">
            <v>Ing. RIGOBERTO USCATA MALDONADO</v>
          </cell>
        </row>
        <row r="132">
          <cell r="B132" t="str">
            <v>INSTITUTO NACIONAL DE INFRAESTRUCTURA</v>
          </cell>
          <cell r="F132" t="str">
            <v>CONTRATISTA:</v>
          </cell>
          <cell r="G132" t="str">
            <v>COCSA SRL</v>
          </cell>
        </row>
        <row r="133">
          <cell r="B133" t="str">
            <v xml:space="preserve">                EDUCATIVA Y DE SALUD</v>
          </cell>
          <cell r="F133" t="str">
            <v>LICITACION     :</v>
          </cell>
          <cell r="G133" t="str">
            <v>A.D. N° 022-98 - PRES - INFES</v>
          </cell>
        </row>
        <row r="134">
          <cell r="B134" t="str">
            <v xml:space="preserve">                      INFES</v>
          </cell>
          <cell r="F134" t="str">
            <v>MES                   :</v>
          </cell>
          <cell r="G134" t="str">
            <v>ABRIL 1999  (Del  21-03 al 20-04-99)</v>
          </cell>
        </row>
        <row r="137">
          <cell r="B137" t="str">
            <v>OBRA             :</v>
          </cell>
          <cell r="C137" t="str">
            <v>C.  E. " LOS LIBERTADORES"</v>
          </cell>
        </row>
        <row r="138">
          <cell r="B138" t="str">
            <v>LUGAR          :</v>
          </cell>
          <cell r="C138" t="str">
            <v>AYACUCHO-HUAMANGA-AYACUCHO</v>
          </cell>
        </row>
        <row r="140">
          <cell r="C140" t="str">
            <v>ADELANTO EN EFECTIVO      :</v>
          </cell>
          <cell r="D140">
            <v>37848</v>
          </cell>
          <cell r="E140" t="str">
            <v>INC / I.G.V</v>
          </cell>
          <cell r="G140" t="str">
            <v>FECHA              :</v>
          </cell>
          <cell r="H140">
            <v>36182</v>
          </cell>
        </row>
        <row r="141">
          <cell r="C141" t="str">
            <v>ADELANTO DE MATERIALES:</v>
          </cell>
          <cell r="D141">
            <v>74932</v>
          </cell>
          <cell r="E141" t="str">
            <v>INC / I.G.V</v>
          </cell>
          <cell r="G141" t="str">
            <v>FECHA              :</v>
          </cell>
          <cell r="H141">
            <v>36182</v>
          </cell>
        </row>
        <row r="142">
          <cell r="C142" t="str">
            <v>MONTO DEL CONTRATO       :</v>
          </cell>
          <cell r="D142">
            <v>189239.18</v>
          </cell>
          <cell r="E142" t="str">
            <v>INC / I.G.V</v>
          </cell>
        </row>
        <row r="146">
          <cell r="B146" t="str">
            <v>RESUMEN DE VALORIZACION MENSUAL N° 04</v>
          </cell>
        </row>
        <row r="148">
          <cell r="B148" t="str">
            <v>DESCRIPCION</v>
          </cell>
          <cell r="D148" t="str">
            <v>MONTO</v>
          </cell>
          <cell r="E148" t="str">
            <v>VAL. ACUM.</v>
          </cell>
          <cell r="F148" t="str">
            <v>VALORIZ.</v>
          </cell>
          <cell r="G148" t="str">
            <v>VALORIZ.</v>
          </cell>
          <cell r="H148" t="str">
            <v>%</v>
          </cell>
          <cell r="I148" t="str">
            <v>SALDO POR</v>
          </cell>
        </row>
        <row r="149">
          <cell r="D149" t="str">
            <v>CONTRATADO</v>
          </cell>
          <cell r="E149" t="str">
            <v>ANTERIOR</v>
          </cell>
          <cell r="F149" t="str">
            <v>ACTUAL</v>
          </cell>
          <cell r="G149" t="str">
            <v>ACUM.ACTUAL</v>
          </cell>
          <cell r="H149" t="str">
            <v>AVANCE</v>
          </cell>
          <cell r="I149" t="str">
            <v>VALORIZAR</v>
          </cell>
        </row>
        <row r="151">
          <cell r="B151" t="str">
            <v>A) VALORIZACION CONTRACTUALES</v>
          </cell>
        </row>
        <row r="152">
          <cell r="B152" t="str">
            <v>01</v>
          </cell>
          <cell r="C152" t="str">
            <v>ESTRUCTURAS</v>
          </cell>
          <cell r="D152">
            <v>89235.63</v>
          </cell>
          <cell r="E152">
            <v>67221.570000000007</v>
          </cell>
          <cell r="F152">
            <v>22014.06</v>
          </cell>
          <cell r="G152">
            <v>89235.63</v>
          </cell>
          <cell r="H152">
            <v>0.55642833087207955</v>
          </cell>
          <cell r="I152">
            <v>0</v>
          </cell>
        </row>
        <row r="153">
          <cell r="B153" t="str">
            <v>02</v>
          </cell>
          <cell r="C153" t="str">
            <v>ARQUITECTURA</v>
          </cell>
          <cell r="D153">
            <v>52709.68</v>
          </cell>
          <cell r="E153">
            <v>16700.63</v>
          </cell>
          <cell r="F153">
            <v>36009.050000000003</v>
          </cell>
          <cell r="G153">
            <v>52709.680000000008</v>
          </cell>
          <cell r="H153">
            <v>0.32867094974508987</v>
          </cell>
          <cell r="I153">
            <v>0</v>
          </cell>
        </row>
        <row r="154">
          <cell r="B154" t="str">
            <v>03</v>
          </cell>
          <cell r="C154" t="str">
            <v>INST. SANITARIAS</v>
          </cell>
          <cell r="D154">
            <v>6732.68</v>
          </cell>
          <cell r="E154">
            <v>6388.09</v>
          </cell>
          <cell r="F154">
            <v>344.59</v>
          </cell>
          <cell r="G154">
            <v>6732.68</v>
          </cell>
          <cell r="H154">
            <v>4.198159294326529E-2</v>
          </cell>
          <cell r="I154">
            <v>0</v>
          </cell>
        </row>
        <row r="155">
          <cell r="B155" t="str">
            <v>04</v>
          </cell>
          <cell r="C155" t="str">
            <v>INST. ELECTRICAS</v>
          </cell>
          <cell r="D155">
            <v>11694.2</v>
          </cell>
          <cell r="E155">
            <v>3961.53</v>
          </cell>
          <cell r="F155">
            <v>7732.67</v>
          </cell>
          <cell r="G155">
            <v>11694.2</v>
          </cell>
          <cell r="H155">
            <v>7.2919126439565371E-2</v>
          </cell>
          <cell r="I155">
            <v>0</v>
          </cell>
        </row>
        <row r="157">
          <cell r="B157" t="str">
            <v xml:space="preserve">  TOTAL CONTRACTUAL (V)</v>
          </cell>
          <cell r="D157">
            <v>160372.19</v>
          </cell>
          <cell r="E157">
            <v>94271.82</v>
          </cell>
          <cell r="F157">
            <v>66100.37</v>
          </cell>
          <cell r="G157">
            <v>160372.19</v>
          </cell>
          <cell r="I157">
            <v>0</v>
          </cell>
        </row>
        <row r="158">
          <cell r="B158" t="str">
            <v xml:space="preserve">  PORCENTAJE DE AVANCE</v>
          </cell>
          <cell r="E158">
            <v>0.5878314687852052</v>
          </cell>
          <cell r="F158">
            <v>0.41216853121479474</v>
          </cell>
          <cell r="G158">
            <v>1</v>
          </cell>
          <cell r="I158">
            <v>0</v>
          </cell>
        </row>
        <row r="160">
          <cell r="B160" t="str">
            <v>B) REAJUSTES</v>
          </cell>
        </row>
        <row r="161">
          <cell r="B161" t="str">
            <v>01</v>
          </cell>
          <cell r="C161" t="str">
            <v>ESTRUCTURAS</v>
          </cell>
          <cell r="E161">
            <v>1702.15</v>
          </cell>
          <cell r="F161">
            <v>547.58000000000004</v>
          </cell>
          <cell r="G161">
            <v>2249.73</v>
          </cell>
        </row>
        <row r="162">
          <cell r="B162" t="str">
            <v>02</v>
          </cell>
          <cell r="C162" t="str">
            <v>ARQUITECTURA</v>
          </cell>
          <cell r="E162">
            <v>268.64</v>
          </cell>
          <cell r="F162">
            <v>311.19</v>
          </cell>
          <cell r="G162">
            <v>579.82999999999993</v>
          </cell>
        </row>
        <row r="163">
          <cell r="B163" t="str">
            <v>03</v>
          </cell>
          <cell r="C163" t="str">
            <v>INST. SANITARIAS</v>
          </cell>
          <cell r="E163">
            <v>100.44</v>
          </cell>
          <cell r="F163">
            <v>8.01</v>
          </cell>
          <cell r="G163">
            <v>108.45</v>
          </cell>
        </row>
        <row r="164">
          <cell r="B164" t="str">
            <v>04</v>
          </cell>
          <cell r="C164" t="str">
            <v>INST. ELECTRICAS</v>
          </cell>
          <cell r="E164">
            <v>193.45</v>
          </cell>
          <cell r="F164">
            <v>358.24</v>
          </cell>
          <cell r="G164">
            <v>551.69000000000005</v>
          </cell>
        </row>
        <row r="165">
          <cell r="B165" t="str">
            <v xml:space="preserve">   TOTAL REAJUSTES (S)</v>
          </cell>
          <cell r="E165">
            <v>2264.6799999999998</v>
          </cell>
          <cell r="F165">
            <v>1225.02</v>
          </cell>
          <cell r="G165">
            <v>3489.7</v>
          </cell>
        </row>
        <row r="166">
          <cell r="B166" t="str">
            <v>VALORIZACION BRUTA (VB=V+S)</v>
          </cell>
          <cell r="E166">
            <v>96536.5</v>
          </cell>
          <cell r="F166">
            <v>67325.39</v>
          </cell>
          <cell r="G166">
            <v>163861.89000000001</v>
          </cell>
        </row>
        <row r="168">
          <cell r="B168" t="str">
            <v>C) DEDUCCION</v>
          </cell>
        </row>
        <row r="169">
          <cell r="B169" t="str">
            <v xml:space="preserve"> -</v>
          </cell>
          <cell r="C169" t="str">
            <v>D.R.N.C.</v>
          </cell>
          <cell r="E169">
            <v>0</v>
          </cell>
          <cell r="F169">
            <v>0</v>
          </cell>
          <cell r="G169">
            <v>0</v>
          </cell>
        </row>
        <row r="170">
          <cell r="B170" t="str">
            <v xml:space="preserve"> -</v>
          </cell>
          <cell r="C170" t="str">
            <v>Retenc. Control de</v>
          </cell>
        </row>
        <row r="171">
          <cell r="C171" t="str">
            <v>Reajustes</v>
          </cell>
          <cell r="E171">
            <v>0</v>
          </cell>
          <cell r="F171">
            <v>0</v>
          </cell>
          <cell r="G171">
            <v>0</v>
          </cell>
        </row>
        <row r="172">
          <cell r="C172" t="str">
            <v>SUB - TOTAL</v>
          </cell>
        </row>
        <row r="173">
          <cell r="B173" t="str">
            <v>MONTO VALORIZACION BRUTA (VB)</v>
          </cell>
          <cell r="E173">
            <v>96536.5</v>
          </cell>
          <cell r="F173">
            <v>67325.39</v>
          </cell>
          <cell r="G173">
            <v>163861.89000000001</v>
          </cell>
        </row>
        <row r="175">
          <cell r="B175" t="str">
            <v>D) AMORTIZACIONES (A)</v>
          </cell>
        </row>
        <row r="176">
          <cell r="B176" t="str">
            <v xml:space="preserve">    ADELANTO EN EFECTIVO</v>
          </cell>
          <cell r="D176">
            <v>32075</v>
          </cell>
          <cell r="E176">
            <v>18854.37</v>
          </cell>
          <cell r="F176">
            <v>13220.63</v>
          </cell>
          <cell r="G176">
            <v>32075</v>
          </cell>
          <cell r="H176">
            <v>1</v>
          </cell>
          <cell r="I176">
            <v>0</v>
          </cell>
        </row>
        <row r="177">
          <cell r="B177" t="str">
            <v xml:space="preserve">    ADELANTO DE MATERIALES</v>
          </cell>
          <cell r="D177">
            <v>63502</v>
          </cell>
          <cell r="E177">
            <v>40402.35</v>
          </cell>
          <cell r="F177">
            <v>27791.140837664534</v>
          </cell>
          <cell r="G177">
            <v>68193.490837664533</v>
          </cell>
          <cell r="H177">
            <v>1.0738794185642111</v>
          </cell>
          <cell r="I177">
            <v>-4691.5</v>
          </cell>
        </row>
        <row r="178">
          <cell r="B178" t="str">
            <v xml:space="preserve">    TOTAL AMORTIZACIONES </v>
          </cell>
          <cell r="E178">
            <v>59256.72</v>
          </cell>
          <cell r="F178">
            <v>41011.770837664531</v>
          </cell>
          <cell r="G178">
            <v>100268.49083766453</v>
          </cell>
          <cell r="I178">
            <v>-4691.5</v>
          </cell>
        </row>
        <row r="180">
          <cell r="B180" t="str">
            <v xml:space="preserve">     VALORIZACION NETA (VN = VB - A)</v>
          </cell>
          <cell r="E180">
            <v>37279.78</v>
          </cell>
          <cell r="F180">
            <v>26313.619162335468</v>
          </cell>
          <cell r="G180">
            <v>63593.399162335481</v>
          </cell>
        </row>
        <row r="181">
          <cell r="B181" t="str">
            <v>E) RETENCION DE F.G. (5% VB)</v>
          </cell>
        </row>
        <row r="182">
          <cell r="B182" t="str">
            <v>F) GASTOS DE LICITACION (L)</v>
          </cell>
        </row>
        <row r="183">
          <cell r="B183" t="str">
            <v xml:space="preserve">    MULTA POR ATRASO EN OBRA (M)</v>
          </cell>
        </row>
        <row r="185">
          <cell r="B185" t="str">
            <v>G) MONTOS A PAGAR AL CONTRATISTA</v>
          </cell>
        </row>
        <row r="186">
          <cell r="B186" t="str">
            <v xml:space="preserve">    EN EFECTIVO (VN-FG-L-M)</v>
          </cell>
          <cell r="E186">
            <v>37280</v>
          </cell>
          <cell r="F186">
            <v>26314</v>
          </cell>
          <cell r="G186">
            <v>63594</v>
          </cell>
        </row>
        <row r="187">
          <cell r="B187" t="str">
            <v xml:space="preserve">    EN I.G.V. (VN*18%)</v>
          </cell>
          <cell r="E187">
            <v>6710</v>
          </cell>
          <cell r="F187">
            <v>4736</v>
          </cell>
          <cell r="G187">
            <v>11446</v>
          </cell>
        </row>
        <row r="188">
          <cell r="B188" t="str">
            <v xml:space="preserve">    MONTO TOTAL CON I.G.V.</v>
          </cell>
          <cell r="E188">
            <v>43990</v>
          </cell>
          <cell r="F188">
            <v>31050</v>
          </cell>
          <cell r="G188">
            <v>75040</v>
          </cell>
        </row>
        <row r="190">
          <cell r="B190" t="str">
            <v>TOTAL COMPROMISO</v>
          </cell>
          <cell r="E190">
            <v>43990</v>
          </cell>
          <cell r="F190">
            <v>31050</v>
          </cell>
          <cell r="G190">
            <v>75040</v>
          </cell>
        </row>
      </sheetData>
      <sheetData sheetId="5" refreshError="1">
        <row r="1">
          <cell r="B1" t="str">
            <v xml:space="preserve">            MINISTERIO DE LA PRESIDENCIA</v>
          </cell>
          <cell r="M1" t="str">
            <v>REFERENCIA   :</v>
          </cell>
          <cell r="N1" t="str">
            <v xml:space="preserve"> A.D. N° 022-98-PRES - INFES</v>
          </cell>
        </row>
        <row r="2">
          <cell r="B2" t="str">
            <v>INSTITUTO NACIONAL DE INFRAESTRUCTURA</v>
          </cell>
          <cell r="M2" t="str">
            <v>CONTRATISTA:</v>
          </cell>
          <cell r="N2" t="str">
            <v xml:space="preserve"> COCSA SRL</v>
          </cell>
        </row>
        <row r="3">
          <cell r="B3" t="str">
            <v xml:space="preserve">                EDUCATIVA Y DE SALUD</v>
          </cell>
          <cell r="M3" t="str">
            <v>INSPECTOR     :</v>
          </cell>
          <cell r="N3" t="str">
            <v xml:space="preserve"> ING. RIGOBERTO USCATA MALDONADO</v>
          </cell>
        </row>
        <row r="4">
          <cell r="B4" t="str">
            <v xml:space="preserve">                      INFES</v>
          </cell>
          <cell r="M4" t="str">
            <v>FECHA            :</v>
          </cell>
          <cell r="N4" t="str">
            <v xml:space="preserve"> ABRIL DE 1999</v>
          </cell>
        </row>
        <row r="6">
          <cell r="C6" t="str">
            <v>OBRA             :</v>
          </cell>
          <cell r="D6" t="str">
            <v>C.  E. " LOS LIBERTADORES "</v>
          </cell>
        </row>
        <row r="7">
          <cell r="C7" t="str">
            <v>LUGAR          :</v>
          </cell>
          <cell r="D7" t="str">
            <v>AYACUCHO - HUAMANGA - AYACUCHO</v>
          </cell>
        </row>
        <row r="9">
          <cell r="B9" t="str">
            <v>CALCULO  DEL  REINTEGRO  MAXIMO</v>
          </cell>
        </row>
        <row r="11">
          <cell r="B11" t="str">
            <v>SIN I.G.V.</v>
          </cell>
          <cell r="D11" t="str">
            <v>PRESUPUESTO</v>
          </cell>
          <cell r="E11" t="str">
            <v>PRESUP.</v>
          </cell>
          <cell r="F11" t="str">
            <v>MONTO</v>
          </cell>
          <cell r="G11" t="str">
            <v>ADELANTO</v>
          </cell>
        </row>
        <row r="12">
          <cell r="D12" t="str">
            <v>BASE</v>
          </cell>
          <cell r="E12" t="str">
            <v>DEDUCTIVO</v>
          </cell>
          <cell r="F12" t="str">
            <v>CONTRATADO</v>
          </cell>
          <cell r="G12" t="str">
            <v>EFECTIVO</v>
          </cell>
        </row>
        <row r="13">
          <cell r="B13">
            <v>1</v>
          </cell>
          <cell r="C13" t="str">
            <v>ESTRUCTURAS</v>
          </cell>
          <cell r="D13">
            <v>111544.53750000001</v>
          </cell>
          <cell r="F13">
            <v>89235.63</v>
          </cell>
          <cell r="G13">
            <v>32075</v>
          </cell>
        </row>
        <row r="14">
          <cell r="B14">
            <v>2</v>
          </cell>
          <cell r="C14" t="str">
            <v>ARQUITECTURA</v>
          </cell>
          <cell r="D14">
            <v>65887.100000000006</v>
          </cell>
          <cell r="F14">
            <v>52709.68</v>
          </cell>
        </row>
        <row r="15">
          <cell r="B15">
            <v>3</v>
          </cell>
          <cell r="C15" t="str">
            <v>INST.SANITARIAS</v>
          </cell>
          <cell r="D15">
            <v>8415.85</v>
          </cell>
          <cell r="F15">
            <v>6732.68</v>
          </cell>
        </row>
        <row r="16">
          <cell r="B16">
            <v>4</v>
          </cell>
          <cell r="C16" t="str">
            <v>INST. ELECTRICAS</v>
          </cell>
          <cell r="D16">
            <v>14617.75</v>
          </cell>
          <cell r="F16">
            <v>11694.2</v>
          </cell>
        </row>
        <row r="17">
          <cell r="B17" t="str">
            <v>TOTAL SIN I.G.V.</v>
          </cell>
          <cell r="D17">
            <v>200465.23750000002</v>
          </cell>
          <cell r="E17">
            <v>0</v>
          </cell>
          <cell r="F17">
            <v>160372.19</v>
          </cell>
          <cell r="G17">
            <v>32075</v>
          </cell>
        </row>
        <row r="19">
          <cell r="B19" t="str">
            <v>VAL.</v>
          </cell>
          <cell r="C19" t="str">
            <v>FECHA</v>
          </cell>
          <cell r="D19" t="str">
            <v>PROGRAMADO</v>
          </cell>
          <cell r="H19" t="str">
            <v>REAL</v>
          </cell>
          <cell r="M19" t="str">
            <v>REINTEGRO</v>
          </cell>
          <cell r="N19" t="str">
            <v>DEDUCCIONES</v>
          </cell>
          <cell r="P19" t="str">
            <v>REINTEGRO</v>
          </cell>
        </row>
        <row r="20">
          <cell r="B20" t="str">
            <v>Nro.</v>
          </cell>
          <cell r="D20" t="str">
            <v>V</v>
          </cell>
          <cell r="E20" t="str">
            <v>ACUMULADO</v>
          </cell>
          <cell r="F20" t="str">
            <v>K</v>
          </cell>
          <cell r="G20" t="str">
            <v>R</v>
          </cell>
          <cell r="H20" t="str">
            <v>V</v>
          </cell>
          <cell r="I20" t="str">
            <v>ACUMULADO</v>
          </cell>
          <cell r="J20" t="str">
            <v>K</v>
          </cell>
          <cell r="K20" t="str">
            <v>MES</v>
          </cell>
          <cell r="L20" t="str">
            <v>R</v>
          </cell>
          <cell r="M20" t="str">
            <v>Bruto Autoriz.</v>
          </cell>
          <cell r="N20" t="str">
            <v>EFECTIVO</v>
          </cell>
          <cell r="O20" t="str">
            <v>MATERIALES</v>
          </cell>
          <cell r="P20" t="str">
            <v>AUTORIZADO</v>
          </cell>
        </row>
        <row r="21">
          <cell r="C21" t="str">
            <v xml:space="preserve">ESTRUCTURAS   </v>
          </cell>
        </row>
        <row r="22">
          <cell r="B22">
            <v>1</v>
          </cell>
          <cell r="C22" t="str">
            <v>Febrero-99</v>
          </cell>
          <cell r="D22">
            <v>17934.87</v>
          </cell>
          <cell r="E22">
            <v>17934.87</v>
          </cell>
          <cell r="F22">
            <v>1.0249999999999999</v>
          </cell>
          <cell r="G22">
            <v>448.37174999999837</v>
          </cell>
          <cell r="H22">
            <v>0</v>
          </cell>
          <cell r="I22">
            <v>0</v>
          </cell>
          <cell r="J22">
            <v>1.0249999999999999</v>
          </cell>
          <cell r="K22" t="str">
            <v>ENE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B23">
            <v>2</v>
          </cell>
          <cell r="C23" t="str">
            <v>Marzo-99</v>
          </cell>
          <cell r="D23">
            <v>36511.841</v>
          </cell>
          <cell r="E23">
            <v>54446.710999999996</v>
          </cell>
          <cell r="F23">
            <v>1.048</v>
          </cell>
          <cell r="G23">
            <v>1752.5683680000016</v>
          </cell>
          <cell r="H23">
            <v>48611.51</v>
          </cell>
          <cell r="I23">
            <v>48611.51</v>
          </cell>
          <cell r="J23">
            <v>1.048</v>
          </cell>
          <cell r="K23" t="str">
            <v>FEB</v>
          </cell>
          <cell r="L23">
            <v>2333.35</v>
          </cell>
          <cell r="M23">
            <v>2333.35</v>
          </cell>
          <cell r="N23">
            <v>218.15</v>
          </cell>
          <cell r="O23">
            <v>878.3</v>
          </cell>
          <cell r="P23">
            <v>1236.8999999999999</v>
          </cell>
        </row>
        <row r="24">
          <cell r="B24">
            <v>3</v>
          </cell>
          <cell r="C24" t="str">
            <v>Abril-99</v>
          </cell>
          <cell r="D24">
            <v>34788.92</v>
          </cell>
          <cell r="E24">
            <v>89235.630999999994</v>
          </cell>
          <cell r="F24">
            <v>1.046</v>
          </cell>
          <cell r="G24">
            <v>1600.2903200000014</v>
          </cell>
          <cell r="H24">
            <v>22014.06</v>
          </cell>
          <cell r="I24">
            <v>70625.570000000007</v>
          </cell>
          <cell r="J24">
            <v>1.046</v>
          </cell>
          <cell r="K24" t="str">
            <v>MAR</v>
          </cell>
          <cell r="L24">
            <v>1012.65</v>
          </cell>
          <cell r="M24">
            <v>1012.65</v>
          </cell>
          <cell r="N24">
            <v>90.2</v>
          </cell>
          <cell r="O24">
            <v>374.87</v>
          </cell>
          <cell r="P24">
            <v>547.57999999999993</v>
          </cell>
        </row>
        <row r="26">
          <cell r="C26" t="str">
            <v>SUB-TOTAL</v>
          </cell>
          <cell r="D26">
            <v>89235.630999999994</v>
          </cell>
          <cell r="G26">
            <v>3801.2304380000014</v>
          </cell>
          <cell r="H26">
            <v>70625.570000000007</v>
          </cell>
          <cell r="L26">
            <v>3346</v>
          </cell>
          <cell r="M26">
            <v>3346</v>
          </cell>
          <cell r="N26">
            <v>308.35000000000002</v>
          </cell>
          <cell r="O26">
            <v>1253.17</v>
          </cell>
          <cell r="P26">
            <v>1784.4799999999998</v>
          </cell>
        </row>
        <row r="27">
          <cell r="C27" t="str">
            <v xml:space="preserve">ARQUITECTURA  </v>
          </cell>
        </row>
        <row r="28">
          <cell r="B28">
            <v>1</v>
          </cell>
          <cell r="C28" t="str">
            <v>Febrero-99</v>
          </cell>
          <cell r="D28">
            <v>12934.76</v>
          </cell>
          <cell r="E28">
            <v>12934.76</v>
          </cell>
          <cell r="F28">
            <v>1.014</v>
          </cell>
          <cell r="G28">
            <v>181.08664000000016</v>
          </cell>
          <cell r="H28">
            <v>0</v>
          </cell>
          <cell r="I28">
            <v>0</v>
          </cell>
          <cell r="J28">
            <v>1.014</v>
          </cell>
          <cell r="K28" t="str">
            <v>ENE</v>
          </cell>
          <cell r="L28">
            <v>74.02</v>
          </cell>
          <cell r="M28">
            <v>74.02</v>
          </cell>
          <cell r="N28">
            <v>0</v>
          </cell>
          <cell r="O28">
            <v>0</v>
          </cell>
          <cell r="P28">
            <v>74.02</v>
          </cell>
        </row>
        <row r="29">
          <cell r="B29">
            <v>2</v>
          </cell>
          <cell r="C29" t="str">
            <v>Marzo-99</v>
          </cell>
          <cell r="D29">
            <v>22427.439999999999</v>
          </cell>
          <cell r="E29">
            <v>35362.199999999997</v>
          </cell>
          <cell r="F29">
            <v>1.028</v>
          </cell>
          <cell r="G29">
            <v>627.96832000000052</v>
          </cell>
          <cell r="H29">
            <v>12074.61</v>
          </cell>
          <cell r="I29">
            <v>12074.61</v>
          </cell>
          <cell r="J29">
            <v>1.028</v>
          </cell>
          <cell r="K29" t="str">
            <v>FEB</v>
          </cell>
          <cell r="L29">
            <v>338.09</v>
          </cell>
          <cell r="M29">
            <v>338.09</v>
          </cell>
          <cell r="N29">
            <v>33.35</v>
          </cell>
          <cell r="O29">
            <v>110.12</v>
          </cell>
          <cell r="P29">
            <v>194.61999999999995</v>
          </cell>
        </row>
        <row r="30">
          <cell r="B30">
            <v>3</v>
          </cell>
          <cell r="C30" t="str">
            <v>Abril-99</v>
          </cell>
          <cell r="D30">
            <v>17347.48</v>
          </cell>
          <cell r="E30">
            <v>52709.679999999993</v>
          </cell>
          <cell r="F30">
            <v>1.0349999999999999</v>
          </cell>
          <cell r="G30">
            <v>607.16179999999861</v>
          </cell>
          <cell r="H30">
            <v>36009.050000000003</v>
          </cell>
          <cell r="I30">
            <v>48083.66</v>
          </cell>
          <cell r="J30">
            <v>1.0349999999999999</v>
          </cell>
          <cell r="K30" t="str">
            <v>MAR</v>
          </cell>
          <cell r="L30">
            <v>1260.32</v>
          </cell>
          <cell r="M30">
            <v>1260.32</v>
          </cell>
          <cell r="N30">
            <v>149.16999999999999</v>
          </cell>
          <cell r="O30">
            <v>799.95937155709987</v>
          </cell>
          <cell r="P30">
            <v>311.19062844289999</v>
          </cell>
        </row>
        <row r="32">
          <cell r="C32" t="str">
            <v>SUB-TOTAL</v>
          </cell>
          <cell r="D32">
            <v>52709.679999999993</v>
          </cell>
          <cell r="G32">
            <v>1416.2167599999993</v>
          </cell>
          <cell r="H32">
            <v>48083.66</v>
          </cell>
          <cell r="L32">
            <v>1672.4299999999998</v>
          </cell>
          <cell r="M32">
            <v>1672.4299999999998</v>
          </cell>
          <cell r="N32">
            <v>182.51999999999998</v>
          </cell>
          <cell r="O32">
            <v>910.07937155709988</v>
          </cell>
          <cell r="P32">
            <v>579.83062844289998</v>
          </cell>
        </row>
        <row r="33">
          <cell r="C33" t="str">
            <v>INST. SANITARIAS</v>
          </cell>
        </row>
        <row r="34">
          <cell r="B34">
            <v>1</v>
          </cell>
          <cell r="C34" t="str">
            <v>Febrero-99</v>
          </cell>
          <cell r="D34">
            <v>999.43</v>
          </cell>
          <cell r="E34">
            <v>999.43</v>
          </cell>
          <cell r="F34">
            <v>1.012</v>
          </cell>
          <cell r="G34">
            <v>11.99316000000001</v>
          </cell>
          <cell r="H34">
            <v>3115.22</v>
          </cell>
          <cell r="I34">
            <v>3115.22</v>
          </cell>
          <cell r="J34">
            <v>1.012</v>
          </cell>
          <cell r="K34" t="str">
            <v>ENE</v>
          </cell>
          <cell r="L34">
            <v>27.03</v>
          </cell>
          <cell r="M34">
            <v>27.03</v>
          </cell>
          <cell r="N34">
            <v>0</v>
          </cell>
          <cell r="O34">
            <v>0</v>
          </cell>
          <cell r="P34">
            <v>27.03</v>
          </cell>
        </row>
        <row r="35">
          <cell r="B35">
            <v>2</v>
          </cell>
          <cell r="C35" t="str">
            <v>Marzo-99</v>
          </cell>
          <cell r="D35">
            <v>2789.71</v>
          </cell>
          <cell r="E35">
            <v>3789.14</v>
          </cell>
          <cell r="F35">
            <v>1.0249999999999999</v>
          </cell>
          <cell r="G35">
            <v>69.742749999999759</v>
          </cell>
          <cell r="H35">
            <v>3272.87</v>
          </cell>
          <cell r="I35">
            <v>6388.09</v>
          </cell>
          <cell r="J35">
            <v>1.0249999999999999</v>
          </cell>
          <cell r="K35" t="str">
            <v>FEB</v>
          </cell>
          <cell r="L35">
            <v>81.819999999999993</v>
          </cell>
          <cell r="M35">
            <v>81.819999999999993</v>
          </cell>
          <cell r="N35">
            <v>8.41</v>
          </cell>
          <cell r="O35">
            <v>0</v>
          </cell>
          <cell r="P35">
            <v>73.41</v>
          </cell>
        </row>
        <row r="36">
          <cell r="B36">
            <v>3</v>
          </cell>
          <cell r="C36" t="str">
            <v>Abril-99</v>
          </cell>
          <cell r="D36">
            <v>2943.54</v>
          </cell>
          <cell r="E36">
            <v>6732.68</v>
          </cell>
          <cell r="F36">
            <v>1.026</v>
          </cell>
          <cell r="G36">
            <v>76.532040000000066</v>
          </cell>
          <cell r="H36">
            <v>344.59</v>
          </cell>
          <cell r="I36">
            <v>6732.68</v>
          </cell>
          <cell r="J36">
            <v>1.026</v>
          </cell>
          <cell r="K36" t="str">
            <v>MAR</v>
          </cell>
          <cell r="L36">
            <v>8.9600000000000009</v>
          </cell>
          <cell r="M36">
            <v>8.9600000000000009</v>
          </cell>
          <cell r="N36">
            <v>0.95</v>
          </cell>
          <cell r="O36">
            <v>0</v>
          </cell>
          <cell r="P36">
            <v>8.0100000000000016</v>
          </cell>
        </row>
        <row r="38">
          <cell r="C38" t="str">
            <v>SUB-TOTAL</v>
          </cell>
          <cell r="D38">
            <v>6732.68</v>
          </cell>
          <cell r="G38">
            <v>158.26794999999981</v>
          </cell>
          <cell r="H38">
            <v>6732.68</v>
          </cell>
          <cell r="L38">
            <v>117.81</v>
          </cell>
          <cell r="M38">
            <v>117.81</v>
          </cell>
          <cell r="N38">
            <v>9.36</v>
          </cell>
          <cell r="O38">
            <v>0</v>
          </cell>
          <cell r="P38">
            <v>108.45</v>
          </cell>
        </row>
        <row r="39">
          <cell r="C39" t="str">
            <v>INST. ELECTRICAS</v>
          </cell>
        </row>
        <row r="40">
          <cell r="B40">
            <v>1</v>
          </cell>
          <cell r="C40" t="str">
            <v>Febrero-99</v>
          </cell>
          <cell r="D40">
            <v>2312.25</v>
          </cell>
          <cell r="E40">
            <v>2312.25</v>
          </cell>
          <cell r="F40">
            <v>1.0269999999999999</v>
          </cell>
          <cell r="G40">
            <v>62.430749999999797</v>
          </cell>
          <cell r="H40">
            <v>0</v>
          </cell>
          <cell r="I40">
            <v>0</v>
          </cell>
          <cell r="J40">
            <v>1.0269999999999999</v>
          </cell>
          <cell r="K40" t="str">
            <v>ENE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</row>
        <row r="41">
          <cell r="B41">
            <v>2</v>
          </cell>
          <cell r="C41" t="str">
            <v>Marzo-99</v>
          </cell>
          <cell r="D41">
            <v>5420.96</v>
          </cell>
          <cell r="E41">
            <v>7733.21</v>
          </cell>
          <cell r="F41">
            <v>1.054</v>
          </cell>
          <cell r="G41">
            <v>292.73184000000026</v>
          </cell>
          <cell r="H41">
            <v>3961.53</v>
          </cell>
          <cell r="I41">
            <v>3961.53</v>
          </cell>
          <cell r="J41">
            <v>1.054</v>
          </cell>
          <cell r="K41" t="str">
            <v>FEB</v>
          </cell>
          <cell r="L41">
            <v>213.92</v>
          </cell>
          <cell r="M41">
            <v>213.92</v>
          </cell>
          <cell r="N41">
            <v>20.47</v>
          </cell>
          <cell r="O41">
            <v>0</v>
          </cell>
          <cell r="P41">
            <v>193.45</v>
          </cell>
        </row>
        <row r="42">
          <cell r="B42">
            <v>3</v>
          </cell>
          <cell r="C42" t="str">
            <v>Abril-99</v>
          </cell>
          <cell r="D42">
            <v>3960.99</v>
          </cell>
          <cell r="E42">
            <v>11694.2</v>
          </cell>
          <cell r="F42">
            <v>1.0509999999999999</v>
          </cell>
          <cell r="G42">
            <v>202.01048999999972</v>
          </cell>
          <cell r="H42">
            <v>7732.67</v>
          </cell>
          <cell r="I42">
            <v>11694.2</v>
          </cell>
          <cell r="J42">
            <v>1.0509999999999999</v>
          </cell>
          <cell r="K42" t="str">
            <v>MAR</v>
          </cell>
          <cell r="L42">
            <v>394.37</v>
          </cell>
          <cell r="M42">
            <v>394.37</v>
          </cell>
          <cell r="N42">
            <v>36.130000000000003</v>
          </cell>
          <cell r="O42">
            <v>0</v>
          </cell>
          <cell r="P42">
            <v>358.24</v>
          </cell>
        </row>
        <row r="44">
          <cell r="C44" t="str">
            <v>SUB-TOTAL</v>
          </cell>
          <cell r="D44">
            <v>11694.2</v>
          </cell>
          <cell r="G44">
            <v>557.1730799999998</v>
          </cell>
          <cell r="H44">
            <v>11694.2</v>
          </cell>
          <cell r="L44">
            <v>608.29</v>
          </cell>
          <cell r="M44">
            <v>608.29</v>
          </cell>
          <cell r="N44">
            <v>56.6</v>
          </cell>
          <cell r="O44">
            <v>0</v>
          </cell>
          <cell r="P44">
            <v>551.69000000000005</v>
          </cell>
        </row>
        <row r="46">
          <cell r="C46" t="str">
            <v>T O T A L</v>
          </cell>
          <cell r="D46">
            <v>160372.19099999999</v>
          </cell>
          <cell r="G46">
            <v>5932.8882279999998</v>
          </cell>
          <cell r="H46">
            <v>137136.11000000002</v>
          </cell>
          <cell r="L46">
            <v>5744.53</v>
          </cell>
          <cell r="M46">
            <v>5744.53</v>
          </cell>
          <cell r="N46">
            <v>556.83000000000004</v>
          </cell>
          <cell r="O46">
            <v>2163.2493715570999</v>
          </cell>
          <cell r="P46">
            <v>3024.4506284428999</v>
          </cell>
        </row>
      </sheetData>
      <sheetData sheetId="6" refreshError="1">
        <row r="1">
          <cell r="A1" t="str">
            <v xml:space="preserve">            MINISTERIO DE LA PRESIDENCIA</v>
          </cell>
          <cell r="J1" t="str">
            <v>INSPECTOR      :</v>
          </cell>
          <cell r="K1" t="str">
            <v>Ing. RIGOBERTO USCATA MALDONADO</v>
          </cell>
        </row>
        <row r="2">
          <cell r="A2" t="str">
            <v>INSTITUTO NACIONAL DE INFRAESTRUCTURA</v>
          </cell>
          <cell r="J2" t="str">
            <v>CONTRATISTA:</v>
          </cell>
          <cell r="K2" t="str">
            <v>COCSA SRL</v>
          </cell>
        </row>
        <row r="3">
          <cell r="A3" t="str">
            <v xml:space="preserve">                EDUCATIVA Y DE SALUD</v>
          </cell>
          <cell r="J3" t="str">
            <v>LICITACION     :</v>
          </cell>
          <cell r="K3" t="str">
            <v>A.D. N° 022-98 - PRES - INFES</v>
          </cell>
        </row>
        <row r="4">
          <cell r="A4" t="str">
            <v xml:space="preserve">                      INFES</v>
          </cell>
          <cell r="J4" t="str">
            <v>MES                   :</v>
          </cell>
          <cell r="K4" t="str">
            <v>ABRIL 1999  (Del  21-03 al 20-04-99)</v>
          </cell>
        </row>
        <row r="6">
          <cell r="A6" t="str">
            <v>OBRA            :</v>
          </cell>
          <cell r="B6" t="str">
            <v xml:space="preserve">   C.  E. " LOS LIBERTADORES"</v>
          </cell>
        </row>
        <row r="7">
          <cell r="A7" t="str">
            <v>LUGAR          :</v>
          </cell>
          <cell r="B7" t="str">
            <v xml:space="preserve">   AYACUCHO - HUAMANGA - AYACUCHO</v>
          </cell>
        </row>
        <row r="9">
          <cell r="A9" t="str">
            <v>DEDUCCION  DE  REAJUSTES  QUE  NO  CORRESPONDEN</v>
          </cell>
        </row>
        <row r="11">
          <cell r="A11" t="str">
            <v>MATERIAL</v>
          </cell>
          <cell r="B11" t="str">
            <v>VALORIZACION</v>
          </cell>
          <cell r="C11" t="str">
            <v>IU</v>
          </cell>
          <cell r="D11" t="str">
            <v>MONTO</v>
          </cell>
          <cell r="E11" t="str">
            <v>ADELANTO OTORGADO</v>
          </cell>
          <cell r="G11" t="str">
            <v>COEF.</v>
          </cell>
          <cell r="H11" t="str">
            <v>I N D I C E S</v>
          </cell>
          <cell r="K11" t="str">
            <v>ADELANTO</v>
          </cell>
          <cell r="L11" t="str">
            <v>SALDO DEL</v>
          </cell>
          <cell r="M11" t="str">
            <v>DEDUCCION</v>
          </cell>
        </row>
        <row r="12">
          <cell r="A12" t="str">
            <v>INDICE</v>
          </cell>
          <cell r="D12" t="str">
            <v>VALORIZADO</v>
          </cell>
          <cell r="E12" t="str">
            <v>MONTO</v>
          </cell>
          <cell r="F12" t="str">
            <v>FECHA</v>
          </cell>
          <cell r="G12" t="str">
            <v>INCID.</v>
          </cell>
          <cell r="H12" t="str">
            <v>Io</v>
          </cell>
          <cell r="I12" t="str">
            <v>Ia</v>
          </cell>
          <cell r="J12" t="str">
            <v>Ir</v>
          </cell>
          <cell r="K12" t="str">
            <v>UTILIZADO</v>
          </cell>
          <cell r="L12" t="str">
            <v>ADELANTO</v>
          </cell>
        </row>
        <row r="13">
          <cell r="A13" t="str">
            <v>ESTRUCTURAS :</v>
          </cell>
        </row>
        <row r="14">
          <cell r="B14" t="str">
            <v>01-FEB-99</v>
          </cell>
          <cell r="D14">
            <v>0</v>
          </cell>
          <cell r="E14">
            <v>1427.7212315945906</v>
          </cell>
          <cell r="F14">
            <v>36182</v>
          </cell>
          <cell r="G14">
            <v>1.59995E-2</v>
          </cell>
          <cell r="H14">
            <v>180</v>
          </cell>
          <cell r="I14">
            <v>174.63</v>
          </cell>
          <cell r="J14">
            <v>174.63</v>
          </cell>
          <cell r="K14">
            <v>0</v>
          </cell>
          <cell r="L14">
            <v>1427.7212315945906</v>
          </cell>
          <cell r="M14">
            <v>0</v>
          </cell>
        </row>
        <row r="15">
          <cell r="A15" t="str">
            <v>AGREGADO</v>
          </cell>
          <cell r="B15" t="str">
            <v>02-MAR-99</v>
          </cell>
          <cell r="C15" t="str">
            <v>05</v>
          </cell>
          <cell r="D15">
            <v>0</v>
          </cell>
          <cell r="G15">
            <v>1.59995E-2</v>
          </cell>
          <cell r="J15">
            <v>175.31</v>
          </cell>
          <cell r="K15">
            <v>0</v>
          </cell>
          <cell r="L15">
            <v>1427.7212315945906</v>
          </cell>
          <cell r="M15">
            <v>0</v>
          </cell>
        </row>
        <row r="16">
          <cell r="A16" t="str">
            <v>GRUESO</v>
          </cell>
          <cell r="B16" t="str">
            <v>03-ABR-99</v>
          </cell>
          <cell r="D16">
            <v>0</v>
          </cell>
          <cell r="G16">
            <v>1.59995E-2</v>
          </cell>
          <cell r="J16">
            <v>175.31</v>
          </cell>
          <cell r="K16">
            <v>0</v>
          </cell>
          <cell r="L16">
            <v>1427.7212315945906</v>
          </cell>
          <cell r="M16">
            <v>0</v>
          </cell>
        </row>
        <row r="18">
          <cell r="B18" t="str">
            <v>01-FEB-99</v>
          </cell>
          <cell r="D18">
            <v>0</v>
          </cell>
          <cell r="E18">
            <v>2183.8665876985106</v>
          </cell>
          <cell r="F18">
            <v>36182</v>
          </cell>
          <cell r="G18">
            <v>2.4001999999999999E-2</v>
          </cell>
          <cell r="H18">
            <v>285.77</v>
          </cell>
          <cell r="I18">
            <v>299.35000000000002</v>
          </cell>
          <cell r="J18">
            <v>299.35000000000002</v>
          </cell>
          <cell r="K18">
            <v>0</v>
          </cell>
          <cell r="L18">
            <v>2183.8665876985106</v>
          </cell>
          <cell r="M18">
            <v>0</v>
          </cell>
        </row>
        <row r="19">
          <cell r="A19" t="str">
            <v xml:space="preserve">CEMENTO </v>
          </cell>
          <cell r="B19" t="str">
            <v>02-MAR-99</v>
          </cell>
          <cell r="C19" t="str">
            <v>21</v>
          </cell>
          <cell r="D19">
            <v>0</v>
          </cell>
          <cell r="G19">
            <v>2.4001999999999999E-2</v>
          </cell>
          <cell r="J19">
            <v>311.2</v>
          </cell>
          <cell r="K19">
            <v>0</v>
          </cell>
          <cell r="L19">
            <v>2183.8665876985106</v>
          </cell>
          <cell r="M19">
            <v>0</v>
          </cell>
        </row>
        <row r="20">
          <cell r="A20" t="str">
            <v>TIPO I</v>
          </cell>
          <cell r="B20" t="str">
            <v>03-ABR-99</v>
          </cell>
          <cell r="D20">
            <v>0</v>
          </cell>
          <cell r="G20">
            <v>2.4001999999999999E-2</v>
          </cell>
          <cell r="J20">
            <v>311.2</v>
          </cell>
          <cell r="K20">
            <v>570.41</v>
          </cell>
          <cell r="L20">
            <v>1613.4565876985107</v>
          </cell>
          <cell r="M20">
            <v>23.65</v>
          </cell>
        </row>
        <row r="22">
          <cell r="B22" t="str">
            <v>01-FEB-99</v>
          </cell>
          <cell r="D22">
            <v>0</v>
          </cell>
          <cell r="E22">
            <v>13182.759037573232</v>
          </cell>
          <cell r="F22">
            <v>36182</v>
          </cell>
          <cell r="G22">
            <v>0.14799999999999999</v>
          </cell>
          <cell r="H22">
            <v>351.74</v>
          </cell>
          <cell r="I22">
            <v>345.89</v>
          </cell>
          <cell r="J22">
            <v>345.89</v>
          </cell>
          <cell r="K22">
            <v>0</v>
          </cell>
          <cell r="L22">
            <v>13182.759037573232</v>
          </cell>
          <cell r="M22">
            <v>0</v>
          </cell>
        </row>
        <row r="23">
          <cell r="A23" t="str">
            <v>MADERA</v>
          </cell>
          <cell r="B23" t="str">
            <v>02-MAR-99</v>
          </cell>
          <cell r="C23" t="str">
            <v>43</v>
          </cell>
          <cell r="D23">
            <v>0</v>
          </cell>
          <cell r="G23">
            <v>0.14799999999999999</v>
          </cell>
          <cell r="J23">
            <v>345.98</v>
          </cell>
          <cell r="K23">
            <v>0</v>
          </cell>
          <cell r="L23">
            <v>13182.759037573232</v>
          </cell>
          <cell r="M23">
            <v>0</v>
          </cell>
        </row>
        <row r="24">
          <cell r="A24" t="str">
            <v>NACIONAL</v>
          </cell>
          <cell r="B24" t="str">
            <v>03-ABR-99</v>
          </cell>
          <cell r="D24">
            <v>0</v>
          </cell>
          <cell r="G24">
            <v>0.14799999999999999</v>
          </cell>
          <cell r="J24">
            <v>345.77</v>
          </cell>
          <cell r="K24">
            <v>3233.97</v>
          </cell>
          <cell r="L24">
            <v>9948.7890375732331</v>
          </cell>
          <cell r="M24">
            <v>-1.1000000000000001</v>
          </cell>
        </row>
        <row r="26">
          <cell r="B26" t="str">
            <v>01-FEB-99</v>
          </cell>
          <cell r="D26">
            <v>0</v>
          </cell>
          <cell r="E26">
            <v>30561.482305469133</v>
          </cell>
          <cell r="F26">
            <v>36182</v>
          </cell>
          <cell r="G26">
            <v>0.33800000000000002</v>
          </cell>
          <cell r="H26">
            <v>289.52999999999997</v>
          </cell>
          <cell r="I26">
            <v>309.08</v>
          </cell>
          <cell r="J26">
            <v>309.08</v>
          </cell>
          <cell r="K26">
            <v>0</v>
          </cell>
          <cell r="L26">
            <v>30561.482305469133</v>
          </cell>
          <cell r="M26">
            <v>0</v>
          </cell>
        </row>
        <row r="27">
          <cell r="A27" t="str">
            <v>DÓLAR</v>
          </cell>
          <cell r="B27" t="str">
            <v>02-MAR-99</v>
          </cell>
          <cell r="C27" t="str">
            <v>30</v>
          </cell>
          <cell r="D27">
            <v>0</v>
          </cell>
          <cell r="G27">
            <v>0.33800000000000002</v>
          </cell>
          <cell r="J27">
            <v>323.62</v>
          </cell>
          <cell r="K27">
            <v>0</v>
          </cell>
          <cell r="L27">
            <v>30561.482305469133</v>
          </cell>
          <cell r="M27">
            <v>0</v>
          </cell>
        </row>
        <row r="28">
          <cell r="B28" t="str">
            <v>03-ABR-99</v>
          </cell>
          <cell r="D28">
            <v>0</v>
          </cell>
          <cell r="G28">
            <v>0.33800000000000002</v>
          </cell>
          <cell r="J28">
            <v>322.08999999999997</v>
          </cell>
          <cell r="K28">
            <v>7840.59</v>
          </cell>
          <cell r="L28">
            <v>22720.892305469133</v>
          </cell>
          <cell r="M28">
            <v>352.32</v>
          </cell>
        </row>
        <row r="30">
          <cell r="B30" t="str">
            <v>TOTAL DEL MES</v>
          </cell>
          <cell r="K30">
            <v>11644.97</v>
          </cell>
        </row>
        <row r="31">
          <cell r="B31" t="str">
            <v>TOTAL ACUMULADO</v>
          </cell>
          <cell r="E31">
            <v>47355.829162335467</v>
          </cell>
          <cell r="K31">
            <v>11644.97</v>
          </cell>
          <cell r="L31">
            <v>35710.859162335466</v>
          </cell>
          <cell r="M31">
            <v>374.87</v>
          </cell>
        </row>
        <row r="34">
          <cell r="A34" t="str">
            <v>ARQUITECTURA :</v>
          </cell>
        </row>
        <row r="35">
          <cell r="B35" t="str">
            <v>01-FEB-99</v>
          </cell>
          <cell r="D35">
            <v>0</v>
          </cell>
          <cell r="E35">
            <v>9979.1787124862549</v>
          </cell>
          <cell r="F35" t="str">
            <v>22-Ene-99</v>
          </cell>
          <cell r="G35">
            <v>0.1850068</v>
          </cell>
          <cell r="H35">
            <v>282.79000000000002</v>
          </cell>
          <cell r="I35">
            <v>291.60000000000002</v>
          </cell>
          <cell r="J35">
            <v>291.60000000000002</v>
          </cell>
          <cell r="K35">
            <v>0</v>
          </cell>
          <cell r="L35">
            <v>9979.1787124862549</v>
          </cell>
          <cell r="M35">
            <v>0</v>
          </cell>
        </row>
        <row r="36">
          <cell r="A36" t="str">
            <v>PINTURA</v>
          </cell>
          <cell r="B36" t="str">
            <v>02-MAR-99</v>
          </cell>
          <cell r="C36" t="str">
            <v>54</v>
          </cell>
          <cell r="D36">
            <v>0</v>
          </cell>
          <cell r="G36">
            <v>0.1850068</v>
          </cell>
          <cell r="J36">
            <v>305.54000000000002</v>
          </cell>
          <cell r="K36">
            <v>0</v>
          </cell>
          <cell r="L36">
            <v>9979.1787124862549</v>
          </cell>
          <cell r="M36">
            <v>0</v>
          </cell>
        </row>
        <row r="37">
          <cell r="A37" t="str">
            <v>LATEX</v>
          </cell>
          <cell r="B37" t="str">
            <v>03-ABR-99</v>
          </cell>
          <cell r="D37">
            <v>0</v>
          </cell>
          <cell r="G37">
            <v>0.1850068</v>
          </cell>
          <cell r="J37">
            <v>311</v>
          </cell>
          <cell r="K37">
            <v>9979.1787124862549</v>
          </cell>
          <cell r="L37">
            <v>0</v>
          </cell>
          <cell r="M37">
            <v>684.59304438711808</v>
          </cell>
        </row>
        <row r="39">
          <cell r="A39" t="str">
            <v>PLANCHA</v>
          </cell>
          <cell r="B39" t="str">
            <v>01-FEB-99</v>
          </cell>
          <cell r="D39">
            <v>0</v>
          </cell>
          <cell r="E39">
            <v>6166.9921251782807</v>
          </cell>
          <cell r="F39" t="str">
            <v>22-Ene-99</v>
          </cell>
          <cell r="G39">
            <v>0.11700000000000001</v>
          </cell>
          <cell r="H39">
            <v>163.04</v>
          </cell>
          <cell r="I39">
            <v>166.31</v>
          </cell>
          <cell r="J39">
            <v>166.31</v>
          </cell>
          <cell r="K39">
            <v>0</v>
          </cell>
          <cell r="L39">
            <v>6166.9921251782807</v>
          </cell>
          <cell r="M39">
            <v>0</v>
          </cell>
        </row>
        <row r="40">
          <cell r="A40" t="str">
            <v>ASBESTO</v>
          </cell>
          <cell r="B40" t="str">
            <v>02-MAR-99</v>
          </cell>
          <cell r="C40" t="str">
            <v>59</v>
          </cell>
          <cell r="D40">
            <v>0</v>
          </cell>
          <cell r="G40">
            <v>0.11700000000000001</v>
          </cell>
          <cell r="J40">
            <v>166.31</v>
          </cell>
          <cell r="K40">
            <v>0</v>
          </cell>
          <cell r="L40">
            <v>6166.9921251782807</v>
          </cell>
          <cell r="M40">
            <v>0</v>
          </cell>
        </row>
        <row r="41">
          <cell r="A41" t="str">
            <v>CEMENTO</v>
          </cell>
          <cell r="B41" t="str">
            <v>03-ABR-99</v>
          </cell>
          <cell r="D41">
            <v>0</v>
          </cell>
          <cell r="G41">
            <v>0.11700000000000001</v>
          </cell>
          <cell r="J41">
            <v>169.36</v>
          </cell>
          <cell r="K41">
            <v>6166.9921251782807</v>
          </cell>
          <cell r="L41">
            <v>0</v>
          </cell>
          <cell r="M41">
            <v>115.36632716998177</v>
          </cell>
        </row>
        <row r="43">
          <cell r="B43" t="str">
            <v>TOTAL DEL MES</v>
          </cell>
          <cell r="K43">
            <v>16146.170837664537</v>
          </cell>
          <cell r="M43">
            <v>0</v>
          </cell>
        </row>
        <row r="44">
          <cell r="B44" t="str">
            <v>TOTAL ACUMULADO</v>
          </cell>
          <cell r="E44">
            <v>16146.170837664537</v>
          </cell>
          <cell r="K44">
            <v>16146.170837664537</v>
          </cell>
          <cell r="L44">
            <v>0</v>
          </cell>
          <cell r="M44">
            <v>799.95937155709987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"/>
      <sheetName val="RELACION PARTIDAS"/>
      <sheetName val="VALORIZACION OBRA"/>
      <sheetName val="METRADOS"/>
      <sheetName val="CONCRETO ARMADO"/>
      <sheetName val="M"/>
      <sheetName val="C"/>
      <sheetName val="DATOS"/>
      <sheetName val="FICHA TEC 007 - S 02"/>
      <sheetName val="ESTADO SITUACIONAL"/>
      <sheetName val="PRESUPUESTO"/>
      <sheetName val="VALORIZACIÓN"/>
      <sheetName val="F-23 PARTIDAS"/>
      <sheetName val="F-23 TÍTULOS"/>
      <sheetName val="CURVA S"/>
      <sheetName val="FICHA TEC 015 - S 01"/>
      <sheetName val="RESUMEN DE METRADOS"/>
      <sheetName val="F-23 PARTIDAS T"/>
      <sheetName val="F-11"/>
      <sheetName val="IV FICHA"/>
      <sheetName val="APORTE F18 MAYO"/>
      <sheetName val="Relacion de INSUMOS"/>
      <sheetName val="Relacion de PU"/>
      <sheetName val="Plla_P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7">
          <cell r="K17" t="str">
            <v>V1</v>
          </cell>
        </row>
        <row r="18">
          <cell r="K18" t="str">
            <v>V2</v>
          </cell>
        </row>
        <row r="19">
          <cell r="K19" t="str">
            <v>V3</v>
          </cell>
        </row>
        <row r="20">
          <cell r="K20" t="str">
            <v>V4</v>
          </cell>
        </row>
        <row r="21">
          <cell r="K21" t="str">
            <v>V5</v>
          </cell>
        </row>
        <row r="22">
          <cell r="K22" t="str">
            <v>V6</v>
          </cell>
        </row>
        <row r="23">
          <cell r="K23" t="str">
            <v>V7</v>
          </cell>
        </row>
        <row r="24">
          <cell r="K24" t="str">
            <v>V8</v>
          </cell>
        </row>
        <row r="25">
          <cell r="K25" t="str">
            <v>V9</v>
          </cell>
        </row>
        <row r="26">
          <cell r="K26" t="str">
            <v>V10</v>
          </cell>
        </row>
        <row r="27">
          <cell r="K27" t="str">
            <v>V11</v>
          </cell>
        </row>
        <row r="28">
          <cell r="K28" t="str">
            <v>V12</v>
          </cell>
        </row>
        <row r="29">
          <cell r="K29" t="str">
            <v>V13</v>
          </cell>
        </row>
        <row r="30">
          <cell r="K30" t="str">
            <v>V14</v>
          </cell>
        </row>
        <row r="31">
          <cell r="K31" t="str">
            <v>V15</v>
          </cell>
        </row>
        <row r="32">
          <cell r="K32" t="str">
            <v>V16</v>
          </cell>
        </row>
        <row r="33">
          <cell r="K33" t="str">
            <v>V17</v>
          </cell>
        </row>
        <row r="34">
          <cell r="K34" t="str">
            <v>V18</v>
          </cell>
        </row>
        <row r="35">
          <cell r="K35" t="str">
            <v>V19</v>
          </cell>
        </row>
        <row r="36">
          <cell r="K36" t="str">
            <v>V20</v>
          </cell>
        </row>
        <row r="37">
          <cell r="K37" t="str">
            <v>V21</v>
          </cell>
        </row>
        <row r="38">
          <cell r="K38" t="str">
            <v>V22</v>
          </cell>
        </row>
        <row r="39">
          <cell r="K39" t="str">
            <v>V23</v>
          </cell>
        </row>
        <row r="40">
          <cell r="K40" t="str">
            <v>V24</v>
          </cell>
        </row>
        <row r="41">
          <cell r="K41" t="str">
            <v>V25</v>
          </cell>
        </row>
        <row r="42">
          <cell r="K42" t="str">
            <v>V26</v>
          </cell>
        </row>
        <row r="43">
          <cell r="K43" t="str">
            <v>V27</v>
          </cell>
        </row>
        <row r="44">
          <cell r="K44" t="str">
            <v>V28</v>
          </cell>
        </row>
        <row r="45">
          <cell r="K45" t="str">
            <v>V29</v>
          </cell>
        </row>
        <row r="46">
          <cell r="K46" t="str">
            <v>V30</v>
          </cell>
        </row>
        <row r="47">
          <cell r="K47" t="str">
            <v>V31</v>
          </cell>
        </row>
        <row r="48">
          <cell r="K48" t="str">
            <v>V32</v>
          </cell>
        </row>
        <row r="49">
          <cell r="K49" t="str">
            <v>C1</v>
          </cell>
        </row>
        <row r="50">
          <cell r="K50" t="str">
            <v>C2</v>
          </cell>
        </row>
        <row r="51">
          <cell r="K51" t="str">
            <v>C3</v>
          </cell>
        </row>
        <row r="52">
          <cell r="K52" t="str">
            <v>E1</v>
          </cell>
        </row>
        <row r="53">
          <cell r="K53" t="str">
            <v>E2</v>
          </cell>
        </row>
        <row r="54">
          <cell r="K54" t="str">
            <v>E3</v>
          </cell>
        </row>
        <row r="55">
          <cell r="K55" t="str">
            <v>E4</v>
          </cell>
        </row>
        <row r="56">
          <cell r="K56" t="str">
            <v>F1</v>
          </cell>
        </row>
        <row r="57">
          <cell r="K57" t="str">
            <v>F2</v>
          </cell>
        </row>
        <row r="58">
          <cell r="K58" t="str">
            <v>F3</v>
          </cell>
        </row>
        <row r="59">
          <cell r="K59" t="str">
            <v>PP</v>
          </cell>
        </row>
        <row r="60">
          <cell r="K60" t="str">
            <v>TN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Hoja2"/>
      <sheetName val="ZAPATAS"/>
      <sheetName val="ESTRIBOS"/>
      <sheetName val="LOSA"/>
      <sheetName val="LOSA DE ACCESO"/>
      <sheetName val="VEREDAS"/>
      <sheetName val="EXTREMO PILOTES"/>
      <sheetName val="SOLADOS"/>
      <sheetName val="formato"/>
      <sheetName val="Hoja1"/>
      <sheetName val="fORMATO (2)"/>
      <sheetName val="1.00f"/>
      <sheetName val="2.00-3.00"/>
      <sheetName val="4.00f"/>
      <sheetName val="5.00f"/>
      <sheetName val="6.00f"/>
      <sheetName val="7.00f"/>
      <sheetName val="8-9"/>
      <sheetName val="DATOS"/>
      <sheetName val="Met. F-001"/>
      <sheetName val="Plla_P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">
          <cell r="A2">
            <v>0</v>
          </cell>
          <cell r="B2">
            <v>0</v>
          </cell>
        </row>
        <row r="3">
          <cell r="A3">
            <v>1</v>
          </cell>
          <cell r="B3">
            <v>0.25</v>
          </cell>
        </row>
        <row r="4">
          <cell r="A4">
            <v>2</v>
          </cell>
          <cell r="B4">
            <v>0.25</v>
          </cell>
        </row>
        <row r="5">
          <cell r="A5">
            <v>3</v>
          </cell>
          <cell r="B5">
            <v>0.3</v>
          </cell>
        </row>
        <row r="6">
          <cell r="A6">
            <v>4</v>
          </cell>
          <cell r="B6">
            <v>0.4</v>
          </cell>
        </row>
        <row r="7">
          <cell r="A7">
            <v>5</v>
          </cell>
          <cell r="B7">
            <v>0.6</v>
          </cell>
        </row>
        <row r="8">
          <cell r="A8">
            <v>6</v>
          </cell>
          <cell r="B8">
            <v>0.9</v>
          </cell>
        </row>
        <row r="9">
          <cell r="A9">
            <v>8</v>
          </cell>
          <cell r="B9">
            <v>1.2</v>
          </cell>
        </row>
        <row r="10">
          <cell r="A10">
            <v>9</v>
          </cell>
          <cell r="B10">
            <v>2</v>
          </cell>
        </row>
      </sheetData>
      <sheetData sheetId="20" refreshError="1"/>
      <sheetData sheetId="2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TM"/>
      <sheetName val="RESUMEN"/>
      <sheetName val="OE.1 OP-TP-SS"/>
      <sheetName val="OE.2 ES-MT-CºSº"/>
      <sheetName val="OE.2 ES-CºAº"/>
      <sheetName val="OE.2 METAL"/>
      <sheetName val="Muros de Corte PB1"/>
      <sheetName val="Losas entrepiso PB1"/>
      <sheetName val="OE.2 ES-Varios "/>
      <sheetName val="DATOS"/>
      <sheetName val="Tareo P.T."/>
      <sheetName val="Ded_no_corres"/>
      <sheetName val="Reintegro"/>
    </sheetNames>
    <sheetDataSet>
      <sheetData sheetId="0">
        <row r="82">
          <cell r="E82" t="str">
            <v>f'c = 280 kg/cm²</v>
          </cell>
        </row>
        <row r="84">
          <cell r="E84" t="str">
            <v>f'c = 140 kg/cm²+50% PM</v>
          </cell>
        </row>
        <row r="85">
          <cell r="E85" t="str">
            <v>f'c = 175 kg/cm²+50% PM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reo Abril"/>
      <sheetName val="Relacion de INSUMOS"/>
      <sheetName val="DATO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Resumen"/>
      <sheetName val="Presupuesto 01"/>
      <sheetName val="Presupuesto 02"/>
      <sheetName val="Presupuesto 03"/>
      <sheetName val="Cronograma Base"/>
      <sheetName val="Formulas Polinómicas"/>
      <sheetName val="Polinomica"/>
      <sheetName val="FORPOL"/>
      <sheetName val="Adelanto Directo"/>
      <sheetName val="Adelanto de Materiales"/>
      <sheetName val="Orden Modelo"/>
      <sheetName val="Justificacion del 60%"/>
      <sheetName val="Metrado 01"/>
      <sheetName val="Metrado 02"/>
      <sheetName val="Metrado 03"/>
      <sheetName val="Facturación"/>
      <sheetName val="Liquidación de Valorización"/>
      <sheetName val="Calculo de Intereses"/>
      <sheetName val="Mayores Gastos Generales"/>
      <sheetName val="Reajuste"/>
      <sheetName val="Deducción Efectivo"/>
      <sheetName val="Deduccion Materiales"/>
      <sheetName val="Val Formual 01"/>
      <sheetName val="Val Formula 02"/>
      <sheetName val="Val Formula 03"/>
      <sheetName val="INDICES"/>
      <sheetName val="Membrete"/>
      <sheetName val="Caratula"/>
      <sheetName val="Indice"/>
      <sheetName val="a) Generalidades"/>
      <sheetName val="b) Sustento Documentario"/>
      <sheetName val="c) De la ejecución de la obra"/>
      <sheetName val="fotografia"/>
      <sheetName val="Conclusiones y Recomendaciones"/>
      <sheetName val="Plan.Metrados"/>
      <sheetName val="ResumValAvanceOb"/>
      <sheetName val="ValFisFINAL"/>
      <sheetName val="ValFisFinMayorMetra"/>
      <sheetName val="ValFisFinPartAdic"/>
      <sheetName val="COMPARATIVO"/>
      <sheetName val="Resum. Gast. 2015"/>
      <sheetName val="Auxil. Estand"/>
      <sheetName val="Movimiento Diario"/>
      <sheetName val="Resumen Mensual"/>
      <sheetName val="F-9(1) Valorizacion Maquinaria"/>
      <sheetName val="F-9(2) Resumen Mensual"/>
      <sheetName val="Reprog. Fisica"/>
      <sheetName val="Reprog.Financiera"/>
      <sheetName val="CRONOG(Proy.VS.Ejecu)"/>
      <sheetName val="F-9(3) Control Diario Maq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tulo"/>
      <sheetName val="Mensual"/>
      <sheetName val="Formato 1"/>
      <sheetName val="Formato 3"/>
      <sheetName val="Formato 4"/>
      <sheetName val="2.7 Avancefisico"/>
      <sheetName val="2.7 Avancefisico-GG"/>
      <sheetName val="2)Res.AvanceFisico "/>
      <sheetName val="PGG"/>
      <sheetName val="Rendiciones"/>
      <sheetName val="3)Sobrec"/>
      <sheetName val="4) Comparat P+V+F"/>
      <sheetName val="DED-ADIC"/>
      <sheetName val="Val Choa"/>
      <sheetName val="val Chila"/>
      <sheetName val="Val Minas"/>
      <sheetName val="val Mitiga"/>
      <sheetName val="Choaquere"/>
      <sheetName val="Minascucho"/>
      <sheetName val="Cuadro Comparativo en CD. (2)"/>
      <sheetName val="Metra Choaquere"/>
      <sheetName val="Metra Minas"/>
      <sheetName val="Resistencia C°"/>
      <sheetName val="01MET300"/>
      <sheetName val="fases"/>
      <sheetName val="devengado"/>
      <sheetName val="DEVENGADO PACAVMA"/>
      <sheetName val="FASES PACAVMA"/>
      <sheetName val="FASES PACAVMA (2)"/>
      <sheetName val="PROGRAMACIÓN"/>
      <sheetName val="REQUERIMIENTOS"/>
      <sheetName val="Hoja1"/>
      <sheetName val="devengado cusipata"/>
      <sheetName val="fases cusipata"/>
      <sheetName val="fases cusipata (2)"/>
      <sheetName val="PROGRAMACIÓN cusipata"/>
      <sheetName val="REQUERIMIENTOS CUSIPATA"/>
      <sheetName val="PROGRAMACIÓN ACANCAV"/>
      <sheetName val="CUADRO3"/>
      <sheetName val="Tareo Abri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Datos"/>
      <sheetName val="Presupuesto de Obra"/>
      <sheetName val="Resumen de Gral"/>
      <sheetName val="Resumen Adic."/>
      <sheetName val="Resumen de Planillas"/>
      <sheetName val="Formula 001"/>
      <sheetName val="Formula 002"/>
      <sheetName val="Formula 003"/>
      <sheetName val="Formula 004"/>
      <sheetName val="Formula 005"/>
      <sheetName val="Formula Adic. MM."/>
      <sheetName val="Formula Adic. NP."/>
      <sheetName val="Cronograma"/>
      <sheetName val="Curva de Avance"/>
      <sheetName val="Met. F-001"/>
      <sheetName val="Met. F-002"/>
      <sheetName val="Met. F-003"/>
      <sheetName val="Met. F-004"/>
      <sheetName val="Met. F-005"/>
      <sheetName val="Met. Adic. MM."/>
      <sheetName val="Met. Adic. NP."/>
      <sheetName val="DIAGRAMA DE BARRAS"/>
      <sheetName val="Mov Diar. Almc."/>
      <sheetName val="Mov. Mes. Almc. "/>
      <sheetName val="Tareo"/>
      <sheetName val="Vale Comb."/>
      <sheetName val="Cont. Maq."/>
      <sheetName val="Vol. Amar."/>
      <sheetName val="Vol. Roj."/>
      <sheetName val="Carg. Fron."/>
      <sheetName val="Excavadora"/>
      <sheetName val="Camt. Verd."/>
      <sheetName val="Camt. Blanc"/>
      <sheetName val="Tromp."/>
      <sheetName val="Motocicl."/>
      <sheetName val="Vibradora"/>
      <sheetName val="Obsrvacioneas"/>
      <sheetName val="02"/>
      <sheetName val="04"/>
      <sheetName val="05"/>
      <sheetName val="06"/>
      <sheetName val="07"/>
      <sheetName val="08"/>
      <sheetName val="09"/>
      <sheetName val="11"/>
      <sheetName val="12"/>
      <sheetName val="13"/>
      <sheetName val="14"/>
      <sheetName val="15"/>
      <sheetName val="16"/>
      <sheetName val="18"/>
      <sheetName val="19"/>
      <sheetName val="20"/>
      <sheetName val="AF"/>
      <sheetName val="Partidas"/>
    </sheetNames>
    <sheetDataSet>
      <sheetData sheetId="0"/>
      <sheetData sheetId="1">
        <row r="4">
          <cell r="D4" t="str">
            <v>OBRA: AMPLIACIÓN Y MEJORAMIENTO DE CARRETERA CC. HUINCHIRI, SECTOR CHIROCCOLLO DEL DISTRITO DE QUEHUE, CANAS - CUSCO</v>
          </cell>
        </row>
        <row r="5">
          <cell r="D5" t="str">
            <v>UNIDAD GEST.: MUNICIPALIDAD DISTRITAL DE QUEHUE</v>
          </cell>
        </row>
        <row r="9">
          <cell r="D9" t="str">
            <v>MODALIDAD DE EJECUCION: ADMINISTACION DIRECTA</v>
          </cell>
        </row>
        <row r="13">
          <cell r="D13" t="str">
            <v>FTE.FTO: CANON Y SOBRECANON, REGALIAS, RENTA DE ADUANAS Y PARTICIPACIONES</v>
          </cell>
        </row>
        <row r="15">
          <cell r="D15" t="str">
            <v>PRESUPUESTO: S/. 147,500.00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25">
          <cell r="B25" t="str">
            <v>Entrada-BOTAS DE JEBE REFORZADO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"/>
      <sheetName val="Relacion de PU"/>
      <sheetName val="Relacion de INSUMOS"/>
      <sheetName val="Analisis de Precios"/>
      <sheetName val="REAJUSTE"/>
      <sheetName val="POLINOMICA"/>
      <sheetName val="RECURSOS"/>
      <sheetName val="Datos Generales"/>
      <sheetName val="bloqA"/>
      <sheetName val="METAS 2013"/>
      <sheetName val="DATOS"/>
    </sheetNames>
    <sheetDataSet>
      <sheetData sheetId="0"/>
      <sheetData sheetId="1"/>
      <sheetData sheetId="2"/>
      <sheetData sheetId="3"/>
      <sheetData sheetId="4"/>
      <sheetData sheetId="5">
        <row r="97">
          <cell r="C97">
            <v>0</v>
          </cell>
          <cell r="D97">
            <v>0</v>
          </cell>
        </row>
        <row r="98">
          <cell r="C98">
            <v>1</v>
          </cell>
          <cell r="D98" t="e">
            <v>#N/A</v>
          </cell>
        </row>
        <row r="99">
          <cell r="C99">
            <v>2</v>
          </cell>
          <cell r="D99" t="e">
            <v>#N/A</v>
          </cell>
        </row>
        <row r="100">
          <cell r="C100">
            <v>3</v>
          </cell>
          <cell r="D100" t="e">
            <v>#N/A</v>
          </cell>
        </row>
        <row r="101">
          <cell r="C101">
            <v>4</v>
          </cell>
          <cell r="D101" t="e">
            <v>#N/A</v>
          </cell>
        </row>
        <row r="102">
          <cell r="C102">
            <v>5</v>
          </cell>
          <cell r="D102" t="e">
            <v>#N/A</v>
          </cell>
        </row>
        <row r="103">
          <cell r="C103">
            <v>6</v>
          </cell>
          <cell r="D103" t="e">
            <v>#N/A</v>
          </cell>
        </row>
        <row r="104">
          <cell r="C104">
            <v>7</v>
          </cell>
          <cell r="D104" t="e">
            <v>#N/A</v>
          </cell>
        </row>
        <row r="105">
          <cell r="C105">
            <v>8</v>
          </cell>
          <cell r="D105" t="e">
            <v>#N/A</v>
          </cell>
        </row>
        <row r="106">
          <cell r="C106">
            <v>9</v>
          </cell>
          <cell r="D106" t="e">
            <v>#N/A</v>
          </cell>
        </row>
        <row r="107">
          <cell r="C107">
            <v>10</v>
          </cell>
          <cell r="D107" t="e">
            <v>#N/A</v>
          </cell>
        </row>
        <row r="108">
          <cell r="C108">
            <v>11</v>
          </cell>
          <cell r="D108" t="e">
            <v>#N/A</v>
          </cell>
        </row>
        <row r="109">
          <cell r="C109">
            <v>12</v>
          </cell>
          <cell r="D109" t="e">
            <v>#N/A</v>
          </cell>
        </row>
        <row r="110">
          <cell r="C110">
            <v>13</v>
          </cell>
          <cell r="D110" t="e">
            <v>#N/A</v>
          </cell>
        </row>
        <row r="111">
          <cell r="C111">
            <v>14</v>
          </cell>
          <cell r="D111" t="e">
            <v>#N/A</v>
          </cell>
        </row>
        <row r="112">
          <cell r="C112">
            <v>15</v>
          </cell>
          <cell r="D112" t="e">
            <v>#N/A</v>
          </cell>
        </row>
        <row r="113">
          <cell r="C113">
            <v>16</v>
          </cell>
          <cell r="D113" t="e">
            <v>#N/A</v>
          </cell>
        </row>
        <row r="114">
          <cell r="C114">
            <v>17</v>
          </cell>
          <cell r="D114" t="e">
            <v>#N/A</v>
          </cell>
        </row>
        <row r="115">
          <cell r="C115">
            <v>18</v>
          </cell>
          <cell r="D115" t="e">
            <v>#N/A</v>
          </cell>
        </row>
        <row r="116">
          <cell r="C116">
            <v>19</v>
          </cell>
          <cell r="D116" t="e">
            <v>#N/A</v>
          </cell>
        </row>
        <row r="117">
          <cell r="C117">
            <v>20</v>
          </cell>
          <cell r="D117" t="e">
            <v>#N/A</v>
          </cell>
        </row>
        <row r="118">
          <cell r="C118">
            <v>21</v>
          </cell>
          <cell r="D118" t="e">
            <v>#N/A</v>
          </cell>
        </row>
        <row r="119">
          <cell r="C119">
            <v>22</v>
          </cell>
          <cell r="D119" t="e">
            <v>#N/A</v>
          </cell>
        </row>
        <row r="120">
          <cell r="C120">
            <v>23</v>
          </cell>
          <cell r="D120" t="e">
            <v>#N/A</v>
          </cell>
        </row>
        <row r="121">
          <cell r="C121">
            <v>24</v>
          </cell>
          <cell r="D121" t="e">
            <v>#N/A</v>
          </cell>
        </row>
        <row r="122">
          <cell r="C122">
            <v>25</v>
          </cell>
          <cell r="D122" t="e">
            <v>#N/A</v>
          </cell>
        </row>
        <row r="123">
          <cell r="C123">
            <v>26</v>
          </cell>
          <cell r="D123" t="e">
            <v>#N/A</v>
          </cell>
        </row>
        <row r="124">
          <cell r="C124">
            <v>27</v>
          </cell>
          <cell r="D124" t="e">
            <v>#N/A</v>
          </cell>
        </row>
        <row r="125">
          <cell r="C125">
            <v>28</v>
          </cell>
          <cell r="D125" t="e">
            <v>#N/A</v>
          </cell>
        </row>
        <row r="126">
          <cell r="C126">
            <v>29</v>
          </cell>
          <cell r="D126" t="e">
            <v>#N/A</v>
          </cell>
        </row>
        <row r="127">
          <cell r="C127">
            <v>30</v>
          </cell>
          <cell r="D127" t="e">
            <v>#N/A</v>
          </cell>
        </row>
        <row r="128">
          <cell r="C128">
            <v>31</v>
          </cell>
          <cell r="D128" t="e">
            <v>#N/A</v>
          </cell>
        </row>
        <row r="129">
          <cell r="C129">
            <v>32</v>
          </cell>
          <cell r="D129" t="e">
            <v>#N/A</v>
          </cell>
        </row>
        <row r="130">
          <cell r="C130">
            <v>33</v>
          </cell>
          <cell r="D130" t="e">
            <v>#N/A</v>
          </cell>
        </row>
        <row r="131">
          <cell r="C131">
            <v>34</v>
          </cell>
          <cell r="D131" t="e">
            <v>#N/A</v>
          </cell>
        </row>
        <row r="132">
          <cell r="C132">
            <v>35</v>
          </cell>
          <cell r="D132" t="e">
            <v>#N/A</v>
          </cell>
        </row>
        <row r="133">
          <cell r="C133">
            <v>36</v>
          </cell>
          <cell r="D133" t="e">
            <v>#N/A</v>
          </cell>
        </row>
        <row r="134">
          <cell r="C134">
            <v>37</v>
          </cell>
          <cell r="D134" t="e">
            <v>#N/A</v>
          </cell>
        </row>
        <row r="135">
          <cell r="C135">
            <v>38</v>
          </cell>
          <cell r="D135" t="e">
            <v>#N/A</v>
          </cell>
        </row>
        <row r="136">
          <cell r="C136">
            <v>39</v>
          </cell>
          <cell r="D136" t="e">
            <v>#N/A</v>
          </cell>
        </row>
        <row r="137">
          <cell r="C137">
            <v>40</v>
          </cell>
          <cell r="D137" t="e">
            <v>#N/A</v>
          </cell>
        </row>
        <row r="138">
          <cell r="C138">
            <v>41</v>
          </cell>
          <cell r="D138" t="e">
            <v>#N/A</v>
          </cell>
        </row>
        <row r="139">
          <cell r="C139">
            <v>42</v>
          </cell>
          <cell r="D139" t="e">
            <v>#N/A</v>
          </cell>
        </row>
        <row r="140">
          <cell r="C140">
            <v>43</v>
          </cell>
          <cell r="D140" t="e">
            <v>#N/A</v>
          </cell>
        </row>
        <row r="141">
          <cell r="C141">
            <v>44</v>
          </cell>
          <cell r="D141" t="e">
            <v>#N/A</v>
          </cell>
        </row>
        <row r="142">
          <cell r="C142">
            <v>45</v>
          </cell>
          <cell r="D142" t="e">
            <v>#N/A</v>
          </cell>
        </row>
        <row r="143">
          <cell r="C143">
            <v>46</v>
          </cell>
          <cell r="D143" t="e">
            <v>#N/A</v>
          </cell>
        </row>
        <row r="144">
          <cell r="C144">
            <v>47</v>
          </cell>
          <cell r="D144" t="e">
            <v>#N/A</v>
          </cell>
        </row>
        <row r="145">
          <cell r="C145">
            <v>48</v>
          </cell>
          <cell r="D145" t="e">
            <v>#N/A</v>
          </cell>
        </row>
        <row r="146">
          <cell r="C146">
            <v>49</v>
          </cell>
          <cell r="D146" t="e">
            <v>#N/A</v>
          </cell>
        </row>
        <row r="147">
          <cell r="C147">
            <v>50</v>
          </cell>
          <cell r="D147" t="e">
            <v>#N/A</v>
          </cell>
        </row>
        <row r="148">
          <cell r="C148">
            <v>51</v>
          </cell>
          <cell r="D148" t="e">
            <v>#N/A</v>
          </cell>
        </row>
        <row r="149">
          <cell r="C149">
            <v>52</v>
          </cell>
          <cell r="D149" t="e">
            <v>#N/A</v>
          </cell>
        </row>
        <row r="150">
          <cell r="C150">
            <v>53</v>
          </cell>
          <cell r="D150" t="e">
            <v>#N/A</v>
          </cell>
        </row>
        <row r="151">
          <cell r="C151">
            <v>54</v>
          </cell>
          <cell r="D151" t="e">
            <v>#N/A</v>
          </cell>
        </row>
        <row r="152">
          <cell r="C152">
            <v>55</v>
          </cell>
          <cell r="D152" t="e">
            <v>#N/A</v>
          </cell>
        </row>
        <row r="153">
          <cell r="C153">
            <v>56</v>
          </cell>
          <cell r="D153" t="e">
            <v>#N/A</v>
          </cell>
        </row>
        <row r="154">
          <cell r="C154">
            <v>57</v>
          </cell>
          <cell r="D154" t="e">
            <v>#N/A</v>
          </cell>
        </row>
        <row r="155">
          <cell r="C155">
            <v>58</v>
          </cell>
          <cell r="D155" t="e">
            <v>#N/A</v>
          </cell>
        </row>
        <row r="156">
          <cell r="C156">
            <v>59</v>
          </cell>
          <cell r="D156" t="e">
            <v>#N/A</v>
          </cell>
        </row>
        <row r="157">
          <cell r="C157">
            <v>60</v>
          </cell>
          <cell r="D157" t="e">
            <v>#N/A</v>
          </cell>
        </row>
        <row r="158">
          <cell r="C158">
            <v>61</v>
          </cell>
          <cell r="D158" t="e">
            <v>#N/A</v>
          </cell>
        </row>
        <row r="159">
          <cell r="C159">
            <v>62</v>
          </cell>
          <cell r="D159" t="e">
            <v>#N/A</v>
          </cell>
        </row>
        <row r="160">
          <cell r="C160">
            <v>63</v>
          </cell>
          <cell r="D160" t="e">
            <v>#N/A</v>
          </cell>
        </row>
        <row r="161">
          <cell r="C161">
            <v>64</v>
          </cell>
          <cell r="D161" t="e">
            <v>#N/A</v>
          </cell>
        </row>
        <row r="162">
          <cell r="C162">
            <v>65</v>
          </cell>
          <cell r="D162" t="e">
            <v>#N/A</v>
          </cell>
        </row>
        <row r="163">
          <cell r="C163">
            <v>66</v>
          </cell>
          <cell r="D163" t="e">
            <v>#N/A</v>
          </cell>
        </row>
        <row r="164">
          <cell r="C164">
            <v>67</v>
          </cell>
          <cell r="D164" t="e">
            <v>#N/A</v>
          </cell>
        </row>
        <row r="165">
          <cell r="C165">
            <v>68</v>
          </cell>
          <cell r="D165" t="e">
            <v>#N/A</v>
          </cell>
        </row>
        <row r="166">
          <cell r="C166">
            <v>69</v>
          </cell>
          <cell r="D166" t="e">
            <v>#N/A</v>
          </cell>
        </row>
        <row r="167">
          <cell r="C167">
            <v>70</v>
          </cell>
          <cell r="D167" t="e">
            <v>#N/A</v>
          </cell>
        </row>
        <row r="168">
          <cell r="C168">
            <v>71</v>
          </cell>
          <cell r="D168" t="e">
            <v>#N/A</v>
          </cell>
        </row>
        <row r="169">
          <cell r="C169">
            <v>72</v>
          </cell>
          <cell r="D169" t="e">
            <v>#N/A</v>
          </cell>
        </row>
        <row r="170">
          <cell r="C170">
            <v>73</v>
          </cell>
          <cell r="D170" t="e">
            <v>#N/A</v>
          </cell>
        </row>
        <row r="171">
          <cell r="C171">
            <v>74</v>
          </cell>
          <cell r="D171" t="e">
            <v>#N/A</v>
          </cell>
        </row>
        <row r="172">
          <cell r="C172">
            <v>75</v>
          </cell>
          <cell r="D172" t="e">
            <v>#N/A</v>
          </cell>
        </row>
        <row r="173">
          <cell r="C173">
            <v>76</v>
          </cell>
          <cell r="D173" t="e">
            <v>#N/A</v>
          </cell>
        </row>
        <row r="174">
          <cell r="C174">
            <v>77</v>
          </cell>
          <cell r="D174" t="e">
            <v>#N/A</v>
          </cell>
        </row>
        <row r="175">
          <cell r="C175">
            <v>78</v>
          </cell>
          <cell r="D175" t="e">
            <v>#N/A</v>
          </cell>
        </row>
        <row r="176">
          <cell r="C176">
            <v>79</v>
          </cell>
          <cell r="D176" t="e">
            <v>#N/A</v>
          </cell>
        </row>
      </sheetData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"/>
      <sheetName val="Relacion de PU"/>
      <sheetName val="Relacion de INSUMOS"/>
      <sheetName val="Analisis de Precios"/>
      <sheetName val="POLINOMICA"/>
      <sheetName val="REAJUSTE"/>
      <sheetName val="Datos Generales"/>
      <sheetName val="FORMATOMETRA"/>
      <sheetName val="FORMATO2"/>
      <sheetName val="BD"/>
      <sheetName val="Mensual"/>
    </sheetNames>
    <sheetDataSet>
      <sheetData sheetId="0">
        <row r="9">
          <cell r="A9" t="str">
            <v>CODIGO</v>
          </cell>
        </row>
      </sheetData>
      <sheetData sheetId="1">
        <row r="11">
          <cell r="A11">
            <v>0</v>
          </cell>
        </row>
        <row r="12">
          <cell r="A12">
            <v>1</v>
          </cell>
          <cell r="B12" t="str">
            <v>TRABAJOS PRELIMINARES</v>
          </cell>
          <cell r="E12" t="e">
            <v>#REF!</v>
          </cell>
          <cell r="F12">
            <v>0</v>
          </cell>
        </row>
        <row r="13">
          <cell r="A13">
            <v>1.1000000000000001</v>
          </cell>
          <cell r="B13" t="str">
            <v>MOVILIZACION DE EQUIPOS</v>
          </cell>
          <cell r="C13" t="str">
            <v>GLB</v>
          </cell>
          <cell r="D13">
            <v>1</v>
          </cell>
          <cell r="E13" t="e">
            <v>#REF!</v>
          </cell>
          <cell r="F13">
            <v>500</v>
          </cell>
        </row>
        <row r="14">
          <cell r="A14">
            <v>1.02</v>
          </cell>
          <cell r="B14" t="str">
            <v>TRAZO Y REPLANTEOS</v>
          </cell>
          <cell r="C14" t="str">
            <v>M2</v>
          </cell>
          <cell r="D14">
            <v>500</v>
          </cell>
          <cell r="E14" t="e">
            <v>#REF!</v>
          </cell>
          <cell r="F14">
            <v>0.84875000000000012</v>
          </cell>
        </row>
        <row r="15">
          <cell r="A15">
            <v>1.03</v>
          </cell>
          <cell r="B15" t="str">
            <v>CAMINO DE ACCESOS</v>
          </cell>
          <cell r="C15" t="str">
            <v>M</v>
          </cell>
          <cell r="D15">
            <v>800</v>
          </cell>
          <cell r="E15" t="e">
            <v>#REF!</v>
          </cell>
          <cell r="F15">
            <v>7.5939999999999994</v>
          </cell>
        </row>
        <row r="16">
          <cell r="A16">
            <v>1.04</v>
          </cell>
          <cell r="B16" t="str">
            <v>DESVIO DE RIOS</v>
          </cell>
          <cell r="C16" t="str">
            <v>M</v>
          </cell>
          <cell r="D16">
            <v>120</v>
          </cell>
          <cell r="E16" t="e">
            <v>#REF!</v>
          </cell>
          <cell r="F16">
            <v>12.87</v>
          </cell>
        </row>
        <row r="17">
          <cell r="A17">
            <v>1.05</v>
          </cell>
          <cell r="B17" t="str">
            <v>LIMPIEZA DEL CAUCE</v>
          </cell>
          <cell r="C17" t="str">
            <v>M</v>
          </cell>
          <cell r="D17">
            <v>85</v>
          </cell>
          <cell r="E17" t="e">
            <v>#REF!</v>
          </cell>
          <cell r="F17">
            <v>18.55</v>
          </cell>
        </row>
        <row r="18">
          <cell r="E18" t="e">
            <v>#REF!</v>
          </cell>
          <cell r="F18">
            <v>0</v>
          </cell>
        </row>
        <row r="19">
          <cell r="A19">
            <v>2</v>
          </cell>
          <cell r="B19" t="str">
            <v>MOVIMIENTO DE TIERRAS</v>
          </cell>
          <cell r="E19" t="e">
            <v>#REF!</v>
          </cell>
          <cell r="F19">
            <v>0</v>
          </cell>
        </row>
        <row r="20">
          <cell r="A20">
            <v>2.0099999999999998</v>
          </cell>
          <cell r="B20" t="str">
            <v>ENCIMADO DE PLATAFORMA</v>
          </cell>
          <cell r="C20" t="str">
            <v>M3</v>
          </cell>
          <cell r="D20">
            <v>720</v>
          </cell>
          <cell r="E20" t="e">
            <v>#REF!</v>
          </cell>
          <cell r="F20">
            <v>2.14</v>
          </cell>
        </row>
        <row r="21">
          <cell r="A21">
            <v>2.02</v>
          </cell>
          <cell r="B21" t="str">
            <v>EXCAVACION DE UÑA</v>
          </cell>
          <cell r="C21" t="str">
            <v>M3</v>
          </cell>
          <cell r="D21">
            <v>480</v>
          </cell>
          <cell r="E21" t="e">
            <v>#REF!</v>
          </cell>
          <cell r="F21">
            <v>2.98</v>
          </cell>
        </row>
        <row r="22">
          <cell r="A22">
            <v>2.0299999999999998</v>
          </cell>
          <cell r="B22" t="str">
            <v>RELLENO SEMICOMPACTADO DE PLATAFORMA</v>
          </cell>
          <cell r="C22" t="str">
            <v>M3</v>
          </cell>
          <cell r="D22">
            <v>1200</v>
          </cell>
          <cell r="E22" t="e">
            <v>#REF!</v>
          </cell>
          <cell r="F22">
            <v>4.1499999999999995</v>
          </cell>
        </row>
        <row r="23">
          <cell r="E23" t="e">
            <v>#REF!</v>
          </cell>
          <cell r="F23">
            <v>0</v>
          </cell>
        </row>
        <row r="24">
          <cell r="A24">
            <v>3</v>
          </cell>
          <cell r="B24" t="str">
            <v>ENROCADO</v>
          </cell>
          <cell r="E24" t="e">
            <v>#REF!</v>
          </cell>
          <cell r="F24">
            <v>0</v>
          </cell>
        </row>
        <row r="25">
          <cell r="A25">
            <v>3.01</v>
          </cell>
          <cell r="B25" t="str">
            <v>EXTRACCION Y PREPARACION DE ROCA</v>
          </cell>
          <cell r="C25" t="str">
            <v>M3</v>
          </cell>
          <cell r="D25">
            <v>200</v>
          </cell>
          <cell r="E25" t="e">
            <v>#REF!</v>
          </cell>
          <cell r="F25">
            <v>5.6454000000000004</v>
          </cell>
        </row>
        <row r="26">
          <cell r="A26">
            <v>3.02</v>
          </cell>
          <cell r="B26" t="str">
            <v>SELECCCION Y CARGUIO DE ROCA</v>
          </cell>
          <cell r="C26" t="str">
            <v>M3</v>
          </cell>
          <cell r="D26">
            <v>560</v>
          </cell>
          <cell r="E26" t="e">
            <v>#REF!</v>
          </cell>
          <cell r="F26">
            <v>5.8025000000000002</v>
          </cell>
        </row>
        <row r="27">
          <cell r="A27">
            <v>3.04</v>
          </cell>
          <cell r="B27" t="str">
            <v>TRANSPORTE DE ROCA</v>
          </cell>
          <cell r="C27" t="str">
            <v>M3</v>
          </cell>
          <cell r="D27">
            <v>620</v>
          </cell>
          <cell r="E27" t="e">
            <v>#REF!</v>
          </cell>
          <cell r="F27">
            <v>5.8</v>
          </cell>
        </row>
        <row r="28">
          <cell r="A28">
            <v>3.05</v>
          </cell>
          <cell r="B28" t="str">
            <v>ACOMODO DE ROCA</v>
          </cell>
          <cell r="C28" t="str">
            <v>M3</v>
          </cell>
          <cell r="D28">
            <v>350</v>
          </cell>
          <cell r="E28" t="e">
            <v>#REF!</v>
          </cell>
          <cell r="F28">
            <v>3.71</v>
          </cell>
        </row>
        <row r="29">
          <cell r="E29" t="e">
            <v>#REF!</v>
          </cell>
          <cell r="F29">
            <v>0</v>
          </cell>
        </row>
        <row r="30">
          <cell r="A30">
            <v>4</v>
          </cell>
          <cell r="B30" t="str">
            <v>INFRAESTRUCTURA DE RIEGO DREN-CANAL</v>
          </cell>
          <cell r="E30" t="e">
            <v>#REF!</v>
          </cell>
          <cell r="F30">
            <v>0</v>
          </cell>
        </row>
        <row r="31">
          <cell r="A31">
            <v>4.01</v>
          </cell>
          <cell r="B31" t="str">
            <v>APERTURA DE DREN</v>
          </cell>
          <cell r="C31" t="str">
            <v>M</v>
          </cell>
          <cell r="D31">
            <v>200</v>
          </cell>
          <cell r="E31" t="e">
            <v>#REF!</v>
          </cell>
          <cell r="F31">
            <v>7.18</v>
          </cell>
        </row>
        <row r="32">
          <cell r="E32" t="e">
            <v>#REF!</v>
          </cell>
          <cell r="F32">
            <v>0</v>
          </cell>
        </row>
        <row r="33">
          <cell r="E33" t="e">
            <v>#REF!</v>
          </cell>
          <cell r="F33">
            <v>0</v>
          </cell>
        </row>
        <row r="34">
          <cell r="E34" t="e">
            <v>#REF!</v>
          </cell>
          <cell r="F34">
            <v>0</v>
          </cell>
        </row>
        <row r="35">
          <cell r="E35" t="e">
            <v>#REF!</v>
          </cell>
          <cell r="F35">
            <v>0</v>
          </cell>
        </row>
        <row r="36">
          <cell r="E36" t="e">
            <v>#REF!</v>
          </cell>
          <cell r="F36">
            <v>0</v>
          </cell>
        </row>
        <row r="37">
          <cell r="E37" t="e">
            <v>#REF!</v>
          </cell>
          <cell r="F37">
            <v>0</v>
          </cell>
        </row>
        <row r="38">
          <cell r="E38" t="e">
            <v>#REF!</v>
          </cell>
          <cell r="F38">
            <v>0</v>
          </cell>
        </row>
        <row r="39">
          <cell r="E39" t="e">
            <v>#REF!</v>
          </cell>
          <cell r="F39">
            <v>0</v>
          </cell>
        </row>
        <row r="40">
          <cell r="E40" t="e">
            <v>#REF!</v>
          </cell>
          <cell r="F40">
            <v>0</v>
          </cell>
        </row>
        <row r="41">
          <cell r="E41" t="e">
            <v>#REF!</v>
          </cell>
          <cell r="F41">
            <v>0</v>
          </cell>
        </row>
        <row r="42">
          <cell r="E42" t="e">
            <v>#REF!</v>
          </cell>
          <cell r="F42">
            <v>0</v>
          </cell>
        </row>
        <row r="43">
          <cell r="E43" t="e">
            <v>#REF!</v>
          </cell>
          <cell r="F43">
            <v>0</v>
          </cell>
        </row>
        <row r="44">
          <cell r="E44" t="e">
            <v>#REF!</v>
          </cell>
          <cell r="F44">
            <v>0</v>
          </cell>
        </row>
        <row r="45">
          <cell r="E45" t="e">
            <v>#REF!</v>
          </cell>
          <cell r="F45">
            <v>0</v>
          </cell>
        </row>
        <row r="46">
          <cell r="E46" t="e">
            <v>#REF!</v>
          </cell>
          <cell r="F46">
            <v>0</v>
          </cell>
        </row>
        <row r="47">
          <cell r="E47" t="e">
            <v>#REF!</v>
          </cell>
          <cell r="F47">
            <v>0</v>
          </cell>
        </row>
        <row r="48">
          <cell r="E48" t="e">
            <v>#REF!</v>
          </cell>
          <cell r="F48">
            <v>0</v>
          </cell>
        </row>
        <row r="49">
          <cell r="E49" t="e">
            <v>#REF!</v>
          </cell>
          <cell r="F49">
            <v>0</v>
          </cell>
        </row>
        <row r="50">
          <cell r="E50" t="e">
            <v>#REF!</v>
          </cell>
          <cell r="F50">
            <v>0</v>
          </cell>
        </row>
        <row r="51">
          <cell r="E51" t="e">
            <v>#REF!</v>
          </cell>
          <cell r="F51">
            <v>0</v>
          </cell>
        </row>
        <row r="52">
          <cell r="E52" t="e">
            <v>#REF!</v>
          </cell>
          <cell r="F52">
            <v>0</v>
          </cell>
        </row>
        <row r="53">
          <cell r="E53" t="e">
            <v>#REF!</v>
          </cell>
          <cell r="F53">
            <v>0</v>
          </cell>
        </row>
        <row r="54">
          <cell r="E54" t="e">
            <v>#REF!</v>
          </cell>
          <cell r="F54">
            <v>0</v>
          </cell>
        </row>
        <row r="55">
          <cell r="E55" t="e">
            <v>#REF!</v>
          </cell>
          <cell r="F55">
            <v>0</v>
          </cell>
        </row>
        <row r="56">
          <cell r="E56" t="e">
            <v>#REF!</v>
          </cell>
          <cell r="F56">
            <v>0</v>
          </cell>
        </row>
        <row r="57">
          <cell r="E57" t="e">
            <v>#REF!</v>
          </cell>
          <cell r="F57">
            <v>0</v>
          </cell>
        </row>
        <row r="58">
          <cell r="E58" t="e">
            <v>#REF!</v>
          </cell>
          <cell r="F58">
            <v>0</v>
          </cell>
        </row>
        <row r="59">
          <cell r="E59" t="e">
            <v>#REF!</v>
          </cell>
          <cell r="F59">
            <v>0</v>
          </cell>
        </row>
        <row r="60">
          <cell r="E60" t="e">
            <v>#REF!</v>
          </cell>
          <cell r="F60">
            <v>0</v>
          </cell>
        </row>
        <row r="61">
          <cell r="E61" t="e">
            <v>#REF!</v>
          </cell>
          <cell r="F61">
            <v>0</v>
          </cell>
        </row>
        <row r="62">
          <cell r="E62" t="e">
            <v>#REF!</v>
          </cell>
          <cell r="F62">
            <v>0</v>
          </cell>
        </row>
        <row r="63">
          <cell r="E63" t="e">
            <v>#REF!</v>
          </cell>
          <cell r="F63">
            <v>0</v>
          </cell>
        </row>
        <row r="64">
          <cell r="E64" t="e">
            <v>#REF!</v>
          </cell>
          <cell r="F64">
            <v>0</v>
          </cell>
        </row>
        <row r="65">
          <cell r="E65" t="e">
            <v>#REF!</v>
          </cell>
          <cell r="F65">
            <v>0</v>
          </cell>
        </row>
        <row r="66">
          <cell r="E66" t="e">
            <v>#REF!</v>
          </cell>
          <cell r="F66">
            <v>0</v>
          </cell>
        </row>
        <row r="67">
          <cell r="E67" t="e">
            <v>#REF!</v>
          </cell>
          <cell r="F67">
            <v>0</v>
          </cell>
        </row>
        <row r="68">
          <cell r="E68" t="e">
            <v>#REF!</v>
          </cell>
          <cell r="F68">
            <v>0</v>
          </cell>
        </row>
        <row r="69">
          <cell r="E69" t="e">
            <v>#REF!</v>
          </cell>
          <cell r="F69">
            <v>0</v>
          </cell>
        </row>
        <row r="70">
          <cell r="E70" t="e">
            <v>#REF!</v>
          </cell>
          <cell r="F70">
            <v>0</v>
          </cell>
        </row>
        <row r="71">
          <cell r="E71" t="e">
            <v>#REF!</v>
          </cell>
          <cell r="F71">
            <v>0</v>
          </cell>
        </row>
        <row r="72">
          <cell r="E72" t="e">
            <v>#REF!</v>
          </cell>
          <cell r="F72">
            <v>0</v>
          </cell>
        </row>
        <row r="73">
          <cell r="E73" t="e">
            <v>#REF!</v>
          </cell>
          <cell r="F73">
            <v>0</v>
          </cell>
        </row>
        <row r="74">
          <cell r="E74" t="e">
            <v>#REF!</v>
          </cell>
          <cell r="F74">
            <v>0</v>
          </cell>
        </row>
        <row r="75">
          <cell r="E75" t="e">
            <v>#REF!</v>
          </cell>
          <cell r="F75">
            <v>0</v>
          </cell>
        </row>
        <row r="76">
          <cell r="E76" t="e">
            <v>#REF!</v>
          </cell>
          <cell r="F76">
            <v>0</v>
          </cell>
        </row>
        <row r="77">
          <cell r="E77" t="e">
            <v>#REF!</v>
          </cell>
          <cell r="F77">
            <v>0</v>
          </cell>
        </row>
        <row r="78">
          <cell r="E78" t="e">
            <v>#REF!</v>
          </cell>
          <cell r="F78">
            <v>0</v>
          </cell>
        </row>
        <row r="79">
          <cell r="E79" t="e">
            <v>#REF!</v>
          </cell>
          <cell r="F79">
            <v>0</v>
          </cell>
        </row>
        <row r="80">
          <cell r="E80" t="e">
            <v>#REF!</v>
          </cell>
          <cell r="F80">
            <v>0</v>
          </cell>
        </row>
        <row r="81">
          <cell r="E81" t="e">
            <v>#REF!</v>
          </cell>
          <cell r="F81">
            <v>0</v>
          </cell>
        </row>
      </sheetData>
      <sheetData sheetId="2">
        <row r="12">
          <cell r="A12">
            <v>4701</v>
          </cell>
          <cell r="B12" t="str">
            <v>CONTROLADOR OFICIAL</v>
          </cell>
          <cell r="C12" t="str">
            <v>HH</v>
          </cell>
          <cell r="E12">
            <v>3.83</v>
          </cell>
          <cell r="F12">
            <v>47</v>
          </cell>
        </row>
        <row r="13">
          <cell r="A13">
            <v>4702</v>
          </cell>
          <cell r="B13" t="str">
            <v>OFICIAL</v>
          </cell>
          <cell r="C13" t="str">
            <v>HH</v>
          </cell>
          <cell r="E13">
            <v>4.4000000000000004</v>
          </cell>
          <cell r="F13">
            <v>47</v>
          </cell>
        </row>
        <row r="14">
          <cell r="A14">
            <v>4703</v>
          </cell>
          <cell r="B14" t="str">
            <v>OPERARIO</v>
          </cell>
          <cell r="C14" t="str">
            <v>HH</v>
          </cell>
          <cell r="E14">
            <v>5.77</v>
          </cell>
          <cell r="F14">
            <v>47</v>
          </cell>
        </row>
        <row r="15">
          <cell r="A15">
            <v>4704</v>
          </cell>
          <cell r="B15" t="str">
            <v>PEON</v>
          </cell>
          <cell r="C15" t="str">
            <v>HH</v>
          </cell>
          <cell r="E15">
            <v>4.3</v>
          </cell>
          <cell r="F15">
            <v>47</v>
          </cell>
        </row>
        <row r="16">
          <cell r="A16">
            <v>4705</v>
          </cell>
          <cell r="B16" t="str">
            <v>PORTAMIRA</v>
          </cell>
          <cell r="C16" t="str">
            <v>HH</v>
          </cell>
          <cell r="E16">
            <v>1.25</v>
          </cell>
          <cell r="F16">
            <v>47</v>
          </cell>
        </row>
        <row r="17">
          <cell r="A17">
            <v>4706</v>
          </cell>
          <cell r="B17" t="str">
            <v>TOPOGRAFO</v>
          </cell>
          <cell r="C17" t="str">
            <v>HH</v>
          </cell>
          <cell r="E17">
            <v>4.22</v>
          </cell>
          <cell r="F17">
            <v>47</v>
          </cell>
        </row>
        <row r="39">
          <cell r="B39" t="str">
            <v>MATERIALES</v>
          </cell>
        </row>
        <row r="40">
          <cell r="A40">
            <v>2101</v>
          </cell>
          <cell r="B40" t="str">
            <v>CEMENTO PORTLAND TIPO I</v>
          </cell>
          <cell r="C40" t="str">
            <v>BLS</v>
          </cell>
          <cell r="E40">
            <v>12.5</v>
          </cell>
          <cell r="F40">
            <v>21</v>
          </cell>
        </row>
        <row r="41">
          <cell r="A41">
            <v>3701</v>
          </cell>
          <cell r="B41" t="str">
            <v>CORDEL</v>
          </cell>
          <cell r="C41" t="str">
            <v>M</v>
          </cell>
          <cell r="E41">
            <v>0.3</v>
          </cell>
          <cell r="F41">
            <v>37</v>
          </cell>
        </row>
        <row r="42">
          <cell r="A42">
            <v>2801</v>
          </cell>
          <cell r="B42" t="str">
            <v>DINAMITA</v>
          </cell>
          <cell r="C42" t="str">
            <v>CART</v>
          </cell>
          <cell r="E42">
            <v>0.69</v>
          </cell>
          <cell r="F42">
            <v>28</v>
          </cell>
        </row>
        <row r="43">
          <cell r="A43">
            <v>4301</v>
          </cell>
          <cell r="B43" t="str">
            <v>ESTACA</v>
          </cell>
          <cell r="C43" t="str">
            <v>UND</v>
          </cell>
          <cell r="E43">
            <v>0.8</v>
          </cell>
          <cell r="F43">
            <v>43</v>
          </cell>
        </row>
        <row r="44">
          <cell r="A44">
            <v>2701</v>
          </cell>
          <cell r="B44" t="str">
            <v>FULMINANTE</v>
          </cell>
          <cell r="C44" t="str">
            <v>PZA</v>
          </cell>
          <cell r="E44">
            <v>0.23</v>
          </cell>
          <cell r="F44">
            <v>27</v>
          </cell>
        </row>
        <row r="45">
          <cell r="A45">
            <v>2702</v>
          </cell>
          <cell r="B45" t="str">
            <v>GUIA DE SEGURIDAD</v>
          </cell>
          <cell r="C45" t="str">
            <v>M</v>
          </cell>
          <cell r="E45">
            <v>0.35</v>
          </cell>
          <cell r="F45">
            <v>27</v>
          </cell>
        </row>
        <row r="46">
          <cell r="A46">
            <v>5401</v>
          </cell>
          <cell r="B46" t="str">
            <v>PINTURA ESMALTE</v>
          </cell>
          <cell r="C46" t="str">
            <v>GLN</v>
          </cell>
          <cell r="E46">
            <v>34</v>
          </cell>
          <cell r="F46">
            <v>54</v>
          </cell>
        </row>
        <row r="47">
          <cell r="A47">
            <v>2901</v>
          </cell>
          <cell r="B47" t="str">
            <v>YESO</v>
          </cell>
          <cell r="C47" t="str">
            <v>KG</v>
          </cell>
          <cell r="E47">
            <v>1.18</v>
          </cell>
          <cell r="F47">
            <v>29</v>
          </cell>
        </row>
        <row r="48">
          <cell r="A48">
            <v>2802</v>
          </cell>
          <cell r="B48" t="str">
            <v>NITRATO DE AMONIO</v>
          </cell>
          <cell r="C48" t="str">
            <v>KG</v>
          </cell>
          <cell r="E48">
            <v>1.86</v>
          </cell>
          <cell r="F48">
            <v>28</v>
          </cell>
        </row>
        <row r="60">
          <cell r="B60" t="str">
            <v>MAQUINARIAS</v>
          </cell>
        </row>
        <row r="61">
          <cell r="A61">
            <v>4901</v>
          </cell>
          <cell r="B61" t="str">
            <v>CARGADOR FRONTAL S/L 3.5YD3 125HP</v>
          </cell>
          <cell r="C61" t="str">
            <v>HM</v>
          </cell>
          <cell r="E61">
            <v>126.52</v>
          </cell>
          <cell r="F61">
            <v>49</v>
          </cell>
        </row>
        <row r="62">
          <cell r="A62">
            <v>4902</v>
          </cell>
          <cell r="B62" t="str">
            <v>COMPRESORA NEUMATICA 87HP 250PCM</v>
          </cell>
          <cell r="C62" t="str">
            <v>HM</v>
          </cell>
          <cell r="E62">
            <v>45.74</v>
          </cell>
          <cell r="F62">
            <v>49</v>
          </cell>
        </row>
        <row r="63">
          <cell r="A63">
            <v>3702</v>
          </cell>
          <cell r="B63" t="str">
            <v>MIRAS Y JALONES</v>
          </cell>
          <cell r="C63" t="str">
            <v>HM</v>
          </cell>
          <cell r="E63">
            <v>2</v>
          </cell>
          <cell r="F63">
            <v>37</v>
          </cell>
        </row>
        <row r="64">
          <cell r="A64">
            <v>4903</v>
          </cell>
          <cell r="B64" t="str">
            <v>MARTILLO NEUMATICO</v>
          </cell>
          <cell r="C64" t="str">
            <v>HM</v>
          </cell>
          <cell r="E64">
            <v>8.44</v>
          </cell>
          <cell r="F64">
            <v>49</v>
          </cell>
        </row>
        <row r="65">
          <cell r="A65">
            <v>3001</v>
          </cell>
          <cell r="B65" t="str">
            <v>NIVEL TOPOGRAFICO</v>
          </cell>
          <cell r="C65" t="str">
            <v>HM</v>
          </cell>
          <cell r="E65">
            <v>4</v>
          </cell>
          <cell r="F65">
            <v>30</v>
          </cell>
        </row>
        <row r="66">
          <cell r="A66">
            <v>4904</v>
          </cell>
          <cell r="B66" t="str">
            <v>EXCAVADORA 115-165HP</v>
          </cell>
          <cell r="C66" t="str">
            <v>HM</v>
          </cell>
          <cell r="E66">
            <v>170.48</v>
          </cell>
          <cell r="F66">
            <v>49</v>
          </cell>
        </row>
        <row r="67">
          <cell r="A67">
            <v>3002</v>
          </cell>
          <cell r="B67" t="str">
            <v>TEOLODITO</v>
          </cell>
          <cell r="C67" t="str">
            <v>HM</v>
          </cell>
          <cell r="E67">
            <v>5.2</v>
          </cell>
          <cell r="F67">
            <v>30</v>
          </cell>
        </row>
        <row r="68">
          <cell r="A68">
            <v>4905</v>
          </cell>
          <cell r="B68" t="str">
            <v>TRACTOR 190-240HP</v>
          </cell>
          <cell r="C68" t="str">
            <v>HM</v>
          </cell>
          <cell r="E68">
            <v>188.85</v>
          </cell>
          <cell r="F68">
            <v>49</v>
          </cell>
        </row>
        <row r="69">
          <cell r="A69">
            <v>4801</v>
          </cell>
          <cell r="B69" t="str">
            <v>VOLQUETE 6X4M3 330HP</v>
          </cell>
          <cell r="C69" t="str">
            <v>HM</v>
          </cell>
          <cell r="E69">
            <v>145.05000000000001</v>
          </cell>
          <cell r="F69">
            <v>48</v>
          </cell>
        </row>
        <row r="70">
          <cell r="A70">
            <v>3703</v>
          </cell>
          <cell r="B70" t="str">
            <v>HERRAMIENTAS</v>
          </cell>
          <cell r="C70" t="str">
            <v>%MO</v>
          </cell>
          <cell r="E70">
            <v>1</v>
          </cell>
          <cell r="F70">
            <v>37</v>
          </cell>
        </row>
        <row r="71">
          <cell r="A71">
            <v>4906</v>
          </cell>
          <cell r="B71" t="str">
            <v>RETROEXCAVADORA</v>
          </cell>
          <cell r="C71" t="str">
            <v>HH</v>
          </cell>
          <cell r="E71">
            <v>170.48</v>
          </cell>
          <cell r="F71">
            <v>49</v>
          </cell>
        </row>
        <row r="72">
          <cell r="A72">
            <v>49</v>
          </cell>
          <cell r="B72" t="str">
            <v>MOVILIZACION DE EQUIPO</v>
          </cell>
          <cell r="C72" t="str">
            <v>GLB</v>
          </cell>
          <cell r="E72">
            <v>500</v>
          </cell>
          <cell r="F72">
            <v>49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nel Fotog"/>
      <sheetName val="01"/>
      <sheetName val="02"/>
      <sheetName val="03"/>
      <sheetName val="04"/>
      <sheetName val="06"/>
      <sheetName val="07"/>
      <sheetName val="08"/>
      <sheetName val="09"/>
      <sheetName val="10"/>
      <sheetName val="11"/>
      <sheetName val="13"/>
      <sheetName val="14"/>
      <sheetName val="15"/>
      <sheetName val="16"/>
      <sheetName val="17"/>
      <sheetName val="18"/>
      <sheetName val="20"/>
      <sheetName val="21"/>
      <sheetName val="22"/>
      <sheetName val="23"/>
      <sheetName val="25"/>
      <sheetName val="27"/>
      <sheetName val="30"/>
      <sheetName val="31"/>
      <sheetName val="RESUMEN JULIO 2015"/>
      <sheetName val="Met. F-001"/>
      <sheetName val="Met. MM"/>
      <sheetName val="Met. NP"/>
      <sheetName val="Met. TOTAL"/>
      <sheetName val="Hoja1"/>
      <sheetName val="CATALOGO"/>
      <sheetName val="Da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">
          <cell r="A1">
            <v>0</v>
          </cell>
        </row>
      </sheetData>
      <sheetData sheetId="27"/>
      <sheetData sheetId="28"/>
      <sheetData sheetId="29"/>
      <sheetData sheetId="30"/>
      <sheetData sheetId="31" refreshError="1"/>
      <sheetData sheetId="3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rado_BASE"/>
      <sheetName val="ACERO AGOSTO"/>
      <sheetName val="Metrado Corte"/>
      <sheetName val="Metrado ABRIL"/>
      <sheetName val="Metrado_octubre 2013"/>
      <sheetName val="Metrado_NOVIEMBRE 2013"/>
      <sheetName val="Metrado_DICIEMBRE 2013"/>
      <sheetName val="Metrado_ENERO_2014"/>
      <sheetName val="METRADOS_TOTALES"/>
      <sheetName val="Valorización general"/>
      <sheetName val="Met. F-001"/>
      <sheetName val="Met. MM."/>
      <sheetName val="Met. NP"/>
      <sheetName val="Valorización_deductivos"/>
      <sheetName val="CARATULA"/>
      <sheetName val="Control"/>
      <sheetName val="Informacion general"/>
      <sheetName val="Ejec_financiera"/>
      <sheetName val="INFOBRAS"/>
      <sheetName val="Cronograma "/>
      <sheetName val="S5"/>
      <sheetName val="Res. Valorización"/>
      <sheetName val="Resumen valorización"/>
      <sheetName val="Financiero"/>
      <sheetName val="Resumen almacen"/>
      <sheetName val="Equipo mecanico"/>
      <sheetName val="MANIFIESTO DE GASTOS"/>
      <sheetName val="Adicionar"/>
      <sheetName val="RES VAL MM 15-18"/>
      <sheetName val="RES VAL MOF 01 - 15"/>
      <sheetName val="RES VAL MOF 01 - 16"/>
      <sheetName val="RES VAL MOF 01 - 18"/>
      <sheetName val="Valorización_Exp_Téc"/>
      <sheetName val="METRADOS DIARIOS"/>
      <sheetName val="Curva S"/>
      <sheetName val="Histograma"/>
      <sheetName val="S6.2"/>
      <sheetName val="RES VAL MOF 02 - 18"/>
      <sheetName val="Valorización_Exp_Modf_02"/>
      <sheetName val="S6.3"/>
      <sheetName val="RES VAL MOF 02 - MM_MODF 01_18"/>
      <sheetName val="Valorización_Mayor_Met_Modf01"/>
      <sheetName val="RES VAL MOF 02 - MM_AD01_18"/>
      <sheetName val="Valorización_Mayor_Met_Adic01"/>
      <sheetName val="RES VAL MOF 02 - AD02_18"/>
      <sheetName val="Valorización_Part_Adic02"/>
      <sheetName val="Valorización_Deductivos_Modf 01"/>
      <sheetName val="SALDO VAL. _MATERIALES"/>
      <sheetName val="Valorización_mayores_metrados"/>
      <sheetName val="Valorización_PCN(1)"/>
      <sheetName val="Valorización_PCN(2)"/>
      <sheetName val="S7"/>
      <sheetName val="PLANILLA DE METRADOS"/>
      <sheetName val="Mov. Tierras"/>
      <sheetName val="S8"/>
      <sheetName val="C.D NOVIEMBRE"/>
      <sheetName val="G.G NOVIEMBRE"/>
      <sheetName val="G.I NOVIEMBRE"/>
      <sheetName val="Hoja1"/>
      <sheetName val="Hoja2"/>
      <sheetName val="S9"/>
      <sheetName val="Mov Diar. Almc."/>
      <sheetName val="S10.3"/>
      <sheetName val="S10.4"/>
      <sheetName val="S11"/>
      <sheetName val="VALORIZACION MAQUINARIA"/>
      <sheetName val="S11.1"/>
      <sheetName val="Cont. Maq."/>
      <sheetName val="Excavadora 324D - A"/>
      <sheetName val="Excavadora 324D (R)"/>
      <sheetName val="Excavadora 336D"/>
      <sheetName val="Vol. Blanco. 15 M3"/>
      <sheetName val="Vol. Scania EG510"/>
      <sheetName val="Motobomba 2&quot;"/>
      <sheetName val="Cama baja"/>
      <sheetName val="Excavadora 315-C"/>
      <sheetName val="Motobomba 4&quot;"/>
      <sheetName val="Carg.Front."/>
      <sheetName val="Vol. Scania II"/>
      <sheetName val="NIVEL"/>
      <sheetName val="Motobomba 4&quot; II"/>
      <sheetName val="Vol. nissan. 12 MDA"/>
      <sheetName val="Vol. MERCEDEZ BENZ"/>
      <sheetName val="Retroexcavadora"/>
      <sheetName val="Vol. Blanco. 10 M3"/>
      <sheetName val="COMPRENSORA"/>
      <sheetName val="MOTOPERFORADORA"/>
      <sheetName val="MOTONIVELADORA"/>
      <sheetName val="Vol. VOLWAGN. 12 MDA"/>
      <sheetName val="Vol. VOLWAGN. 15 MDA"/>
      <sheetName val="Vol. FORLAND. 15 MDP."/>
      <sheetName val="CAMIONETA 4X4 HILUX"/>
      <sheetName val="Tareo P.T."/>
      <sheetName val="Tareo P.O."/>
      <sheetName val="Panel fotográfico"/>
      <sheetName val="Relacion Asientos"/>
      <sheetName val="Met. TC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POLINOMI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"/>
      <sheetName val="Relacion de PU"/>
      <sheetName val="Relacion de INSUMOS"/>
      <sheetName val="Analisis de Precios"/>
      <sheetName val="POLINOMICA"/>
      <sheetName val="RECURSOS"/>
      <sheetName val="Datos Generales"/>
      <sheetName val="DATOS"/>
      <sheetName val="PLANILLA ARQ"/>
      <sheetName val="RESOLUCIONES"/>
    </sheetNames>
    <sheetDataSet>
      <sheetData sheetId="0" refreshError="1"/>
      <sheetData sheetId="1" refreshError="1"/>
      <sheetData sheetId="2" refreshError="1">
        <row r="12">
          <cell r="A12">
            <v>433005</v>
          </cell>
          <cell r="B12" t="str">
            <v>OFICINA,ALMACEN Y CASETA DE GUARDANIA</v>
          </cell>
          <cell r="C12" t="str">
            <v>M2</v>
          </cell>
          <cell r="E12">
            <v>70</v>
          </cell>
        </row>
        <row r="13">
          <cell r="A13">
            <v>320160</v>
          </cell>
          <cell r="B13" t="str">
            <v>MOVILIZACION DE EQUIPO</v>
          </cell>
          <cell r="C13" t="str">
            <v>GLB</v>
          </cell>
          <cell r="E13">
            <v>3200</v>
          </cell>
        </row>
        <row r="14">
          <cell r="A14">
            <v>22020</v>
          </cell>
          <cell r="B14" t="str">
            <v>CLAVOS DE CONSTRUCCION PROMEDIO</v>
          </cell>
          <cell r="C14" t="str">
            <v>KG</v>
          </cell>
          <cell r="E14">
            <v>2.12</v>
          </cell>
        </row>
        <row r="15">
          <cell r="A15">
            <v>21001</v>
          </cell>
          <cell r="B15" t="str">
            <v>ALAMBRE NEGRO #8</v>
          </cell>
          <cell r="C15" t="str">
            <v>KG</v>
          </cell>
          <cell r="E15">
            <v>2.0299999999999998</v>
          </cell>
        </row>
        <row r="16">
          <cell r="A16">
            <v>21002</v>
          </cell>
          <cell r="B16" t="str">
            <v>ALAMBRE NEGRO #16</v>
          </cell>
          <cell r="C16" t="str">
            <v>KG</v>
          </cell>
          <cell r="E16">
            <v>2.0299999999999998</v>
          </cell>
        </row>
        <row r="17">
          <cell r="A17">
            <v>22002</v>
          </cell>
          <cell r="B17" t="str">
            <v>CLAVOS CON CABEZA 11/2</v>
          </cell>
          <cell r="C17" t="str">
            <v>KG</v>
          </cell>
          <cell r="E17">
            <v>2.54</v>
          </cell>
        </row>
        <row r="18">
          <cell r="A18">
            <v>30110</v>
          </cell>
          <cell r="B18" t="str">
            <v>ACERO FIERRO CORRUGADO PROMEDIO</v>
          </cell>
          <cell r="C18" t="str">
            <v>KG</v>
          </cell>
          <cell r="E18">
            <v>1.23</v>
          </cell>
        </row>
        <row r="19">
          <cell r="A19">
            <v>40501</v>
          </cell>
          <cell r="B19" t="str">
            <v>ARENA GRUESA</v>
          </cell>
          <cell r="C19" t="str">
            <v>M3</v>
          </cell>
          <cell r="E19">
            <v>16.95</v>
          </cell>
        </row>
        <row r="20">
          <cell r="A20">
            <v>50510</v>
          </cell>
          <cell r="B20" t="str">
            <v>PIEDRA CHANCADA DE 1/2¨ Y 3/4¨</v>
          </cell>
          <cell r="C20" t="str">
            <v>M3</v>
          </cell>
          <cell r="E20">
            <v>42.38</v>
          </cell>
        </row>
        <row r="21">
          <cell r="A21">
            <v>210101</v>
          </cell>
          <cell r="B21" t="str">
            <v>CEMENTO PORTLAND TIPO I</v>
          </cell>
          <cell r="C21" t="str">
            <v>M3</v>
          </cell>
          <cell r="E21">
            <v>12.41</v>
          </cell>
        </row>
        <row r="22">
          <cell r="A22">
            <v>300554</v>
          </cell>
          <cell r="B22" t="str">
            <v>SIKADUR 52(INYECCION EPOXICA)</v>
          </cell>
          <cell r="C22" t="str">
            <v>KG</v>
          </cell>
          <cell r="E22">
            <v>12.41</v>
          </cell>
        </row>
        <row r="23">
          <cell r="A23">
            <v>300555</v>
          </cell>
          <cell r="B23" t="str">
            <v>SIKADUR 42(MORTERO EPOXICO)</v>
          </cell>
          <cell r="C23" t="str">
            <v>KG</v>
          </cell>
          <cell r="E23">
            <v>12.41</v>
          </cell>
        </row>
        <row r="24">
          <cell r="A24">
            <v>300556</v>
          </cell>
          <cell r="B24" t="str">
            <v>SIKADUR 32(PEGANTE DE C. DURO Y FRESCO)</v>
          </cell>
          <cell r="C24" t="str">
            <v>KG</v>
          </cell>
          <cell r="E24">
            <v>49.31</v>
          </cell>
        </row>
        <row r="25">
          <cell r="A25">
            <v>300557</v>
          </cell>
          <cell r="B25" t="str">
            <v>INTRAPLAST(ADITIVO EXPANSOR)</v>
          </cell>
          <cell r="C25" t="str">
            <v>KG</v>
          </cell>
          <cell r="E25">
            <v>2.98</v>
          </cell>
        </row>
        <row r="26">
          <cell r="A26">
            <v>300111</v>
          </cell>
          <cell r="B26" t="str">
            <v>CAL HIDRAULICA(30KG)</v>
          </cell>
          <cell r="C26" t="str">
            <v>BLS</v>
          </cell>
          <cell r="E26">
            <v>1</v>
          </cell>
        </row>
        <row r="27">
          <cell r="A27">
            <v>301010</v>
          </cell>
          <cell r="B27" t="str">
            <v>ELECTRODO TIPO 6012</v>
          </cell>
          <cell r="C27" t="str">
            <v>KG</v>
          </cell>
          <cell r="E27">
            <v>12.71</v>
          </cell>
        </row>
        <row r="28">
          <cell r="A28">
            <v>301011</v>
          </cell>
          <cell r="B28" t="str">
            <v>SOLDADURA TENACITO</v>
          </cell>
          <cell r="C28" t="str">
            <v>KG</v>
          </cell>
          <cell r="E28">
            <v>12.71</v>
          </cell>
        </row>
        <row r="29">
          <cell r="A29">
            <v>380101</v>
          </cell>
          <cell r="B29" t="str">
            <v>HORMIGON</v>
          </cell>
          <cell r="C29" t="str">
            <v>M3</v>
          </cell>
          <cell r="E29">
            <v>16.95</v>
          </cell>
        </row>
        <row r="30">
          <cell r="A30">
            <v>390128</v>
          </cell>
          <cell r="B30" t="str">
            <v>CORDEL</v>
          </cell>
          <cell r="C30" t="str">
            <v>ML</v>
          </cell>
          <cell r="E30">
            <v>1</v>
          </cell>
        </row>
        <row r="31">
          <cell r="A31">
            <v>496501</v>
          </cell>
          <cell r="B31" t="str">
            <v>AGUA</v>
          </cell>
          <cell r="C31" t="str">
            <v>M3</v>
          </cell>
          <cell r="E31">
            <v>8.48</v>
          </cell>
        </row>
        <row r="32">
          <cell r="A32">
            <v>430115</v>
          </cell>
          <cell r="B32" t="str">
            <v>MADERA ENCOFRADO</v>
          </cell>
          <cell r="C32" t="str">
            <v>P2</v>
          </cell>
          <cell r="E32">
            <v>2.12</v>
          </cell>
        </row>
        <row r="33">
          <cell r="A33">
            <v>431014</v>
          </cell>
          <cell r="B33" t="str">
            <v>MADERA TORNILLO PARA CARPINTERIA</v>
          </cell>
          <cell r="C33" t="str">
            <v>P2</v>
          </cell>
          <cell r="E33">
            <v>2.25</v>
          </cell>
        </row>
        <row r="34">
          <cell r="A34">
            <v>430102</v>
          </cell>
          <cell r="B34" t="str">
            <v>MADERA TORNILO-A</v>
          </cell>
          <cell r="C34" t="str">
            <v>P2</v>
          </cell>
          <cell r="E34">
            <v>2.12</v>
          </cell>
        </row>
        <row r="35">
          <cell r="A35">
            <v>430110</v>
          </cell>
          <cell r="B35" t="str">
            <v>MADERA PARA ANDAMIAJE</v>
          </cell>
          <cell r="C35" t="str">
            <v>P2</v>
          </cell>
          <cell r="E35">
            <v>2.12</v>
          </cell>
        </row>
        <row r="36">
          <cell r="A36">
            <v>430120</v>
          </cell>
          <cell r="B36" t="str">
            <v>REGLA DE MADERA</v>
          </cell>
          <cell r="C36" t="str">
            <v>P2</v>
          </cell>
          <cell r="E36">
            <v>3.22</v>
          </cell>
        </row>
        <row r="37">
          <cell r="A37">
            <v>542501</v>
          </cell>
          <cell r="B37" t="str">
            <v>OLEO MATE</v>
          </cell>
          <cell r="C37" t="str">
            <v>GAL</v>
          </cell>
          <cell r="E37">
            <v>39.26</v>
          </cell>
        </row>
        <row r="38">
          <cell r="A38">
            <v>440103</v>
          </cell>
          <cell r="B38" t="str">
            <v>TRIPLAY LUPUNA DE 6mm</v>
          </cell>
          <cell r="C38" t="str">
            <v>UND</v>
          </cell>
          <cell r="E38">
            <v>24.58</v>
          </cell>
        </row>
        <row r="39">
          <cell r="B39" t="str">
            <v>MANO DE OBRA</v>
          </cell>
        </row>
        <row r="40">
          <cell r="A40">
            <v>470501</v>
          </cell>
          <cell r="B40" t="str">
            <v>TOPOGRAFO</v>
          </cell>
          <cell r="C40" t="str">
            <v>HH</v>
          </cell>
          <cell r="E40">
            <v>8.57</v>
          </cell>
        </row>
        <row r="41">
          <cell r="A41">
            <v>470201</v>
          </cell>
          <cell r="B41" t="str">
            <v>OPERARIO</v>
          </cell>
          <cell r="C41" t="str">
            <v>HH</v>
          </cell>
          <cell r="E41">
            <v>8.57</v>
          </cell>
        </row>
        <row r="42">
          <cell r="A42">
            <v>470101</v>
          </cell>
          <cell r="B42" t="str">
            <v>CAPATAZ</v>
          </cell>
          <cell r="C42" t="str">
            <v>HH</v>
          </cell>
          <cell r="E42">
            <v>10.28</v>
          </cell>
        </row>
        <row r="43">
          <cell r="A43">
            <v>470301</v>
          </cell>
          <cell r="B43" t="str">
            <v>OFICIAL</v>
          </cell>
          <cell r="C43" t="str">
            <v>HH</v>
          </cell>
          <cell r="E43">
            <v>7.7</v>
          </cell>
        </row>
        <row r="44">
          <cell r="A44">
            <v>470401</v>
          </cell>
          <cell r="B44" t="str">
            <v>PEON</v>
          </cell>
          <cell r="C44" t="str">
            <v>HH</v>
          </cell>
          <cell r="E44">
            <v>6.87</v>
          </cell>
        </row>
        <row r="45">
          <cell r="B45" t="str">
            <v>EQUIPOS</v>
          </cell>
        </row>
        <row r="46">
          <cell r="A46">
            <v>490111</v>
          </cell>
          <cell r="B46" t="str">
            <v>NIVEL TOPOGRAFICO</v>
          </cell>
          <cell r="C46" t="str">
            <v>HM</v>
          </cell>
          <cell r="E46">
            <v>55</v>
          </cell>
        </row>
        <row r="47">
          <cell r="A47">
            <v>495003</v>
          </cell>
          <cell r="B47" t="str">
            <v>MEZCALDORA DE CONCRETO(TAMBOR) 7P3 ,18 HP</v>
          </cell>
          <cell r="C47" t="str">
            <v>HM</v>
          </cell>
          <cell r="E47">
            <v>15.26</v>
          </cell>
        </row>
        <row r="48">
          <cell r="A48">
            <v>495005</v>
          </cell>
          <cell r="B48" t="str">
            <v>MEZCALDORA DE CONCRETO(TAMBOR) 11P3, 22 HP</v>
          </cell>
          <cell r="C48" t="str">
            <v>HM</v>
          </cell>
          <cell r="E48">
            <v>15.26</v>
          </cell>
        </row>
        <row r="49">
          <cell r="A49">
            <v>495013</v>
          </cell>
          <cell r="B49" t="str">
            <v>VIBRADOR A GASOLINA 1 3/4¨ ,4 HP</v>
          </cell>
          <cell r="C49" t="str">
            <v>HM</v>
          </cell>
          <cell r="E49">
            <v>3.81</v>
          </cell>
        </row>
        <row r="50">
          <cell r="A50">
            <v>496501</v>
          </cell>
          <cell r="B50" t="str">
            <v>CAMION VOLQUETE 4X2,120/140 HP , 4 HP</v>
          </cell>
          <cell r="C50" t="str">
            <v>HM</v>
          </cell>
          <cell r="E50">
            <v>131.87</v>
          </cell>
        </row>
        <row r="51">
          <cell r="A51">
            <v>496505</v>
          </cell>
          <cell r="B51" t="str">
            <v>CAMION VOLQUETE 4X2,140/210 HP , 4 HP</v>
          </cell>
          <cell r="C51" t="str">
            <v>HM</v>
          </cell>
          <cell r="E51">
            <v>131.87</v>
          </cell>
        </row>
        <row r="52">
          <cell r="A52">
            <v>497512</v>
          </cell>
          <cell r="B52" t="str">
            <v>TEODOLITO Y MIRA</v>
          </cell>
          <cell r="C52" t="str">
            <v>HM</v>
          </cell>
          <cell r="E52">
            <v>1</v>
          </cell>
        </row>
        <row r="53">
          <cell r="A53">
            <v>496602</v>
          </cell>
          <cell r="B53" t="str">
            <v>CAMIONETA PICKUP 4X4</v>
          </cell>
          <cell r="C53" t="str">
            <v>HM</v>
          </cell>
          <cell r="E53">
            <v>38.14</v>
          </cell>
        </row>
        <row r="54">
          <cell r="A54">
            <v>499002</v>
          </cell>
          <cell r="B54" t="str">
            <v>WINCHA DE 100mt</v>
          </cell>
          <cell r="C54" t="str">
            <v>PZA</v>
          </cell>
          <cell r="E54">
            <v>10</v>
          </cell>
        </row>
        <row r="56">
          <cell r="B56" t="str">
            <v>HERRAMIENTAS</v>
          </cell>
        </row>
        <row r="57">
          <cell r="A57">
            <v>370000</v>
          </cell>
          <cell r="B57" t="str">
            <v>HERRAMIENTAS %  MANO DE OBRA</v>
          </cell>
          <cell r="C57" t="str">
            <v>%MO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CU"/>
      <sheetName val="PRESUPUESTO"/>
      <sheetName val="CICLO VOLQ"/>
      <sheetName val="RELACION INSUMOS"/>
      <sheetName val="CRONOGRAMA"/>
      <sheetName val="NTM"/>
      <sheetName val="Datos"/>
      <sheetName val="Reaj. (CHAL.)"/>
      <sheetName val="Met. F-001"/>
    </sheetNames>
    <sheetDataSet>
      <sheetData sheetId="0"/>
      <sheetData sheetId="1">
        <row r="3">
          <cell r="A3" t="str">
            <v>ACTIVIDAD</v>
          </cell>
        </row>
      </sheetData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CONTROL"/>
      <sheetName val="F-1 INF ACT."/>
      <sheetName val="F-2 INF GEN"/>
      <sheetName val="F-3 ASP TEC-ADM"/>
      <sheetName val="F-4 ASP FINAN"/>
      <sheetName val="F-5 Control-T-C-A "/>
      <sheetName val="F-6 CRON AVAN.VAL"/>
      <sheetName val="F-7 RES VAL"/>
      <sheetName val="RES val 1"/>
      <sheetName val="F-7A-RES-V-CD"/>
      <sheetName val="F-8 GRAF-PROG-EJEC"/>
      <sheetName val="F-9 VAL OBR"/>
      <sheetName val="F-10,F-11 VAL AD"/>
      <sheetName val="F-13Met. Diario"/>
      <sheetName val="F-13A -Metr. D. MM y PN"/>
      <sheetName val="F-15 RES GAS MEN"/>
      <sheetName val="F-16 RES.EJEC.FIN TOTAL"/>
      <sheetName val="F-17 RES FIN 2016"/>
      <sheetName val="M-G-ENERO 2016   "/>
      <sheetName val="M-G-FEBRERO 2016    "/>
      <sheetName val="F-18 RES.FIN.2015"/>
      <sheetName val="M-G-OCTUBRE 2015"/>
      <sheetName val="M-G-NOVIEMBRE 2015 "/>
      <sheetName val="M-G-DICIEMBRE 2015  "/>
      <sheetName val="F-22 Seguridad"/>
      <sheetName val=" F-24 Fotografias Obra "/>
      <sheetName val="F-26 CD 1"/>
      <sheetName val="Adicionar"/>
      <sheetName val="Plla_Pers"/>
      <sheetName val="Tareo P.T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3">
          <cell r="C13" t="str">
            <v>ESTRUCTURAS</v>
          </cell>
          <cell r="D13">
            <v>0</v>
          </cell>
          <cell r="E13">
            <v>0</v>
          </cell>
          <cell r="F13">
            <v>0</v>
          </cell>
          <cell r="G13">
            <v>189385.61440000002</v>
          </cell>
          <cell r="H13">
            <v>0</v>
          </cell>
          <cell r="I13">
            <v>99365.186612500009</v>
          </cell>
          <cell r="J13">
            <v>0</v>
          </cell>
          <cell r="K13">
            <v>0</v>
          </cell>
          <cell r="L13">
            <v>39117.692317020003</v>
          </cell>
          <cell r="M13">
            <v>0</v>
          </cell>
          <cell r="N13">
            <v>0</v>
          </cell>
          <cell r="O13">
            <v>138482.87892952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</row>
        <row r="14">
          <cell r="C14" t="str">
            <v xml:space="preserve">   OBRAS PRELIMINARES</v>
          </cell>
          <cell r="D14">
            <v>0</v>
          </cell>
          <cell r="E14">
            <v>0</v>
          </cell>
          <cell r="F14">
            <v>0</v>
          </cell>
          <cell r="G14">
            <v>5620.3959999999988</v>
          </cell>
          <cell r="H14">
            <v>0</v>
          </cell>
          <cell r="I14">
            <v>4866.5139999999992</v>
          </cell>
          <cell r="J14">
            <v>0</v>
          </cell>
          <cell r="K14">
            <v>0</v>
          </cell>
          <cell r="L14">
            <v>310.19400000000002</v>
          </cell>
          <cell r="M14">
            <v>0</v>
          </cell>
          <cell r="N14">
            <v>0</v>
          </cell>
          <cell r="O14">
            <v>5176.7079999999996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C15" t="str">
            <v xml:space="preserve">      CARTEL DE IDENTIFICACION DE LA OBRA DE 3.60 X 2.40 M</v>
          </cell>
          <cell r="D15" t="str">
            <v>und</v>
          </cell>
          <cell r="E15">
            <v>1</v>
          </cell>
          <cell r="F15">
            <v>586.17999999999995</v>
          </cell>
          <cell r="G15">
            <v>586.17999999999995</v>
          </cell>
          <cell r="H15">
            <v>1</v>
          </cell>
          <cell r="I15">
            <v>586.17999999999995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1</v>
          </cell>
          <cell r="O15">
            <v>586.17999999999995</v>
          </cell>
          <cell r="P15">
            <v>1</v>
          </cell>
          <cell r="Q15">
            <v>0</v>
          </cell>
          <cell r="R15">
            <v>0</v>
          </cell>
          <cell r="S15">
            <v>0</v>
          </cell>
        </row>
        <row r="16">
          <cell r="C16" t="str">
            <v xml:space="preserve">      ALMACEN Y OFICINAS</v>
          </cell>
          <cell r="D16" t="str">
            <v>m2</v>
          </cell>
          <cell r="E16">
            <v>40</v>
          </cell>
          <cell r="F16">
            <v>77.400000000000006</v>
          </cell>
          <cell r="G16">
            <v>3096</v>
          </cell>
          <cell r="H16">
            <v>40</v>
          </cell>
          <cell r="I16">
            <v>3096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N16">
            <v>40</v>
          </cell>
          <cell r="O16">
            <v>3096</v>
          </cell>
          <cell r="P16">
            <v>1</v>
          </cell>
          <cell r="Q16">
            <v>0</v>
          </cell>
          <cell r="R16">
            <v>0</v>
          </cell>
          <cell r="S16">
            <v>0</v>
          </cell>
        </row>
        <row r="17">
          <cell r="C17" t="str">
            <v xml:space="preserve">      LIMPIEZA DE TERRENO MANUAL</v>
          </cell>
          <cell r="D17" t="str">
            <v>m2</v>
          </cell>
          <cell r="E17">
            <v>194.6</v>
          </cell>
          <cell r="F17">
            <v>0.91</v>
          </cell>
          <cell r="G17">
            <v>177.08600000000001</v>
          </cell>
          <cell r="H17">
            <v>194.6</v>
          </cell>
          <cell r="I17">
            <v>177.08600000000001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194.6</v>
          </cell>
          <cell r="O17">
            <v>177.08600000000001</v>
          </cell>
          <cell r="P17">
            <v>1</v>
          </cell>
          <cell r="Q17">
            <v>0</v>
          </cell>
          <cell r="R17">
            <v>0</v>
          </cell>
          <cell r="S17">
            <v>0</v>
          </cell>
        </row>
        <row r="18">
          <cell r="C18" t="str">
            <v xml:space="preserve">      TRAZO NIVELES Y REPLANTEO </v>
          </cell>
          <cell r="D18" t="str">
            <v>m2</v>
          </cell>
          <cell r="E18">
            <v>194.6</v>
          </cell>
          <cell r="F18">
            <v>2.21</v>
          </cell>
          <cell r="G18">
            <v>430.06599999999997</v>
          </cell>
          <cell r="H18">
            <v>194.6</v>
          </cell>
          <cell r="I18">
            <v>430.06599999999997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194.6</v>
          </cell>
          <cell r="O18">
            <v>430.06599999999997</v>
          </cell>
          <cell r="P18">
            <v>1</v>
          </cell>
          <cell r="Q18">
            <v>0</v>
          </cell>
          <cell r="R18">
            <v>0</v>
          </cell>
          <cell r="S18">
            <v>0</v>
          </cell>
        </row>
        <row r="19">
          <cell r="C19" t="str">
            <v xml:space="preserve">      TRAZO NIVELES Y REPLANTEO DURANTE EL PROCESO DE OBRA</v>
          </cell>
          <cell r="D19" t="str">
            <v>m2</v>
          </cell>
          <cell r="E19">
            <v>583.79999999999995</v>
          </cell>
          <cell r="F19">
            <v>2.2799999999999998</v>
          </cell>
          <cell r="G19">
            <v>1331.0639999999999</v>
          </cell>
          <cell r="H19">
            <v>253.14999999999998</v>
          </cell>
          <cell r="I19">
            <v>577.1819999999999</v>
          </cell>
          <cell r="J19">
            <v>0.43362452894826992</v>
          </cell>
          <cell r="K19">
            <v>136.05000000000001</v>
          </cell>
          <cell r="L19">
            <v>310.19400000000002</v>
          </cell>
          <cell r="M19">
            <v>0.23304213771839674</v>
          </cell>
          <cell r="N19">
            <v>389.2</v>
          </cell>
          <cell r="O19">
            <v>887.37599999999986</v>
          </cell>
          <cell r="P19">
            <v>0.66666666666666663</v>
          </cell>
          <cell r="Q19">
            <v>194.59999999999997</v>
          </cell>
          <cell r="R19">
            <v>443.68799999999987</v>
          </cell>
          <cell r="S19">
            <v>0.33333333333333331</v>
          </cell>
        </row>
        <row r="20">
          <cell r="C20" t="str">
            <v xml:space="preserve">   MOVIMIENTO DE TIERRAS</v>
          </cell>
          <cell r="D20">
            <v>0</v>
          </cell>
          <cell r="E20">
            <v>0</v>
          </cell>
          <cell r="F20">
            <v>0</v>
          </cell>
          <cell r="G20">
            <v>12504.5137</v>
          </cell>
          <cell r="H20">
            <v>0</v>
          </cell>
          <cell r="I20">
            <v>10854.489179999999</v>
          </cell>
          <cell r="J20">
            <v>0</v>
          </cell>
          <cell r="K20">
            <v>0</v>
          </cell>
          <cell r="L20">
            <v>889.59879999999998</v>
          </cell>
          <cell r="M20">
            <v>0</v>
          </cell>
          <cell r="N20">
            <v>0</v>
          </cell>
          <cell r="O20">
            <v>11744.08798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C21" t="str">
            <v xml:space="preserve">      EXCAVACION MANUAL</v>
          </cell>
          <cell r="D21" t="str">
            <v>m3</v>
          </cell>
          <cell r="E21">
            <v>98.13</v>
          </cell>
          <cell r="F21">
            <v>14.44</v>
          </cell>
          <cell r="G21">
            <v>1416.9971999999998</v>
          </cell>
          <cell r="H21">
            <v>98.13</v>
          </cell>
          <cell r="I21">
            <v>1416.9971999999998</v>
          </cell>
          <cell r="J21">
            <v>1</v>
          </cell>
          <cell r="K21">
            <v>0</v>
          </cell>
          <cell r="L21">
            <v>0</v>
          </cell>
          <cell r="M21">
            <v>0</v>
          </cell>
          <cell r="N21">
            <v>98.13</v>
          </cell>
          <cell r="O21">
            <v>1416.9971999999998</v>
          </cell>
          <cell r="P21">
            <v>1</v>
          </cell>
          <cell r="Q21">
            <v>0</v>
          </cell>
          <cell r="R21">
            <v>0</v>
          </cell>
          <cell r="S21">
            <v>0</v>
          </cell>
        </row>
        <row r="22">
          <cell r="C22" t="str">
            <v xml:space="preserve">      RELLENO COMPACTADO MANUAL- CON MATERIAL DE PRESTAMO</v>
          </cell>
          <cell r="D22" t="str">
            <v>m3</v>
          </cell>
          <cell r="E22">
            <v>81.84</v>
          </cell>
          <cell r="F22">
            <v>92.86</v>
          </cell>
          <cell r="G22">
            <v>7599.6624000000002</v>
          </cell>
          <cell r="H22">
            <v>72.257999999999996</v>
          </cell>
          <cell r="I22">
            <v>6709.8778799999991</v>
          </cell>
          <cell r="J22">
            <v>0.88291788856304976</v>
          </cell>
          <cell r="K22">
            <v>9.58</v>
          </cell>
          <cell r="L22">
            <v>889.59879999999998</v>
          </cell>
          <cell r="M22">
            <v>0.11705767350928641</v>
          </cell>
          <cell r="N22">
            <v>81.837999999999994</v>
          </cell>
          <cell r="O22">
            <v>7599.4766799999998</v>
          </cell>
          <cell r="P22">
            <v>0.99997556207233618</v>
          </cell>
          <cell r="Q22">
            <v>2.0000000000095497E-3</v>
          </cell>
          <cell r="R22">
            <v>0.18572000000088679</v>
          </cell>
          <cell r="S22">
            <v>2.4437927663850803E-5</v>
          </cell>
        </row>
        <row r="23">
          <cell r="C23" t="str">
            <v xml:space="preserve">      EXCAVACION A MAQUINA</v>
          </cell>
          <cell r="D23" t="str">
            <v>m3</v>
          </cell>
          <cell r="E23">
            <v>68.63</v>
          </cell>
          <cell r="F23">
            <v>14.41</v>
          </cell>
          <cell r="G23">
            <v>988.95829999999989</v>
          </cell>
          <cell r="H23">
            <v>68.63</v>
          </cell>
          <cell r="I23">
            <v>988.95829999999989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68.63</v>
          </cell>
          <cell r="O23">
            <v>988.95829999999989</v>
          </cell>
          <cell r="P23">
            <v>1</v>
          </cell>
          <cell r="Q23">
            <v>0</v>
          </cell>
          <cell r="R23">
            <v>0</v>
          </cell>
          <cell r="S23">
            <v>0</v>
          </cell>
        </row>
        <row r="24">
          <cell r="C24" t="str">
            <v xml:space="preserve">      ELIMINACION DE MATERIAL EXCEDENTE HASTA  D=100MTS</v>
          </cell>
          <cell r="D24" t="str">
            <v>m3</v>
          </cell>
          <cell r="E24">
            <v>216.79</v>
          </cell>
          <cell r="F24">
            <v>8.02</v>
          </cell>
          <cell r="G24">
            <v>1738.6557999999998</v>
          </cell>
          <cell r="H24">
            <v>216.79</v>
          </cell>
          <cell r="I24">
            <v>1738.6557999999998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216.79</v>
          </cell>
          <cell r="O24">
            <v>1738.6557999999998</v>
          </cell>
          <cell r="P24">
            <v>1</v>
          </cell>
          <cell r="Q24">
            <v>0</v>
          </cell>
          <cell r="R24">
            <v>0</v>
          </cell>
          <cell r="S24">
            <v>0</v>
          </cell>
        </row>
        <row r="25">
          <cell r="C25" t="str">
            <v xml:space="preserve">      NIVELACION INTERIOR Y APISONADO FINAL DEL TERRENO PREVIO AL PISO</v>
          </cell>
          <cell r="D25" t="str">
            <v>m2</v>
          </cell>
          <cell r="E25">
            <v>172</v>
          </cell>
          <cell r="F25">
            <v>4.42</v>
          </cell>
          <cell r="G25">
            <v>760.24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172</v>
          </cell>
          <cell r="R25">
            <v>760.24</v>
          </cell>
          <cell r="S25">
            <v>1</v>
          </cell>
        </row>
        <row r="26">
          <cell r="C26" t="str">
            <v xml:space="preserve">   CONCRETO SIMPLE</v>
          </cell>
          <cell r="D26">
            <v>0</v>
          </cell>
          <cell r="E26">
            <v>0</v>
          </cell>
          <cell r="F26">
            <v>0</v>
          </cell>
          <cell r="G26">
            <v>9580.1440000000002</v>
          </cell>
          <cell r="H26">
            <v>0</v>
          </cell>
          <cell r="I26">
            <v>3983.7158999999997</v>
          </cell>
          <cell r="J26">
            <v>0</v>
          </cell>
          <cell r="K26">
            <v>0</v>
          </cell>
          <cell r="L26">
            <v>1268.0531000000001</v>
          </cell>
          <cell r="M26">
            <v>0</v>
          </cell>
          <cell r="N26">
            <v>0</v>
          </cell>
          <cell r="O26">
            <v>5251.7689999999993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C27" t="str">
            <v xml:space="preserve">      SOLADO  MEZCLA 1:12 CEMENTO-HORMIGON e=0.10</v>
          </cell>
          <cell r="D27" t="str">
            <v>m2</v>
          </cell>
          <cell r="E27">
            <v>46.68</v>
          </cell>
          <cell r="F27">
            <v>23.88</v>
          </cell>
          <cell r="G27">
            <v>1114.7184</v>
          </cell>
          <cell r="H27">
            <v>13.184999999999999</v>
          </cell>
          <cell r="I27">
            <v>314.85779999999994</v>
          </cell>
          <cell r="J27">
            <v>0.28245501285347041</v>
          </cell>
          <cell r="K27">
            <v>0</v>
          </cell>
          <cell r="L27">
            <v>0</v>
          </cell>
          <cell r="M27">
            <v>0</v>
          </cell>
          <cell r="N27">
            <v>13.184999999999999</v>
          </cell>
          <cell r="O27">
            <v>314.85779999999994</v>
          </cell>
          <cell r="P27">
            <v>0.28245501285347041</v>
          </cell>
          <cell r="Q27">
            <v>33.495000000000005</v>
          </cell>
          <cell r="R27">
            <v>799.86060000000009</v>
          </cell>
          <cell r="S27">
            <v>0.7175449871465297</v>
          </cell>
        </row>
        <row r="28">
          <cell r="C28" t="str">
            <v xml:space="preserve">      CONCRETO SOBRECIMIENTO DE 1:8 CEM-HOR 25% P.M. ANCHO=0.15 M</v>
          </cell>
          <cell r="D28" t="str">
            <v>m3</v>
          </cell>
          <cell r="E28">
            <v>8.8699999999999992</v>
          </cell>
          <cell r="F28">
            <v>325</v>
          </cell>
          <cell r="G28">
            <v>2882.7499999999995</v>
          </cell>
          <cell r="H28">
            <v>6.5924999999999994</v>
          </cell>
          <cell r="I28">
            <v>2142.5625</v>
          </cell>
          <cell r="J28">
            <v>0.74323562570462243</v>
          </cell>
          <cell r="K28">
            <v>2.2774999999999999</v>
          </cell>
          <cell r="L28">
            <v>740.1875</v>
          </cell>
          <cell r="M28">
            <v>0.25676437429537774</v>
          </cell>
          <cell r="N28">
            <v>8.8699999999999992</v>
          </cell>
          <cell r="O28">
            <v>2882.7499999999995</v>
          </cell>
          <cell r="P28">
            <v>1</v>
          </cell>
          <cell r="Q28">
            <v>0</v>
          </cell>
          <cell r="R28">
            <v>0</v>
          </cell>
          <cell r="S28">
            <v>0</v>
          </cell>
        </row>
        <row r="29">
          <cell r="C29" t="str">
            <v xml:space="preserve">      ENCOFRADO Y DESENCOFRADO NORMAL PARA SOBRECIMIENTO DE 0.30 A 0.60 M</v>
          </cell>
          <cell r="D29" t="str">
            <v>m2</v>
          </cell>
          <cell r="E29">
            <v>70.98</v>
          </cell>
          <cell r="F29">
            <v>28.94</v>
          </cell>
          <cell r="G29">
            <v>2054.1612</v>
          </cell>
          <cell r="H29">
            <v>52.739999999999995</v>
          </cell>
          <cell r="I29">
            <v>1526.2955999999999</v>
          </cell>
          <cell r="J29">
            <v>0.74302620456466606</v>
          </cell>
          <cell r="K29">
            <v>18.240000000000002</v>
          </cell>
          <cell r="L29">
            <v>527.86560000000009</v>
          </cell>
          <cell r="M29">
            <v>0.25697379543533394</v>
          </cell>
          <cell r="N29">
            <v>70.97999999999999</v>
          </cell>
          <cell r="O29">
            <v>2054.1612</v>
          </cell>
          <cell r="P29">
            <v>1</v>
          </cell>
          <cell r="Q29">
            <v>0</v>
          </cell>
          <cell r="R29">
            <v>0</v>
          </cell>
          <cell r="S29">
            <v>0</v>
          </cell>
        </row>
        <row r="30">
          <cell r="C30" t="str">
            <v xml:space="preserve">      CONCRETO FC=175 KG/CM2</v>
          </cell>
          <cell r="D30" t="str">
            <v>m3</v>
          </cell>
          <cell r="E30">
            <v>8.08</v>
          </cell>
          <cell r="F30">
            <v>409.19</v>
          </cell>
          <cell r="G30">
            <v>3306.2552000000001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8.08</v>
          </cell>
          <cell r="R30">
            <v>3306.2552000000001</v>
          </cell>
          <cell r="S30">
            <v>1</v>
          </cell>
        </row>
        <row r="31">
          <cell r="C31" t="str">
            <v xml:space="preserve">      ENCOFRADO Y DESENCOFRADO NORMAL PARA FALSA COLUMNA</v>
          </cell>
          <cell r="D31" t="str">
            <v>m2</v>
          </cell>
          <cell r="E31">
            <v>7.68</v>
          </cell>
          <cell r="F31">
            <v>28.94</v>
          </cell>
          <cell r="G31">
            <v>222.25919999999999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7.68</v>
          </cell>
          <cell r="R31">
            <v>222.25919999999999</v>
          </cell>
          <cell r="S31">
            <v>1</v>
          </cell>
        </row>
        <row r="32">
          <cell r="C32" t="str">
            <v xml:space="preserve">   CONCRETO ARMADO</v>
          </cell>
          <cell r="D32">
            <v>0</v>
          </cell>
          <cell r="E32">
            <v>0</v>
          </cell>
          <cell r="F32">
            <v>0</v>
          </cell>
          <cell r="G32">
            <v>111600.85460000002</v>
          </cell>
          <cell r="H32">
            <v>0</v>
          </cell>
          <cell r="I32">
            <v>79660.467532500013</v>
          </cell>
          <cell r="J32">
            <v>0</v>
          </cell>
          <cell r="K32">
            <v>0</v>
          </cell>
          <cell r="L32">
            <v>21758.956417020003</v>
          </cell>
          <cell r="M32">
            <v>0</v>
          </cell>
          <cell r="N32">
            <v>0</v>
          </cell>
          <cell r="O32">
            <v>101419.42394952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</row>
        <row r="33">
          <cell r="C33" t="str">
            <v xml:space="preserve">      ZAPATAS </v>
          </cell>
          <cell r="D33">
            <v>0</v>
          </cell>
          <cell r="E33">
            <v>0</v>
          </cell>
          <cell r="F33">
            <v>0</v>
          </cell>
          <cell r="G33">
            <v>11332.449400000001</v>
          </cell>
          <cell r="H33">
            <v>0</v>
          </cell>
          <cell r="I33">
            <v>10135.589400000001</v>
          </cell>
          <cell r="J33">
            <v>0</v>
          </cell>
          <cell r="K33">
            <v>0</v>
          </cell>
          <cell r="L33">
            <v>1196.8600000000006</v>
          </cell>
          <cell r="M33">
            <v>0</v>
          </cell>
          <cell r="N33">
            <v>0</v>
          </cell>
          <cell r="O33">
            <v>11332.449400000001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C34" t="str">
            <v xml:space="preserve">         CONCRETO PARA ZAPATAS  FC=210 KG/CM2</v>
          </cell>
          <cell r="D34" t="str">
            <v>m3</v>
          </cell>
          <cell r="E34">
            <v>22.03</v>
          </cell>
          <cell r="F34">
            <v>412</v>
          </cell>
          <cell r="G34">
            <v>9076.36</v>
          </cell>
          <cell r="H34">
            <v>19.125</v>
          </cell>
          <cell r="I34">
            <v>7879.5</v>
          </cell>
          <cell r="J34">
            <v>0.86813436223331819</v>
          </cell>
          <cell r="K34">
            <v>2.9050000000000011</v>
          </cell>
          <cell r="L34">
            <v>1196.8600000000006</v>
          </cell>
          <cell r="M34">
            <v>0.13186563776668186</v>
          </cell>
          <cell r="N34">
            <v>22.03</v>
          </cell>
          <cell r="O34">
            <v>9076.36</v>
          </cell>
          <cell r="P34">
            <v>1</v>
          </cell>
          <cell r="Q34">
            <v>0</v>
          </cell>
          <cell r="R34">
            <v>0</v>
          </cell>
          <cell r="S34">
            <v>0</v>
          </cell>
        </row>
        <row r="35">
          <cell r="C35" t="str">
            <v xml:space="preserve">         ACERO PARA ZAPATAS FY= 4200 KG/CM2</v>
          </cell>
          <cell r="D35" t="str">
            <v>kg</v>
          </cell>
          <cell r="E35">
            <v>453.03</v>
          </cell>
          <cell r="F35">
            <v>4.9800000000000004</v>
          </cell>
          <cell r="G35">
            <v>2256.0893999999998</v>
          </cell>
          <cell r="H35">
            <v>453.03</v>
          </cell>
          <cell r="I35">
            <v>2256.0893999999998</v>
          </cell>
          <cell r="J35">
            <v>1</v>
          </cell>
          <cell r="K35">
            <v>0</v>
          </cell>
          <cell r="L35">
            <v>0</v>
          </cell>
          <cell r="M35">
            <v>0</v>
          </cell>
          <cell r="N35">
            <v>453.03</v>
          </cell>
          <cell r="O35">
            <v>2256.0893999999998</v>
          </cell>
          <cell r="P35">
            <v>1</v>
          </cell>
          <cell r="Q35">
            <v>0</v>
          </cell>
          <cell r="R35">
            <v>0</v>
          </cell>
          <cell r="S35">
            <v>0</v>
          </cell>
        </row>
        <row r="36">
          <cell r="C36" t="str">
            <v xml:space="preserve">      COLUMNAS</v>
          </cell>
          <cell r="D36">
            <v>0</v>
          </cell>
          <cell r="E36">
            <v>0</v>
          </cell>
          <cell r="F36">
            <v>0</v>
          </cell>
          <cell r="G36">
            <v>26177.7402</v>
          </cell>
          <cell r="H36">
            <v>0</v>
          </cell>
          <cell r="I36">
            <v>23254.557868740001</v>
          </cell>
          <cell r="J36">
            <v>0</v>
          </cell>
          <cell r="K36">
            <v>0</v>
          </cell>
          <cell r="L36">
            <v>2528.7663312599998</v>
          </cell>
          <cell r="M36">
            <v>0</v>
          </cell>
          <cell r="N36">
            <v>0</v>
          </cell>
          <cell r="O36">
            <v>25783.324199999999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</row>
        <row r="37">
          <cell r="C37" t="str">
            <v xml:space="preserve">         CONCRETO PARA COLUMNA  FC=210 KG/CM2</v>
          </cell>
          <cell r="D37" t="str">
            <v>m3</v>
          </cell>
          <cell r="E37">
            <v>12.65</v>
          </cell>
          <cell r="F37">
            <v>426.34</v>
          </cell>
          <cell r="G37">
            <v>5393.201</v>
          </cell>
          <cell r="H37">
            <v>11.73</v>
          </cell>
          <cell r="I37">
            <v>5000.9682000000003</v>
          </cell>
          <cell r="J37">
            <v>0.92727272727272736</v>
          </cell>
          <cell r="K37">
            <v>0.91999999999999993</v>
          </cell>
          <cell r="L37">
            <v>392.23279999999994</v>
          </cell>
          <cell r="M37">
            <v>7.272727272727271E-2</v>
          </cell>
          <cell r="N37">
            <v>12.65</v>
          </cell>
          <cell r="O37">
            <v>5393.201</v>
          </cell>
          <cell r="P37">
            <v>1</v>
          </cell>
          <cell r="Q37">
            <v>0</v>
          </cell>
          <cell r="R37">
            <v>0</v>
          </cell>
          <cell r="S37">
            <v>0</v>
          </cell>
        </row>
        <row r="38">
          <cell r="C38" t="str">
            <v xml:space="preserve">         ENCOFRADO Y DESENCOFRADO PARA COLUMNAS</v>
          </cell>
          <cell r="D38" t="str">
            <v>m2</v>
          </cell>
          <cell r="E38">
            <v>164.48</v>
          </cell>
          <cell r="F38">
            <v>37.43</v>
          </cell>
          <cell r="G38">
            <v>6156.4863999999998</v>
          </cell>
          <cell r="H38">
            <v>152.49</v>
          </cell>
          <cell r="I38">
            <v>5707.7007000000003</v>
          </cell>
          <cell r="J38">
            <v>0.92710359922178998</v>
          </cell>
          <cell r="K38">
            <v>11.989999999999981</v>
          </cell>
          <cell r="L38">
            <v>448.78569999999928</v>
          </cell>
          <cell r="M38">
            <v>7.2896400778209997E-2</v>
          </cell>
          <cell r="N38">
            <v>164.48</v>
          </cell>
          <cell r="O38">
            <v>6156.4863999999998</v>
          </cell>
          <cell r="P38">
            <v>1</v>
          </cell>
          <cell r="Q38">
            <v>0</v>
          </cell>
          <cell r="R38">
            <v>0</v>
          </cell>
          <cell r="S38">
            <v>0</v>
          </cell>
        </row>
        <row r="39">
          <cell r="C39" t="str">
            <v xml:space="preserve">         ACERO ESTRUCTURAL FY= 4200 KG/CM2</v>
          </cell>
          <cell r="D39" t="str">
            <v>kg</v>
          </cell>
          <cell r="E39">
            <v>2937.36</v>
          </cell>
          <cell r="F39">
            <v>4.9800000000000004</v>
          </cell>
          <cell r="G39">
            <v>14628.052800000001</v>
          </cell>
          <cell r="H39">
            <v>2519.254813</v>
          </cell>
          <cell r="I39">
            <v>12545.888968740001</v>
          </cell>
          <cell r="J39">
            <v>0.85765953543317808</v>
          </cell>
          <cell r="K39">
            <v>338.90518700000007</v>
          </cell>
          <cell r="L39">
            <v>1687.7478312600006</v>
          </cell>
          <cell r="M39">
            <v>0.11537747739466735</v>
          </cell>
          <cell r="N39">
            <v>2858.16</v>
          </cell>
          <cell r="O39">
            <v>14233.6368</v>
          </cell>
          <cell r="P39">
            <v>0.97303701282784538</v>
          </cell>
          <cell r="Q39">
            <v>79.200000000000273</v>
          </cell>
          <cell r="R39">
            <v>394.41600000000142</v>
          </cell>
          <cell r="S39">
            <v>2.696298717215468E-2</v>
          </cell>
        </row>
        <row r="40">
          <cell r="C40" t="str">
            <v xml:space="preserve">      VIGAS</v>
          </cell>
          <cell r="D40">
            <v>0</v>
          </cell>
          <cell r="E40">
            <v>0</v>
          </cell>
          <cell r="F40">
            <v>0</v>
          </cell>
          <cell r="G40">
            <v>41813.7045</v>
          </cell>
          <cell r="H40">
            <v>0</v>
          </cell>
          <cell r="I40">
            <v>29904.644286240004</v>
          </cell>
          <cell r="J40">
            <v>0</v>
          </cell>
          <cell r="K40">
            <v>0</v>
          </cell>
          <cell r="L40">
            <v>6724.0606137600007</v>
          </cell>
          <cell r="M40">
            <v>0</v>
          </cell>
          <cell r="N40">
            <v>0</v>
          </cell>
          <cell r="O40">
            <v>36628.704899999997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</row>
        <row r="41">
          <cell r="C41" t="str">
            <v xml:space="preserve">         CONCRETO PARA VIGAS FC=210 KG/CM2</v>
          </cell>
          <cell r="D41" t="str">
            <v>m3</v>
          </cell>
          <cell r="E41">
            <v>25.1</v>
          </cell>
          <cell r="F41">
            <v>446.4</v>
          </cell>
          <cell r="G41">
            <v>11204.64</v>
          </cell>
          <cell r="H41">
            <v>17.15325</v>
          </cell>
          <cell r="I41">
            <v>7657.2107999999998</v>
          </cell>
          <cell r="J41">
            <v>0.68339641434262954</v>
          </cell>
          <cell r="K41">
            <v>5.9967499999999996</v>
          </cell>
          <cell r="L41">
            <v>2676.9491999999996</v>
          </cell>
          <cell r="M41">
            <v>0.23891434262948205</v>
          </cell>
          <cell r="N41">
            <v>23.15</v>
          </cell>
          <cell r="O41">
            <v>10334.159999999998</v>
          </cell>
          <cell r="P41">
            <v>0.9223107569721114</v>
          </cell>
          <cell r="Q41">
            <v>1.9500000000000028</v>
          </cell>
          <cell r="R41">
            <v>870.48000000000127</v>
          </cell>
          <cell r="S41">
            <v>7.7689243027888558E-2</v>
          </cell>
        </row>
        <row r="42">
          <cell r="C42" t="str">
            <v xml:space="preserve">         ENCOFRADO Y DESENCOFRADO NORMAL EN VIGAS</v>
          </cell>
          <cell r="D42" t="str">
            <v>m2</v>
          </cell>
          <cell r="E42">
            <v>257.52999999999997</v>
          </cell>
          <cell r="F42">
            <v>40.89</v>
          </cell>
          <cell r="G42">
            <v>10530.401699999999</v>
          </cell>
          <cell r="H42">
            <v>103.4331</v>
          </cell>
          <cell r="I42">
            <v>4229.3794589999998</v>
          </cell>
          <cell r="J42">
            <v>0.40163514930299388</v>
          </cell>
          <cell r="K42">
            <v>91.256900000000002</v>
          </cell>
          <cell r="L42">
            <v>3731.4946410000002</v>
          </cell>
          <cell r="M42">
            <v>0.35435444414243006</v>
          </cell>
          <cell r="N42">
            <v>194.69</v>
          </cell>
          <cell r="O42">
            <v>7960.8741</v>
          </cell>
          <cell r="P42">
            <v>0.75598959344542394</v>
          </cell>
          <cell r="Q42">
            <v>62.839999999999975</v>
          </cell>
          <cell r="R42">
            <v>2569.527599999999</v>
          </cell>
          <cell r="S42">
            <v>0.24401040655457609</v>
          </cell>
        </row>
        <row r="43">
          <cell r="C43" t="str">
            <v xml:space="preserve">         ACERO DE REFUERZO PARA VIGA FY= 4200 KG/CM2</v>
          </cell>
          <cell r="D43" t="str">
            <v>kg</v>
          </cell>
          <cell r="E43">
            <v>4031.86</v>
          </cell>
          <cell r="F43">
            <v>4.9800000000000004</v>
          </cell>
          <cell r="G43">
            <v>20078.662800000002</v>
          </cell>
          <cell r="H43">
            <v>3618.083138</v>
          </cell>
          <cell r="I43">
            <v>18018.054027240003</v>
          </cell>
          <cell r="J43">
            <v>0.89737320690698597</v>
          </cell>
          <cell r="K43">
            <v>63.376862000000074</v>
          </cell>
          <cell r="L43">
            <v>315.6167727600004</v>
          </cell>
          <cell r="M43">
            <v>1.5719013557018366E-2</v>
          </cell>
          <cell r="N43">
            <v>3681.46</v>
          </cell>
          <cell r="O43">
            <v>18333.670800000004</v>
          </cell>
          <cell r="P43">
            <v>0.91309222046400429</v>
          </cell>
          <cell r="Q43">
            <v>350.40000000000009</v>
          </cell>
          <cell r="R43">
            <v>1744.9920000000006</v>
          </cell>
          <cell r="S43">
            <v>8.6907779535995808E-2</v>
          </cell>
        </row>
        <row r="44">
          <cell r="C44" t="str">
            <v xml:space="preserve">      LOSAS ALIGERADAS</v>
          </cell>
          <cell r="D44">
            <v>0</v>
          </cell>
          <cell r="E44">
            <v>0</v>
          </cell>
          <cell r="F44">
            <v>0</v>
          </cell>
          <cell r="G44">
            <v>26921.784500000009</v>
          </cell>
          <cell r="H44">
            <v>0</v>
          </cell>
          <cell r="I44">
            <v>16365.675977520006</v>
          </cell>
          <cell r="J44">
            <v>0</v>
          </cell>
          <cell r="K44">
            <v>0</v>
          </cell>
          <cell r="L44">
            <v>7197.9744720000008</v>
          </cell>
          <cell r="M44">
            <v>0</v>
          </cell>
          <cell r="N44">
            <v>0</v>
          </cell>
          <cell r="O44">
            <v>23563.650449520006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</row>
        <row r="45">
          <cell r="C45" t="str">
            <v xml:space="preserve">         CONCRETO EN LOSAS ALIGERADAS F'C=210 KG/CM2</v>
          </cell>
          <cell r="D45" t="str">
            <v>m3</v>
          </cell>
          <cell r="E45">
            <v>14.03</v>
          </cell>
          <cell r="F45">
            <v>401.25</v>
          </cell>
          <cell r="G45">
            <v>5629.5374999999995</v>
          </cell>
          <cell r="H45">
            <v>12.36</v>
          </cell>
          <cell r="I45">
            <v>4959.45</v>
          </cell>
          <cell r="J45">
            <v>0.88096935138987886</v>
          </cell>
          <cell r="K45">
            <v>0</v>
          </cell>
          <cell r="L45">
            <v>0</v>
          </cell>
          <cell r="M45">
            <v>0</v>
          </cell>
          <cell r="N45">
            <v>12.36</v>
          </cell>
          <cell r="O45">
            <v>4959.45</v>
          </cell>
          <cell r="P45">
            <v>0.88096935138987886</v>
          </cell>
          <cell r="Q45">
            <v>1.67</v>
          </cell>
          <cell r="R45">
            <v>670.08749999999998</v>
          </cell>
          <cell r="S45">
            <v>0.11903064861012116</v>
          </cell>
        </row>
        <row r="46">
          <cell r="C46" t="str">
            <v xml:space="preserve">         ENCOFRADO Y DESENCOFRADO NORMAL EN LOSAS ALIGERADAS</v>
          </cell>
          <cell r="D46" t="str">
            <v>m2</v>
          </cell>
          <cell r="E46">
            <v>168.08</v>
          </cell>
          <cell r="F46">
            <v>62.14</v>
          </cell>
          <cell r="G46">
            <v>10444.4912</v>
          </cell>
          <cell r="H46">
            <v>23.965199999999996</v>
          </cell>
          <cell r="I46">
            <v>1489.1975279999997</v>
          </cell>
          <cell r="J46">
            <v>0.14258210376011421</v>
          </cell>
          <cell r="K46">
            <v>115.83480000000002</v>
          </cell>
          <cell r="L46">
            <v>7197.9744720000008</v>
          </cell>
          <cell r="M46">
            <v>0.68916468348405524</v>
          </cell>
          <cell r="N46">
            <v>139.80000000000001</v>
          </cell>
          <cell r="O46">
            <v>8687.1720000000005</v>
          </cell>
          <cell r="P46">
            <v>0.83174678724416951</v>
          </cell>
          <cell r="Q46">
            <v>28.28</v>
          </cell>
          <cell r="R46">
            <v>1757.3192000000001</v>
          </cell>
          <cell r="S46">
            <v>0.16825321275583055</v>
          </cell>
        </row>
        <row r="47">
          <cell r="C47" t="str">
            <v xml:space="preserve">         ACERO ESTRUCTURAL FY= 4200 KG/CM2</v>
          </cell>
          <cell r="D47" t="str">
            <v>kg</v>
          </cell>
          <cell r="E47">
            <v>1075.71</v>
          </cell>
          <cell r="F47">
            <v>4.9800000000000004</v>
          </cell>
          <cell r="G47">
            <v>5357.0358000000006</v>
          </cell>
          <cell r="H47">
            <v>1075.7085239999999</v>
          </cell>
          <cell r="I47">
            <v>5357.0284495200003</v>
          </cell>
          <cell r="J47">
            <v>0.99999862788297955</v>
          </cell>
          <cell r="K47">
            <v>0</v>
          </cell>
          <cell r="L47">
            <v>0</v>
          </cell>
          <cell r="M47">
            <v>0</v>
          </cell>
          <cell r="N47">
            <v>1075.7085239999999</v>
          </cell>
          <cell r="O47">
            <v>5357.0284495200003</v>
          </cell>
          <cell r="P47">
            <v>0.99999862788297955</v>
          </cell>
          <cell r="Q47">
            <v>1.4760000001388107E-3</v>
          </cell>
          <cell r="R47">
            <v>7.3504800006912781E-3</v>
          </cell>
          <cell r="S47">
            <v>1.3721170205155763E-6</v>
          </cell>
        </row>
        <row r="48">
          <cell r="C48" t="str">
            <v xml:space="preserve">         LADRILLO DE ARCILLA HUECO 15X30X30 CM  para losa aligerada</v>
          </cell>
          <cell r="D48" t="str">
            <v>und</v>
          </cell>
          <cell r="E48">
            <v>2059.02</v>
          </cell>
          <cell r="F48">
            <v>2.6666666666666701</v>
          </cell>
          <cell r="G48">
            <v>5490.7200000000066</v>
          </cell>
          <cell r="H48">
            <v>1710</v>
          </cell>
          <cell r="I48">
            <v>4560.0000000000055</v>
          </cell>
          <cell r="J48">
            <v>0.83049217588950086</v>
          </cell>
          <cell r="K48">
            <v>0</v>
          </cell>
          <cell r="L48">
            <v>0</v>
          </cell>
          <cell r="M48">
            <v>0</v>
          </cell>
          <cell r="N48">
            <v>1710</v>
          </cell>
          <cell r="O48">
            <v>4560.0000000000055</v>
          </cell>
          <cell r="P48">
            <v>0.83049217588950086</v>
          </cell>
          <cell r="Q48">
            <v>349.02</v>
          </cell>
          <cell r="R48">
            <v>930.72000000000116</v>
          </cell>
          <cell r="S48">
            <v>0.16950782411049917</v>
          </cell>
        </row>
        <row r="49">
          <cell r="C49" t="str">
            <v xml:space="preserve">      ESCALERAS</v>
          </cell>
          <cell r="D49">
            <v>0</v>
          </cell>
          <cell r="E49">
            <v>0</v>
          </cell>
          <cell r="F49">
            <v>0</v>
          </cell>
          <cell r="G49">
            <v>5355.1760000000004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4111.2950000000001</v>
          </cell>
          <cell r="M49">
            <v>0</v>
          </cell>
          <cell r="N49">
            <v>0</v>
          </cell>
          <cell r="O49">
            <v>4111.2950000000001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C50" t="str">
            <v xml:space="preserve">         CONCRETO F'C=210 KG/CM2 PARA ESCALERAS</v>
          </cell>
          <cell r="D50" t="str">
            <v>m3</v>
          </cell>
          <cell r="E50">
            <v>5.15</v>
          </cell>
          <cell r="F50">
            <v>436.1</v>
          </cell>
          <cell r="G50">
            <v>2245.9150000000004</v>
          </cell>
          <cell r="H50">
            <v>0</v>
          </cell>
          <cell r="I50">
            <v>0</v>
          </cell>
          <cell r="J50">
            <v>0</v>
          </cell>
          <cell r="K50">
            <v>5.14</v>
          </cell>
          <cell r="L50">
            <v>2241.5540000000001</v>
          </cell>
          <cell r="M50">
            <v>0.99805825242718427</v>
          </cell>
          <cell r="N50">
            <v>5.14</v>
          </cell>
          <cell r="O50">
            <v>2241.5540000000001</v>
          </cell>
          <cell r="P50">
            <v>0.99805825242718427</v>
          </cell>
          <cell r="Q50">
            <v>1.0000000000000675E-2</v>
          </cell>
          <cell r="R50">
            <v>4.3610000000002946</v>
          </cell>
          <cell r="S50">
            <v>1.9417475728156649E-3</v>
          </cell>
        </row>
        <row r="51">
          <cell r="C51" t="str">
            <v xml:space="preserve">         ENCOFRADO Y DESENCOFRADO PARA ESCALERAS</v>
          </cell>
          <cell r="D51" t="str">
            <v>m2</v>
          </cell>
          <cell r="E51">
            <v>24.4</v>
          </cell>
          <cell r="F51">
            <v>50.8</v>
          </cell>
          <cell r="G51">
            <v>1239.5199999999998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24.4</v>
          </cell>
          <cell r="R51">
            <v>1239.5199999999998</v>
          </cell>
          <cell r="S51">
            <v>1</v>
          </cell>
        </row>
        <row r="52">
          <cell r="C52" t="str">
            <v xml:space="preserve">         ACERO ESTRUCTURAL FY= 4200 KG/CM2</v>
          </cell>
          <cell r="D52" t="str">
            <v>kg</v>
          </cell>
          <cell r="E52">
            <v>375.45</v>
          </cell>
          <cell r="F52">
            <v>4.9800000000000004</v>
          </cell>
          <cell r="G52">
            <v>1869.7410000000002</v>
          </cell>
          <cell r="H52">
            <v>0</v>
          </cell>
          <cell r="I52">
            <v>0</v>
          </cell>
          <cell r="J52">
            <v>0</v>
          </cell>
          <cell r="K52">
            <v>375.45</v>
          </cell>
          <cell r="L52">
            <v>1869.7410000000002</v>
          </cell>
          <cell r="M52">
            <v>1</v>
          </cell>
          <cell r="N52">
            <v>375.45</v>
          </cell>
          <cell r="O52">
            <v>1869.7410000000002</v>
          </cell>
          <cell r="P52">
            <v>1</v>
          </cell>
          <cell r="Q52">
            <v>0</v>
          </cell>
          <cell r="R52">
            <v>0</v>
          </cell>
          <cell r="S52">
            <v>0</v>
          </cell>
        </row>
        <row r="53">
          <cell r="C53" t="str">
            <v xml:space="preserve">   ESTRUCTURA DE ACERO</v>
          </cell>
          <cell r="D53">
            <v>0</v>
          </cell>
          <cell r="E53">
            <v>0</v>
          </cell>
          <cell r="F53">
            <v>0</v>
          </cell>
          <cell r="G53">
            <v>31236.14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14890.89</v>
          </cell>
          <cell r="M53">
            <v>0</v>
          </cell>
          <cell r="N53">
            <v>0</v>
          </cell>
          <cell r="O53">
            <v>14890.89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</row>
        <row r="54">
          <cell r="C54" t="str">
            <v xml:space="preserve">      TIJERAL  METALICO 01 </v>
          </cell>
          <cell r="D54" t="str">
            <v>pza</v>
          </cell>
          <cell r="E54">
            <v>7</v>
          </cell>
          <cell r="F54">
            <v>2127.27</v>
          </cell>
          <cell r="G54">
            <v>14890.89</v>
          </cell>
          <cell r="H54">
            <v>0</v>
          </cell>
          <cell r="I54">
            <v>0</v>
          </cell>
          <cell r="J54">
            <v>0</v>
          </cell>
          <cell r="K54">
            <v>7</v>
          </cell>
          <cell r="L54">
            <v>14890.89</v>
          </cell>
          <cell r="M54">
            <v>1</v>
          </cell>
          <cell r="N54">
            <v>7</v>
          </cell>
          <cell r="O54">
            <v>14890.89</v>
          </cell>
          <cell r="P54">
            <v>1</v>
          </cell>
          <cell r="Q54">
            <v>0</v>
          </cell>
          <cell r="R54">
            <v>0</v>
          </cell>
          <cell r="S54">
            <v>0</v>
          </cell>
        </row>
        <row r="55">
          <cell r="C55" t="str">
            <v xml:space="preserve">      correa de tubo de acero negro rectangular de 1.5"X2.5"X2.5MM</v>
          </cell>
          <cell r="D55" t="str">
            <v>m</v>
          </cell>
          <cell r="E55">
            <v>215.5</v>
          </cell>
          <cell r="F55">
            <v>57.7</v>
          </cell>
          <cell r="G55">
            <v>12434.35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215.5</v>
          </cell>
          <cell r="R55">
            <v>12434.35</v>
          </cell>
          <cell r="S55">
            <v>1</v>
          </cell>
        </row>
        <row r="56">
          <cell r="C56" t="str">
            <v xml:space="preserve">      APOYO FIJO P/ESTRUCTURA DE ACERO 01</v>
          </cell>
          <cell r="D56" t="str">
            <v>und</v>
          </cell>
          <cell r="E56">
            <v>14</v>
          </cell>
          <cell r="F56">
            <v>279.35000000000002</v>
          </cell>
          <cell r="G56">
            <v>3910.9000000000005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14</v>
          </cell>
          <cell r="R56">
            <v>3910.9000000000005</v>
          </cell>
          <cell r="S56">
            <v>1</v>
          </cell>
        </row>
        <row r="57">
          <cell r="C57" t="str">
            <v xml:space="preserve">   COBERTURAS</v>
          </cell>
          <cell r="D57">
            <v>0</v>
          </cell>
          <cell r="E57">
            <v>0</v>
          </cell>
          <cell r="F57">
            <v>0</v>
          </cell>
          <cell r="G57">
            <v>17043.5661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</row>
        <row r="58">
          <cell r="C58" t="str">
            <v xml:space="preserve">      CUBIERTA DE TEJA  ANDINA</v>
          </cell>
          <cell r="D58" t="str">
            <v>m2</v>
          </cell>
          <cell r="E58">
            <v>207.31</v>
          </cell>
          <cell r="F58">
            <v>74.61</v>
          </cell>
          <cell r="G58">
            <v>15467.399100000001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207.31</v>
          </cell>
          <cell r="R58">
            <v>15467.399100000001</v>
          </cell>
          <cell r="S58">
            <v>1</v>
          </cell>
        </row>
        <row r="59">
          <cell r="C59" t="str">
            <v xml:space="preserve">      CUMBRERA DE TEJA  ANDINA</v>
          </cell>
          <cell r="D59" t="str">
            <v>m</v>
          </cell>
          <cell r="E59">
            <v>21.55</v>
          </cell>
          <cell r="F59">
            <v>73.14</v>
          </cell>
          <cell r="G59">
            <v>1576.1670000000001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21.55</v>
          </cell>
          <cell r="R59">
            <v>1576.1670000000001</v>
          </cell>
          <cell r="S59">
            <v>1</v>
          </cell>
        </row>
        <row r="60">
          <cell r="C60" t="str">
            <v xml:space="preserve">   ENSAYOS DE CALIDAD EN OBRA</v>
          </cell>
          <cell r="D60">
            <v>0</v>
          </cell>
          <cell r="E60">
            <v>0</v>
          </cell>
          <cell r="F60">
            <v>0</v>
          </cell>
          <cell r="G60">
            <v>1800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</row>
        <row r="61">
          <cell r="C61" t="str">
            <v xml:space="preserve">      PRUEBA DE CALIDAD DEL CONCRETO </v>
          </cell>
          <cell r="D61" t="str">
            <v>und</v>
          </cell>
          <cell r="E61">
            <v>60</v>
          </cell>
          <cell r="F61">
            <v>30</v>
          </cell>
          <cell r="G61">
            <v>1800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60</v>
          </cell>
          <cell r="R61">
            <v>1800</v>
          </cell>
          <cell r="S61">
            <v>1</v>
          </cell>
        </row>
        <row r="62">
          <cell r="C62" t="str">
            <v>ARQUITECTURA</v>
          </cell>
          <cell r="D62">
            <v>0</v>
          </cell>
          <cell r="E62">
            <v>0</v>
          </cell>
          <cell r="F62">
            <v>0</v>
          </cell>
          <cell r="G62">
            <v>115372.00929999999</v>
          </cell>
          <cell r="H62">
            <v>0</v>
          </cell>
          <cell r="I62">
            <v>1298.7156</v>
          </cell>
          <cell r="J62">
            <v>0</v>
          </cell>
          <cell r="K62">
            <v>0</v>
          </cell>
          <cell r="L62">
            <v>12319.259299999998</v>
          </cell>
          <cell r="M62">
            <v>0</v>
          </cell>
          <cell r="N62">
            <v>0</v>
          </cell>
          <cell r="O62">
            <v>13617.974899999999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</row>
        <row r="63">
          <cell r="C63" t="str">
            <v xml:space="preserve">   MUROS Y TABIQUES DE ALBAÑILERIA</v>
          </cell>
          <cell r="D63">
            <v>0</v>
          </cell>
          <cell r="E63">
            <v>0</v>
          </cell>
          <cell r="F63">
            <v>0</v>
          </cell>
          <cell r="G63">
            <v>15648.810399999998</v>
          </cell>
          <cell r="H63">
            <v>0</v>
          </cell>
          <cell r="I63">
            <v>1298.7156</v>
          </cell>
          <cell r="J63">
            <v>0</v>
          </cell>
          <cell r="K63">
            <v>0</v>
          </cell>
          <cell r="L63">
            <v>12319.259299999998</v>
          </cell>
          <cell r="M63">
            <v>0</v>
          </cell>
          <cell r="N63">
            <v>0</v>
          </cell>
          <cell r="O63">
            <v>13617.974899999999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C64" t="str">
            <v xml:space="preserve">      MURO DE CABEZA LADRILLO MECANIZADO CARAVISTA DE 24X11X9 CM</v>
          </cell>
          <cell r="D64" t="str">
            <v>m2</v>
          </cell>
          <cell r="E64">
            <v>70.36</v>
          </cell>
          <cell r="F64">
            <v>101.94</v>
          </cell>
          <cell r="G64">
            <v>7172.4983999999995</v>
          </cell>
          <cell r="H64">
            <v>12.74</v>
          </cell>
          <cell r="I64">
            <v>1298.7156</v>
          </cell>
          <cell r="J64">
            <v>0.18106878908470722</v>
          </cell>
          <cell r="K64">
            <v>49.000000000000007</v>
          </cell>
          <cell r="L64">
            <v>4995.0600000000004</v>
          </cell>
          <cell r="M64">
            <v>0.69641841955656636</v>
          </cell>
          <cell r="N64">
            <v>61.740000000000009</v>
          </cell>
          <cell r="O64">
            <v>6293.7756000000008</v>
          </cell>
          <cell r="P64">
            <v>0.87748720864127361</v>
          </cell>
          <cell r="Q64">
            <v>8.6199999999999903</v>
          </cell>
          <cell r="R64">
            <v>878.72279999999898</v>
          </cell>
          <cell r="S64">
            <v>0.12251279135872642</v>
          </cell>
        </row>
        <row r="65">
          <cell r="C65" t="str">
            <v xml:space="preserve">      MURO DE SOGA LADRILLO KING KONG CON CEMENTO-ARENA</v>
          </cell>
          <cell r="D65" t="str">
            <v>m2</v>
          </cell>
          <cell r="E65">
            <v>142.22</v>
          </cell>
          <cell r="F65">
            <v>59.6</v>
          </cell>
          <cell r="G65">
            <v>8476.3119999999999</v>
          </cell>
          <cell r="H65">
            <v>0</v>
          </cell>
          <cell r="I65">
            <v>0</v>
          </cell>
          <cell r="J65">
            <v>0</v>
          </cell>
          <cell r="K65">
            <v>122.88924999999998</v>
          </cell>
          <cell r="L65">
            <v>7324.1992999999984</v>
          </cell>
          <cell r="M65">
            <v>0.86407854028969189</v>
          </cell>
          <cell r="N65">
            <v>122.88924999999998</v>
          </cell>
          <cell r="O65">
            <v>7324.1992999999984</v>
          </cell>
          <cell r="P65">
            <v>0.86407854028969189</v>
          </cell>
          <cell r="Q65">
            <v>19.330750000000023</v>
          </cell>
          <cell r="R65">
            <v>1152.1127000000015</v>
          </cell>
          <cell r="S65">
            <v>0.13592145971030814</v>
          </cell>
        </row>
        <row r="66">
          <cell r="C66" t="str">
            <v xml:space="preserve">   REVOQUES ENLUCIDOS</v>
          </cell>
          <cell r="D66">
            <v>0</v>
          </cell>
          <cell r="E66">
            <v>0</v>
          </cell>
          <cell r="F66">
            <v>0</v>
          </cell>
          <cell r="G66">
            <v>15171.742199999999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C67" t="str">
            <v xml:space="preserve">      TARRAJEO INTERIOR CON MORTERO 1:3 X1.5 CM (INCLUYE COLUMNAS EMPOTRADAS)</v>
          </cell>
          <cell r="D67" t="str">
            <v>m2</v>
          </cell>
          <cell r="E67">
            <v>113.48</v>
          </cell>
          <cell r="F67">
            <v>22.38</v>
          </cell>
          <cell r="G67">
            <v>2539.6824000000001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113.48</v>
          </cell>
          <cell r="R67">
            <v>2539.6824000000001</v>
          </cell>
          <cell r="S67">
            <v>1</v>
          </cell>
        </row>
        <row r="68">
          <cell r="C68" t="str">
            <v xml:space="preserve">      TARRAJEO EXTERIOR CON MORTERO 1:3 X 1.5 CM (INCLUYE COLUMNAS EMPOTRADAS)</v>
          </cell>
          <cell r="D68" t="str">
            <v>m2</v>
          </cell>
          <cell r="E68">
            <v>116.76</v>
          </cell>
          <cell r="F68">
            <v>26.03</v>
          </cell>
          <cell r="G68">
            <v>3039.2628000000004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116.76</v>
          </cell>
          <cell r="R68">
            <v>3039.2628000000004</v>
          </cell>
          <cell r="S68">
            <v>1</v>
          </cell>
        </row>
        <row r="69">
          <cell r="C69" t="str">
            <v xml:space="preserve">      VESTIDURA DE DERRAMES EN PUERTAS, VENTANAS Y VANOS C:A 1:5</v>
          </cell>
          <cell r="D69" t="str">
            <v>m</v>
          </cell>
          <cell r="E69">
            <v>227.7</v>
          </cell>
          <cell r="F69">
            <v>33.409999999999997</v>
          </cell>
          <cell r="G69">
            <v>7607.4569999999985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227.7</v>
          </cell>
          <cell r="R69">
            <v>7607.4569999999985</v>
          </cell>
          <cell r="S69">
            <v>1</v>
          </cell>
        </row>
        <row r="70">
          <cell r="C70" t="str">
            <v xml:space="preserve">      BRUÑAS</v>
          </cell>
          <cell r="D70" t="str">
            <v>m</v>
          </cell>
          <cell r="E70">
            <v>243.6</v>
          </cell>
          <cell r="F70">
            <v>8.15</v>
          </cell>
          <cell r="G70">
            <v>1985.3400000000001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243.6</v>
          </cell>
          <cell r="R70">
            <v>1985.3400000000001</v>
          </cell>
          <cell r="S70">
            <v>1</v>
          </cell>
        </row>
        <row r="71">
          <cell r="C71" t="str">
            <v xml:space="preserve">   CIELO RASOS</v>
          </cell>
          <cell r="D71">
            <v>0</v>
          </cell>
          <cell r="E71">
            <v>0</v>
          </cell>
          <cell r="F71">
            <v>0</v>
          </cell>
          <cell r="G71">
            <v>15470.6625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C72" t="str">
            <v xml:space="preserve">      CIELORRASOS CON MEZCLA DE CEMENTO-ARENA</v>
          </cell>
          <cell r="D72" t="str">
            <v>m2</v>
          </cell>
          <cell r="E72">
            <v>157.5</v>
          </cell>
          <cell r="F72">
            <v>25.45</v>
          </cell>
          <cell r="G72">
            <v>4008.375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157.5</v>
          </cell>
          <cell r="R72">
            <v>4008.375</v>
          </cell>
          <cell r="S72">
            <v>1</v>
          </cell>
        </row>
        <row r="73">
          <cell r="C73" t="str">
            <v xml:space="preserve">      CIELO RASO DE DRYWALL CEMENTO</v>
          </cell>
          <cell r="D73" t="str">
            <v>m2</v>
          </cell>
          <cell r="E73">
            <v>183.25</v>
          </cell>
          <cell r="F73">
            <v>62.55</v>
          </cell>
          <cell r="G73">
            <v>11462.2875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183.25</v>
          </cell>
          <cell r="R73">
            <v>11462.2875</v>
          </cell>
          <cell r="S73">
            <v>1</v>
          </cell>
        </row>
        <row r="74">
          <cell r="C74" t="str">
            <v xml:space="preserve">   PISOS Y PAVIMENTOS</v>
          </cell>
          <cell r="D74">
            <v>0</v>
          </cell>
          <cell r="E74">
            <v>0</v>
          </cell>
          <cell r="F74">
            <v>0</v>
          </cell>
          <cell r="G74">
            <v>34736.134299999998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C75" t="str">
            <v xml:space="preserve">      EMPEDRADO DE PISOS  6"</v>
          </cell>
          <cell r="D75" t="str">
            <v>m2</v>
          </cell>
          <cell r="E75">
            <v>192.43</v>
          </cell>
          <cell r="F75">
            <v>21.4</v>
          </cell>
          <cell r="G75">
            <v>4118.0019999999995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192.43</v>
          </cell>
          <cell r="R75">
            <v>4118.0019999999995</v>
          </cell>
          <cell r="S75">
            <v>1</v>
          </cell>
        </row>
        <row r="76">
          <cell r="C76" t="str">
            <v xml:space="preserve">      FALSO PISO MEZCLA 1:8 e= 0.05m SOBRE RELLENO Y COMPACTADO</v>
          </cell>
          <cell r="D76" t="str">
            <v>m2</v>
          </cell>
          <cell r="E76">
            <v>192.43</v>
          </cell>
          <cell r="F76">
            <v>27.07</v>
          </cell>
          <cell r="G76">
            <v>5209.0801000000001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192.43</v>
          </cell>
          <cell r="R76">
            <v>5209.0801000000001</v>
          </cell>
          <cell r="S76">
            <v>1</v>
          </cell>
        </row>
        <row r="77">
          <cell r="C77" t="str">
            <v xml:space="preserve">      CONTRAPISO DE 50 MM.</v>
          </cell>
          <cell r="D77" t="str">
            <v>m2</v>
          </cell>
          <cell r="E77">
            <v>43.1</v>
          </cell>
          <cell r="F77">
            <v>28.7</v>
          </cell>
          <cell r="G77">
            <v>1236.97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43.1</v>
          </cell>
          <cell r="R77">
            <v>1236.97</v>
          </cell>
          <cell r="S77">
            <v>1</v>
          </cell>
        </row>
        <row r="78">
          <cell r="C78" t="str">
            <v xml:space="preserve">      ENCOFRADO Y DESENCOFRADO PARA VEREDAS</v>
          </cell>
          <cell r="D78" t="str">
            <v>m2</v>
          </cell>
          <cell r="E78">
            <v>12.2</v>
          </cell>
          <cell r="F78">
            <v>24.76</v>
          </cell>
          <cell r="G78">
            <v>302.072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12.2</v>
          </cell>
          <cell r="R78">
            <v>302.072</v>
          </cell>
          <cell r="S78">
            <v>1</v>
          </cell>
        </row>
        <row r="79">
          <cell r="C79" t="str">
            <v xml:space="preserve">      CONCRETO F'C=175 KG/CM2 PARA VEREDAS H=0.10 M </v>
          </cell>
          <cell r="D79" t="str">
            <v>m2</v>
          </cell>
          <cell r="E79">
            <v>7.08</v>
          </cell>
          <cell r="F79">
            <v>77.91</v>
          </cell>
          <cell r="G79">
            <v>551.6028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7.08</v>
          </cell>
          <cell r="R79">
            <v>551.6028</v>
          </cell>
          <cell r="S79">
            <v>1</v>
          </cell>
        </row>
        <row r="80">
          <cell r="C80" t="str">
            <v xml:space="preserve">      PISO DE MADERA MACHI HEMBRADO</v>
          </cell>
          <cell r="D80" t="str">
            <v>m2</v>
          </cell>
          <cell r="E80">
            <v>116</v>
          </cell>
          <cell r="F80">
            <v>73.459999999999994</v>
          </cell>
          <cell r="G80">
            <v>8521.3599999999988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116</v>
          </cell>
          <cell r="R80">
            <v>8521.3599999999988</v>
          </cell>
          <cell r="S80">
            <v>1</v>
          </cell>
        </row>
        <row r="81">
          <cell r="C81" t="str">
            <v xml:space="preserve">      PISO DE MADERA MACHI HEMBRADO 2DO NIVEL</v>
          </cell>
          <cell r="D81" t="str">
            <v>m2</v>
          </cell>
          <cell r="E81">
            <v>116</v>
          </cell>
          <cell r="F81">
            <v>51.68</v>
          </cell>
          <cell r="G81">
            <v>5994.88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116</v>
          </cell>
          <cell r="R81">
            <v>5994.88</v>
          </cell>
          <cell r="S81">
            <v>1</v>
          </cell>
        </row>
        <row r="82">
          <cell r="C82" t="str">
            <v xml:space="preserve">      BRUÑAS EN VEREDA</v>
          </cell>
          <cell r="D82" t="str">
            <v>m</v>
          </cell>
          <cell r="E82">
            <v>189.54</v>
          </cell>
          <cell r="F82">
            <v>8.15</v>
          </cell>
          <cell r="G82">
            <v>1544.751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189.54</v>
          </cell>
          <cell r="R82">
            <v>1544.751</v>
          </cell>
          <cell r="S82">
            <v>1</v>
          </cell>
        </row>
        <row r="83">
          <cell r="C83" t="str">
            <v xml:space="preserve">      JUNTAS ASFALTICA</v>
          </cell>
          <cell r="D83" t="str">
            <v>m</v>
          </cell>
          <cell r="E83">
            <v>20.13</v>
          </cell>
          <cell r="F83">
            <v>1.64</v>
          </cell>
          <cell r="G83">
            <v>33.013199999999998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20.13</v>
          </cell>
          <cell r="R83">
            <v>33.013199999999998</v>
          </cell>
          <cell r="S83">
            <v>1</v>
          </cell>
        </row>
        <row r="84">
          <cell r="C84" t="str">
            <v xml:space="preserve">      CONTRAZOCALO DE AGUANO DE 3/4" X 3" RODON 3/4"</v>
          </cell>
          <cell r="D84" t="str">
            <v>m</v>
          </cell>
          <cell r="E84">
            <v>263.27999999999997</v>
          </cell>
          <cell r="F84">
            <v>27.44</v>
          </cell>
          <cell r="G84">
            <v>7224.4031999999997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263.27999999999997</v>
          </cell>
          <cell r="R84">
            <v>7224.4031999999997</v>
          </cell>
          <cell r="S84">
            <v>1</v>
          </cell>
        </row>
        <row r="85">
          <cell r="C85" t="str">
            <v xml:space="preserve">   CARPINTERIA DE MADERA</v>
          </cell>
          <cell r="D85">
            <v>0</v>
          </cell>
          <cell r="E85">
            <v>0</v>
          </cell>
          <cell r="F85">
            <v>0</v>
          </cell>
          <cell r="G85">
            <v>13409.7372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C86" t="str">
            <v xml:space="preserve">      PUERTAS DE MADERA TABLEROS REBAJADOS DE 4.5 MM.</v>
          </cell>
          <cell r="D86" t="str">
            <v>m2</v>
          </cell>
          <cell r="E86">
            <v>12.6</v>
          </cell>
          <cell r="F86">
            <v>219.5</v>
          </cell>
          <cell r="G86">
            <v>2765.7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12.6</v>
          </cell>
          <cell r="R86">
            <v>2765.7</v>
          </cell>
          <cell r="S86">
            <v>1</v>
          </cell>
        </row>
        <row r="87">
          <cell r="C87" t="str">
            <v xml:space="preserve">      VENTANA DE MADERA AGUANO</v>
          </cell>
          <cell r="D87" t="str">
            <v>m2</v>
          </cell>
          <cell r="E87">
            <v>95.07</v>
          </cell>
          <cell r="F87">
            <v>111.96</v>
          </cell>
          <cell r="G87">
            <v>10644.037199999999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95.07</v>
          </cell>
          <cell r="R87">
            <v>10644.037199999999</v>
          </cell>
          <cell r="S87">
            <v>1</v>
          </cell>
        </row>
        <row r="88">
          <cell r="C88" t="str">
            <v xml:space="preserve">   CERRAJERIA</v>
          </cell>
          <cell r="D88">
            <v>0</v>
          </cell>
          <cell r="E88">
            <v>0</v>
          </cell>
          <cell r="F88">
            <v>0</v>
          </cell>
          <cell r="G88">
            <v>3259.1000000000004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</row>
        <row r="89">
          <cell r="C89" t="str">
            <v xml:space="preserve">      CERRADURA PARA PUERTA PRINCIPAL PESADA</v>
          </cell>
          <cell r="D89" t="str">
            <v>pza</v>
          </cell>
          <cell r="E89">
            <v>5</v>
          </cell>
          <cell r="F89">
            <v>110.75</v>
          </cell>
          <cell r="G89">
            <v>553.75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5</v>
          </cell>
          <cell r="R89">
            <v>553.75</v>
          </cell>
          <cell r="S89">
            <v>1</v>
          </cell>
        </row>
        <row r="90">
          <cell r="C90" t="str">
            <v xml:space="preserve">      CERRADURA VENTANA TIPO TARJETERO</v>
          </cell>
          <cell r="D90" t="str">
            <v>pza</v>
          </cell>
          <cell r="E90">
            <v>50</v>
          </cell>
          <cell r="F90">
            <v>32.880000000000003</v>
          </cell>
          <cell r="G90">
            <v>1644.0000000000002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50</v>
          </cell>
          <cell r="R90">
            <v>1644.0000000000002</v>
          </cell>
          <cell r="S90">
            <v>1</v>
          </cell>
        </row>
        <row r="91">
          <cell r="C91" t="str">
            <v xml:space="preserve">      BISAGRA ALUMINIZADA CAPUCHINA DE 4" X 4"</v>
          </cell>
          <cell r="D91" t="str">
            <v>pza</v>
          </cell>
          <cell r="E91">
            <v>20</v>
          </cell>
          <cell r="F91">
            <v>21.44</v>
          </cell>
          <cell r="G91">
            <v>428.8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20</v>
          </cell>
          <cell r="R91">
            <v>428.8</v>
          </cell>
          <cell r="S91">
            <v>1</v>
          </cell>
        </row>
        <row r="92">
          <cell r="C92" t="str">
            <v xml:space="preserve">      PICAPORTE DE FIERRO DE 4"</v>
          </cell>
          <cell r="D92" t="str">
            <v>und</v>
          </cell>
          <cell r="E92">
            <v>10</v>
          </cell>
          <cell r="F92">
            <v>42.88</v>
          </cell>
          <cell r="G92">
            <v>428.8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10</v>
          </cell>
          <cell r="R92">
            <v>428.8</v>
          </cell>
          <cell r="S92">
            <v>1</v>
          </cell>
        </row>
        <row r="93">
          <cell r="C93" t="str">
            <v xml:space="preserve">      JALADOR DE BRONCE</v>
          </cell>
          <cell r="D93" t="str">
            <v>und</v>
          </cell>
          <cell r="E93">
            <v>5</v>
          </cell>
          <cell r="F93">
            <v>40.75</v>
          </cell>
          <cell r="G93">
            <v>203.75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5</v>
          </cell>
          <cell r="R93">
            <v>203.75</v>
          </cell>
          <cell r="S93">
            <v>1</v>
          </cell>
        </row>
        <row r="94">
          <cell r="C94" t="str">
            <v xml:space="preserve">   VIDRIOS, CRISTALES Y SIMILARES</v>
          </cell>
          <cell r="D94">
            <v>0</v>
          </cell>
          <cell r="E94">
            <v>0</v>
          </cell>
          <cell r="F94">
            <v>0</v>
          </cell>
          <cell r="G94">
            <v>8934.7103999999999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C95" t="str">
            <v xml:space="preserve">      VIDRIO SEMIDOBLE PROVISION Y COLOCACION EN VENTANAS FIERRO</v>
          </cell>
          <cell r="D95" t="str">
            <v>p2</v>
          </cell>
          <cell r="E95">
            <v>942.48</v>
          </cell>
          <cell r="F95">
            <v>9.48</v>
          </cell>
          <cell r="G95">
            <v>8934.7103999999999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942.48</v>
          </cell>
          <cell r="R95">
            <v>8934.7103999999999</v>
          </cell>
          <cell r="S95">
            <v>1</v>
          </cell>
        </row>
        <row r="96">
          <cell r="C96" t="str">
            <v xml:space="preserve">   PINTURA</v>
          </cell>
          <cell r="D96">
            <v>0</v>
          </cell>
          <cell r="E96">
            <v>0</v>
          </cell>
          <cell r="F96">
            <v>0</v>
          </cell>
          <cell r="G96">
            <v>8741.1122999999989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</row>
        <row r="97">
          <cell r="C97" t="str">
            <v xml:space="preserve">      PINTURA LATEX 2 MANOS CIELO RASO Y VIGAS</v>
          </cell>
          <cell r="D97" t="str">
            <v>m2</v>
          </cell>
          <cell r="E97">
            <v>340.75</v>
          </cell>
          <cell r="F97">
            <v>9.2899999999999991</v>
          </cell>
          <cell r="G97">
            <v>3165.5674999999997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340.75</v>
          </cell>
          <cell r="R97">
            <v>3165.5674999999997</v>
          </cell>
          <cell r="S97">
            <v>1</v>
          </cell>
        </row>
        <row r="98">
          <cell r="C98" t="str">
            <v xml:space="preserve">      PINTURA LATEX 2 MANOS MUROS INTERIORES Y EXTERIORES</v>
          </cell>
          <cell r="D98" t="str">
            <v>m2</v>
          </cell>
          <cell r="E98">
            <v>423.11</v>
          </cell>
          <cell r="F98">
            <v>9.6199999999999992</v>
          </cell>
          <cell r="G98">
            <v>4070.3181999999997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423.11</v>
          </cell>
          <cell r="R98">
            <v>4070.3181999999997</v>
          </cell>
          <cell r="S98">
            <v>1</v>
          </cell>
        </row>
        <row r="99">
          <cell r="C99" t="str">
            <v xml:space="preserve">      PINTURA BARNIZ EN CARPINTERIA 2 MANOS</v>
          </cell>
          <cell r="D99" t="str">
            <v>m2</v>
          </cell>
          <cell r="E99">
            <v>107.67</v>
          </cell>
          <cell r="F99">
            <v>13.98</v>
          </cell>
          <cell r="G99">
            <v>1505.2266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107.67</v>
          </cell>
          <cell r="R99">
            <v>1505.2266</v>
          </cell>
          <cell r="S99">
            <v>1</v>
          </cell>
        </row>
        <row r="100">
          <cell r="C100" t="str">
            <v>INSTALACIONES ELECTRICAS</v>
          </cell>
          <cell r="D100">
            <v>0</v>
          </cell>
          <cell r="E100">
            <v>0</v>
          </cell>
          <cell r="F100">
            <v>0</v>
          </cell>
          <cell r="G100">
            <v>10217.880000000001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</row>
        <row r="101">
          <cell r="C101" t="str">
            <v xml:space="preserve">   INSTALACIONES PUNTOS</v>
          </cell>
          <cell r="D101">
            <v>0</v>
          </cell>
          <cell r="E101">
            <v>0</v>
          </cell>
          <cell r="F101">
            <v>0</v>
          </cell>
          <cell r="G101">
            <v>4268.1000000000004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C102" t="str">
            <v xml:space="preserve">      SALIDA DE TECHO CON CABLE AWG TW 2.5 MM (14) + D PVC SEL 16 MM (5/8)</v>
          </cell>
          <cell r="D102" t="str">
            <v>pto</v>
          </cell>
          <cell r="E102">
            <v>30</v>
          </cell>
          <cell r="F102">
            <v>36.11</v>
          </cell>
          <cell r="G102">
            <v>1083.3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30</v>
          </cell>
          <cell r="R102">
            <v>1083.3</v>
          </cell>
          <cell r="S102">
            <v>1</v>
          </cell>
        </row>
        <row r="103">
          <cell r="C103" t="str">
            <v xml:space="preserve">      SALIDA TOMACORRIENTE CON AWG TW 4.0 MM (12) + D PVC SAP 19 MM (3/4)</v>
          </cell>
          <cell r="D103" t="str">
            <v>pto</v>
          </cell>
          <cell r="E103">
            <v>40</v>
          </cell>
          <cell r="F103">
            <v>79.62</v>
          </cell>
          <cell r="G103">
            <v>3184.8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40</v>
          </cell>
          <cell r="R103">
            <v>3184.8</v>
          </cell>
          <cell r="S103">
            <v>1</v>
          </cell>
        </row>
        <row r="104">
          <cell r="C104" t="str">
            <v xml:space="preserve">   CABLES Y TENDIDOS</v>
          </cell>
          <cell r="D104">
            <v>0</v>
          </cell>
          <cell r="E104">
            <v>0</v>
          </cell>
          <cell r="F104">
            <v>0</v>
          </cell>
          <cell r="G104">
            <v>1966.05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C105" t="str">
            <v xml:space="preserve">      CABLE ELECTRICO TW AWG # 10</v>
          </cell>
          <cell r="D105" t="str">
            <v>m</v>
          </cell>
          <cell r="E105">
            <v>100</v>
          </cell>
          <cell r="F105">
            <v>4.38</v>
          </cell>
          <cell r="G105">
            <v>438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100</v>
          </cell>
          <cell r="R105">
            <v>438</v>
          </cell>
          <cell r="S105">
            <v>1</v>
          </cell>
        </row>
        <row r="106">
          <cell r="C106" t="str">
            <v xml:space="preserve">      CABLE ELECTRICO TW AWG # 12</v>
          </cell>
          <cell r="D106" t="str">
            <v>m</v>
          </cell>
          <cell r="E106">
            <v>310</v>
          </cell>
          <cell r="F106">
            <v>2.75</v>
          </cell>
          <cell r="G106">
            <v>852.5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310</v>
          </cell>
          <cell r="R106">
            <v>852.5</v>
          </cell>
          <cell r="S106">
            <v>1</v>
          </cell>
        </row>
        <row r="107">
          <cell r="C107" t="str">
            <v xml:space="preserve">      CABLE ELECTRICO TW AWG # 14</v>
          </cell>
          <cell r="D107" t="str">
            <v>m</v>
          </cell>
          <cell r="E107">
            <v>295</v>
          </cell>
          <cell r="F107">
            <v>2.29</v>
          </cell>
          <cell r="G107">
            <v>675.55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295</v>
          </cell>
          <cell r="R107">
            <v>675.55</v>
          </cell>
          <cell r="S107">
            <v>1</v>
          </cell>
        </row>
        <row r="108">
          <cell r="C108" t="str">
            <v xml:space="preserve">   TABLERO E INTERRUPTORES</v>
          </cell>
          <cell r="D108">
            <v>0</v>
          </cell>
          <cell r="E108">
            <v>0</v>
          </cell>
          <cell r="F108">
            <v>0</v>
          </cell>
          <cell r="G108">
            <v>874.55000000000007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</row>
        <row r="109">
          <cell r="C109" t="str">
            <v xml:space="preserve">      TABLERO ELECTRICO DISTRIBUCION TD-01</v>
          </cell>
          <cell r="D109" t="str">
            <v>und</v>
          </cell>
          <cell r="E109">
            <v>1</v>
          </cell>
          <cell r="F109">
            <v>196.35</v>
          </cell>
          <cell r="G109">
            <v>196.35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1</v>
          </cell>
          <cell r="R109">
            <v>196.35</v>
          </cell>
          <cell r="S109">
            <v>1</v>
          </cell>
        </row>
        <row r="110">
          <cell r="C110" t="str">
            <v xml:space="preserve">      INTERRUPTOR THERMOMAGNETICO MONOFASICO  2 X 60A</v>
          </cell>
          <cell r="D110" t="str">
            <v>pza</v>
          </cell>
          <cell r="E110">
            <v>1</v>
          </cell>
          <cell r="F110">
            <v>97.88</v>
          </cell>
          <cell r="G110">
            <v>97.88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1</v>
          </cell>
          <cell r="R110">
            <v>97.88</v>
          </cell>
          <cell r="S110">
            <v>1</v>
          </cell>
        </row>
        <row r="111">
          <cell r="C111" t="str">
            <v xml:space="preserve">      INTERRUPTOR THERMOMAGNETICO MONOFASICA 2 X 40A</v>
          </cell>
          <cell r="D111" t="str">
            <v>pza</v>
          </cell>
          <cell r="E111">
            <v>2</v>
          </cell>
          <cell r="F111">
            <v>81.900000000000006</v>
          </cell>
          <cell r="G111">
            <v>163.80000000000001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2</v>
          </cell>
          <cell r="R111">
            <v>163.80000000000001</v>
          </cell>
          <cell r="S111">
            <v>1</v>
          </cell>
        </row>
        <row r="112">
          <cell r="C112" t="str">
            <v xml:space="preserve">      INTERRUPTOR THERMOMAGNETICO MONOFASICA 2 X 20A</v>
          </cell>
          <cell r="D112" t="str">
            <v>pza</v>
          </cell>
          <cell r="E112">
            <v>2</v>
          </cell>
          <cell r="F112">
            <v>57.88</v>
          </cell>
          <cell r="G112">
            <v>115.76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2</v>
          </cell>
          <cell r="R112">
            <v>115.76</v>
          </cell>
          <cell r="S112">
            <v>1</v>
          </cell>
        </row>
        <row r="113">
          <cell r="C113" t="str">
            <v xml:space="preserve">      INTERRUPTOR UNIPOLAR SIMPLE C/LUZ VISIBLE</v>
          </cell>
          <cell r="D113" t="str">
            <v>pza</v>
          </cell>
          <cell r="E113">
            <v>2</v>
          </cell>
          <cell r="F113">
            <v>16.579999999999998</v>
          </cell>
          <cell r="G113">
            <v>33.159999999999997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2</v>
          </cell>
          <cell r="R113">
            <v>33.159999999999997</v>
          </cell>
          <cell r="S113">
            <v>1</v>
          </cell>
        </row>
        <row r="114">
          <cell r="C114" t="str">
            <v xml:space="preserve">      INTERRUPTOR UNIPOLAR DOBLE C/LUZ VISIBLE</v>
          </cell>
          <cell r="D114" t="str">
            <v>pza</v>
          </cell>
          <cell r="E114">
            <v>12</v>
          </cell>
          <cell r="F114">
            <v>22.3</v>
          </cell>
          <cell r="G114">
            <v>267.60000000000002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12</v>
          </cell>
          <cell r="R114">
            <v>267.60000000000002</v>
          </cell>
          <cell r="S114">
            <v>1</v>
          </cell>
        </row>
        <row r="115">
          <cell r="C115" t="str">
            <v xml:space="preserve">   LUMINARIAS</v>
          </cell>
          <cell r="D115">
            <v>0</v>
          </cell>
          <cell r="E115">
            <v>0</v>
          </cell>
          <cell r="F115">
            <v>0</v>
          </cell>
          <cell r="G115">
            <v>2238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</row>
        <row r="116">
          <cell r="C116" t="str">
            <v xml:space="preserve">      FLUORESCENTE RECTO ISPE 2 X 40 W INCLUYE EQUIPO Y PANTALLA</v>
          </cell>
          <cell r="D116" t="str">
            <v>und</v>
          </cell>
          <cell r="E116">
            <v>30</v>
          </cell>
          <cell r="F116">
            <v>74.599999999999994</v>
          </cell>
          <cell r="G116">
            <v>2238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30</v>
          </cell>
          <cell r="R116">
            <v>2238</v>
          </cell>
          <cell r="S116">
            <v>1</v>
          </cell>
        </row>
        <row r="117">
          <cell r="C117" t="str">
            <v xml:space="preserve">   PUESTA A TIERRA</v>
          </cell>
          <cell r="D117">
            <v>0</v>
          </cell>
          <cell r="E117">
            <v>0</v>
          </cell>
          <cell r="F117">
            <v>0</v>
          </cell>
          <cell r="G117">
            <v>871.18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</row>
        <row r="118">
          <cell r="C118" t="str">
            <v xml:space="preserve">      PUESTA A TIERRA</v>
          </cell>
          <cell r="D118" t="str">
            <v>glb</v>
          </cell>
          <cell r="E118">
            <v>1</v>
          </cell>
          <cell r="F118">
            <v>871.18</v>
          </cell>
          <cell r="G118">
            <v>871.18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1</v>
          </cell>
          <cell r="R118">
            <v>871.18</v>
          </cell>
          <cell r="S118">
            <v>1</v>
          </cell>
        </row>
        <row r="119">
          <cell r="C119" t="str">
            <v>INSTALACIONES SANITARIAS</v>
          </cell>
          <cell r="D119">
            <v>0</v>
          </cell>
          <cell r="E119">
            <v>0</v>
          </cell>
          <cell r="F119">
            <v>0</v>
          </cell>
          <cell r="G119">
            <v>26079.587599999999</v>
          </cell>
          <cell r="H119">
            <v>0</v>
          </cell>
          <cell r="I119">
            <v>7700</v>
          </cell>
          <cell r="J119">
            <v>0</v>
          </cell>
          <cell r="K119">
            <v>0</v>
          </cell>
          <cell r="L119">
            <v>7700</v>
          </cell>
          <cell r="M119">
            <v>0</v>
          </cell>
          <cell r="N119">
            <v>0</v>
          </cell>
          <cell r="O119">
            <v>15400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</row>
        <row r="120">
          <cell r="C120" t="str">
            <v xml:space="preserve">   MOVIMIENTO DE TIERRAS</v>
          </cell>
          <cell r="D120">
            <v>0</v>
          </cell>
          <cell r="E120">
            <v>0</v>
          </cell>
          <cell r="F120">
            <v>0</v>
          </cell>
          <cell r="G120">
            <v>144.0444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</row>
        <row r="121">
          <cell r="C121" t="str">
            <v xml:space="preserve">      EXCAVACION MANUAL DE MAT. NO CLASIFICADO</v>
          </cell>
          <cell r="D121" t="str">
            <v>m3</v>
          </cell>
          <cell r="E121">
            <v>6.14</v>
          </cell>
          <cell r="F121">
            <v>14.44</v>
          </cell>
          <cell r="G121">
            <v>88.661599999999993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6.14</v>
          </cell>
          <cell r="R121">
            <v>88.661599999999993</v>
          </cell>
          <cell r="S121">
            <v>1</v>
          </cell>
        </row>
        <row r="122">
          <cell r="C122" t="str">
            <v xml:space="preserve">      RELLENO COMPACTADO  A MANO</v>
          </cell>
          <cell r="D122" t="str">
            <v>m3</v>
          </cell>
          <cell r="E122">
            <v>6.14</v>
          </cell>
          <cell r="F122">
            <v>9.02</v>
          </cell>
          <cell r="G122">
            <v>55.382799999999996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6.14</v>
          </cell>
          <cell r="R122">
            <v>55.382799999999996</v>
          </cell>
          <cell r="S122">
            <v>1</v>
          </cell>
        </row>
        <row r="123">
          <cell r="C123" t="str">
            <v xml:space="preserve">   SISTEMA DE EVACUACION DE AGUAS PLUVIALES</v>
          </cell>
          <cell r="D123">
            <v>0</v>
          </cell>
          <cell r="E123">
            <v>0</v>
          </cell>
          <cell r="F123">
            <v>0</v>
          </cell>
          <cell r="G123">
            <v>3085.5432000000001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</row>
        <row r="124">
          <cell r="C124" t="str">
            <v xml:space="preserve">      MONTANTE DE BAJADA PVC SAL 3" P/LLUVIAS</v>
          </cell>
          <cell r="D124" t="str">
            <v>m</v>
          </cell>
          <cell r="E124">
            <v>24</v>
          </cell>
          <cell r="F124">
            <v>14.23</v>
          </cell>
          <cell r="G124">
            <v>341.52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24</v>
          </cell>
          <cell r="R124">
            <v>341.52</v>
          </cell>
          <cell r="S124">
            <v>1</v>
          </cell>
        </row>
        <row r="125">
          <cell r="C125" t="str">
            <v xml:space="preserve">      CODO DE PVC SAL SP DE 3"X45º</v>
          </cell>
          <cell r="D125" t="str">
            <v>und</v>
          </cell>
          <cell r="E125">
            <v>8</v>
          </cell>
          <cell r="F125">
            <v>15.37</v>
          </cell>
          <cell r="G125">
            <v>122.96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8</v>
          </cell>
          <cell r="R125">
            <v>122.96</v>
          </cell>
          <cell r="S125">
            <v>1</v>
          </cell>
        </row>
        <row r="126">
          <cell r="C126" t="str">
            <v xml:space="preserve">      CODO PVC SAP 3"X90º</v>
          </cell>
          <cell r="D126" t="str">
            <v>und</v>
          </cell>
          <cell r="E126">
            <v>4</v>
          </cell>
          <cell r="F126">
            <v>23.59</v>
          </cell>
          <cell r="G126">
            <v>94.36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4</v>
          </cell>
          <cell r="R126">
            <v>94.36</v>
          </cell>
          <cell r="S126">
            <v>1</v>
          </cell>
        </row>
        <row r="127">
          <cell r="C127" t="str">
            <v xml:space="preserve">      CANALETA PARA EVACUACION PLUVIAL</v>
          </cell>
          <cell r="D127" t="str">
            <v>m</v>
          </cell>
          <cell r="E127">
            <v>44</v>
          </cell>
          <cell r="F127">
            <v>26.16</v>
          </cell>
          <cell r="G127">
            <v>1151.04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44</v>
          </cell>
          <cell r="R127">
            <v>1151.04</v>
          </cell>
          <cell r="S127">
            <v>1</v>
          </cell>
        </row>
        <row r="128">
          <cell r="C128" t="str">
            <v xml:space="preserve">      TUBERIA DE PVC SAL 4"</v>
          </cell>
          <cell r="D128" t="str">
            <v>m</v>
          </cell>
          <cell r="E128">
            <v>61.44</v>
          </cell>
          <cell r="F128">
            <v>13.53</v>
          </cell>
          <cell r="G128">
            <v>831.28319999999997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61.44</v>
          </cell>
          <cell r="R128">
            <v>831.28319999999997</v>
          </cell>
          <cell r="S128">
            <v>1</v>
          </cell>
        </row>
        <row r="129">
          <cell r="C129" t="str">
            <v xml:space="preserve">      CAJA DE REGISTRO DE DESAGUE 12" X 24"</v>
          </cell>
          <cell r="D129" t="str">
            <v>pza</v>
          </cell>
          <cell r="E129">
            <v>6</v>
          </cell>
          <cell r="F129">
            <v>90.73</v>
          </cell>
          <cell r="G129">
            <v>544.38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6</v>
          </cell>
          <cell r="R129">
            <v>544.38</v>
          </cell>
          <cell r="S129">
            <v>1</v>
          </cell>
        </row>
        <row r="130">
          <cell r="C130" t="str">
            <v xml:space="preserve">   VARIOS</v>
          </cell>
          <cell r="D130">
            <v>0</v>
          </cell>
          <cell r="E130">
            <v>0</v>
          </cell>
          <cell r="F130">
            <v>0</v>
          </cell>
          <cell r="G130">
            <v>22850</v>
          </cell>
          <cell r="H130">
            <v>0</v>
          </cell>
          <cell r="I130">
            <v>7700</v>
          </cell>
          <cell r="J130">
            <v>0</v>
          </cell>
          <cell r="K130">
            <v>0</v>
          </cell>
          <cell r="L130">
            <v>7700</v>
          </cell>
          <cell r="M130">
            <v>0</v>
          </cell>
          <cell r="N130">
            <v>0</v>
          </cell>
          <cell r="O130">
            <v>15400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</row>
        <row r="131">
          <cell r="C131" t="str">
            <v xml:space="preserve">      PLACA RECORDATORIA</v>
          </cell>
          <cell r="D131">
            <v>0</v>
          </cell>
          <cell r="E131">
            <v>0</v>
          </cell>
          <cell r="F131">
            <v>0</v>
          </cell>
          <cell r="G131">
            <v>450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</row>
        <row r="132">
          <cell r="C132" t="str">
            <v xml:space="preserve">         PLACA RECORDATORIA 0.60 X 0.40</v>
          </cell>
          <cell r="D132" t="str">
            <v>und</v>
          </cell>
          <cell r="E132">
            <v>1</v>
          </cell>
          <cell r="F132">
            <v>450</v>
          </cell>
          <cell r="G132">
            <v>450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1</v>
          </cell>
          <cell r="R132">
            <v>450</v>
          </cell>
          <cell r="S132">
            <v>1</v>
          </cell>
        </row>
        <row r="133">
          <cell r="C133" t="str">
            <v xml:space="preserve">      FLETE TERRESTRE</v>
          </cell>
          <cell r="D133">
            <v>0</v>
          </cell>
          <cell r="E133">
            <v>0</v>
          </cell>
          <cell r="F133">
            <v>0</v>
          </cell>
          <cell r="G133">
            <v>22400</v>
          </cell>
          <cell r="H133">
            <v>0</v>
          </cell>
          <cell r="I133">
            <v>7700</v>
          </cell>
          <cell r="J133">
            <v>0</v>
          </cell>
          <cell r="K133">
            <v>0</v>
          </cell>
          <cell r="L133">
            <v>7700</v>
          </cell>
          <cell r="M133">
            <v>0</v>
          </cell>
          <cell r="N133">
            <v>0</v>
          </cell>
          <cell r="O133">
            <v>15400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</row>
        <row r="134">
          <cell r="C134" t="str">
            <v xml:space="preserve">         FLETE CUSCO-ANDAHUAYLILLAS</v>
          </cell>
          <cell r="D134" t="str">
            <v>vje</v>
          </cell>
          <cell r="E134">
            <v>32</v>
          </cell>
          <cell r="F134">
            <v>700</v>
          </cell>
          <cell r="G134">
            <v>22400</v>
          </cell>
          <cell r="H134">
            <v>11</v>
          </cell>
          <cell r="I134">
            <v>7700</v>
          </cell>
          <cell r="J134">
            <v>0.34375</v>
          </cell>
          <cell r="K134">
            <v>11</v>
          </cell>
          <cell r="L134">
            <v>7700</v>
          </cell>
          <cell r="M134">
            <v>0.34375</v>
          </cell>
          <cell r="N134">
            <v>22</v>
          </cell>
          <cell r="O134">
            <v>15400</v>
          </cell>
          <cell r="P134">
            <v>0.6875</v>
          </cell>
          <cell r="Q134">
            <v>10</v>
          </cell>
          <cell r="R134">
            <v>7000</v>
          </cell>
          <cell r="S134">
            <v>0.3125</v>
          </cell>
        </row>
      </sheetData>
      <sheetData sheetId="13"/>
      <sheetData sheetId="14"/>
      <sheetData sheetId="15"/>
      <sheetData sheetId="16"/>
      <sheetData sheetId="17"/>
      <sheetData sheetId="18"/>
      <sheetData sheetId="19">
        <row r="36">
          <cell r="L36">
            <v>250000</v>
          </cell>
        </row>
      </sheetData>
      <sheetData sheetId="20"/>
      <sheetData sheetId="21">
        <row r="12">
          <cell r="O12">
            <v>114617.4</v>
          </cell>
        </row>
      </sheetData>
      <sheetData sheetId="22">
        <row r="102">
          <cell r="L102">
            <v>32430</v>
          </cell>
        </row>
      </sheetData>
      <sheetData sheetId="23">
        <row r="81">
          <cell r="L81">
            <v>43891.899999999994</v>
          </cell>
        </row>
      </sheetData>
      <sheetData sheetId="24"/>
      <sheetData sheetId="25"/>
      <sheetData sheetId="26"/>
      <sheetData sheetId="27"/>
      <sheetData sheetId="28"/>
      <sheetData sheetId="29" refreshError="1"/>
      <sheetData sheetId="3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1"/>
      <sheetName val="CUADRO2"/>
      <sheetName val="CUADRO3"/>
      <sheetName val="CUADRO4"/>
      <sheetName val="CUADRO5"/>
      <sheetName val="CUADRO6"/>
      <sheetName val="CUADRO7"/>
      <sheetName val="CUADRO8"/>
      <sheetName val="CUADRO9"/>
      <sheetName val="CRONOGRAMAS"/>
      <sheetName val="BIMENSUAL"/>
      <sheetName val="F.TEC"/>
      <sheetName val="DATOS"/>
      <sheetName val="Relacion de INSUM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tidas"/>
      <sheetName val="CUADERNO"/>
      <sheetName val="BASE DE DATOS"/>
      <sheetName val="MEMBRETE"/>
      <sheetName val="CONTENIDO"/>
      <sheetName val="FICHA TEC"/>
      <sheetName val="MEMORIA DESCRIP"/>
      <sheetName val="F-3 RES.VAL.  "/>
      <sheetName val="VAL. PROGR. EXP MODIFIC "/>
      <sheetName val="informe junio super ok"/>
      <sheetName val="R.BIENES"/>
      <sheetName val="ANAC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 RISP-DIC-12"/>
      <sheetName val="IND IM RES-DIC-12"/>
      <sheetName val="AV MENSUAL"/>
      <sheetName val="RES AVANCES"/>
      <sheetName val="EJEC (GS)"/>
      <sheetName val="METAS 2013"/>
      <sheetName val="F-13 CUADERNO OBRA"/>
      <sheetName val="SUP SANIAM"/>
      <sheetName val="IND IM RES-DIC-12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"/>
      <sheetName val="INF"/>
      <sheetName val="CONTENIDO "/>
      <sheetName val="PASO 01-12B"/>
      <sheetName val="PASO 02-12B"/>
      <sheetName val="1.FORMATO 12B"/>
      <sheetName val="2. FORMATO 8A"/>
      <sheetName val="3. FICHA TECNICA"/>
      <sheetName val="4. RES. FIS."/>
      <sheetName val="5. RES. FIN."/>
      <sheetName val="6. CURVA S"/>
      <sheetName val="7. FOTOGRAFIAS"/>
      <sheetName val="12B"/>
      <sheetName val="8. CROV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ALOGO"/>
      <sheetName val="CUADRO DE NECESIDADES"/>
      <sheetName val="BIENES SIN CATALOGO"/>
      <sheetName val="SERVICIOS"/>
      <sheetName val="SOCTA2"/>
      <sheetName val="PRESUPUESTO"/>
      <sheetName val="METAS 2013"/>
    </sheetNames>
    <sheetDataSet>
      <sheetData sheetId="0">
        <row r="8">
          <cell r="B8" t="str">
            <v>02</v>
          </cell>
          <cell r="C8" t="str">
            <v>ABRASIVOS</v>
          </cell>
        </row>
        <row r="9">
          <cell r="B9" t="str">
            <v>03</v>
          </cell>
          <cell r="C9" t="str">
            <v>ACEROS</v>
          </cell>
        </row>
        <row r="10">
          <cell r="B10" t="str">
            <v>05</v>
          </cell>
          <cell r="C10" t="str">
            <v>AGROPECUARIA, GANADERIA  Y JARDINERIA  :   REPUESTOS, ACCESORIOS Y MAT</v>
          </cell>
        </row>
        <row r="11">
          <cell r="B11" t="str">
            <v>08</v>
          </cell>
          <cell r="C11" t="str">
            <v>ALIMENTO PARA ANIMALES</v>
          </cell>
        </row>
        <row r="12">
          <cell r="B12" t="str">
            <v>09</v>
          </cell>
          <cell r="C12" t="str">
            <v>ALIMENTOS Y BEBIDAS PARA PERSONAS</v>
          </cell>
        </row>
        <row r="13">
          <cell r="B13" t="str">
            <v>12</v>
          </cell>
          <cell r="C13" t="str">
            <v>ARTES GRAFICAS E IMPRESIONES  :   REPUESTOS Y ACCESORIOS</v>
          </cell>
        </row>
        <row r="14">
          <cell r="B14" t="str">
            <v>13</v>
          </cell>
          <cell r="C14" t="str">
            <v>ASEO, LIMPIEZA Y TOCADOR  :   REPUESTOS, ACCESORIOS, UTILES Y MATERIAL</v>
          </cell>
        </row>
        <row r="15">
          <cell r="B15" t="str">
            <v>14</v>
          </cell>
          <cell r="C15" t="str">
            <v>BIENES DE ACTIVO FIJO NO CATALOGADOS POR SBN</v>
          </cell>
        </row>
        <row r="16">
          <cell r="B16" t="str">
            <v>15</v>
          </cell>
          <cell r="C16" t="str">
            <v>CLAVOS, PERNOS, TORNILLOS, SUJETADORES Y AFINES</v>
          </cell>
        </row>
        <row r="17">
          <cell r="B17" t="str">
            <v>16</v>
          </cell>
          <cell r="C17" t="str">
            <v>COCINA, COMEDOR, CAFETERIA  :   REPUESTOS Y ACCESORIOS</v>
          </cell>
        </row>
        <row r="18">
          <cell r="B18" t="str">
            <v>17</v>
          </cell>
          <cell r="C18" t="str">
            <v>COMBUSTIBLES, CARBURANTES Y LUBICANTES</v>
          </cell>
        </row>
        <row r="19">
          <cell r="B19" t="str">
            <v>19</v>
          </cell>
          <cell r="C19" t="str">
            <v>COMUNICACIONES Y TELECOMUNICACIONES: REPUESTOS Y ACCESORIOS</v>
          </cell>
        </row>
        <row r="20">
          <cell r="B20" t="str">
            <v>20</v>
          </cell>
          <cell r="C20" t="str">
            <v>CONSTRUCCIONES  :   MATERIALES, RPTOS Y ACC.  INCLUYE SANITARIOS</v>
          </cell>
        </row>
        <row r="21">
          <cell r="B21" t="str">
            <v>23</v>
          </cell>
          <cell r="C21" t="str">
            <v>DEPORTES Y RECREACION   :   IMPLEMENTOS</v>
          </cell>
        </row>
        <row r="22">
          <cell r="B22" t="str">
            <v>26</v>
          </cell>
          <cell r="C22" t="str">
            <v>ELECTRONICA  :   MATERIALES</v>
          </cell>
        </row>
        <row r="23">
          <cell r="B23" t="str">
            <v>27</v>
          </cell>
          <cell r="C23" t="str">
            <v>ELEVACION, GENERAC, DISTRIB,  Y CONT, DE LA ELECTRICAD : RPTOS. Y ACCE</v>
          </cell>
        </row>
        <row r="24">
          <cell r="B24" t="str">
            <v>28</v>
          </cell>
          <cell r="C24" t="str">
            <v>ELECTRICIDAD :  MATERIALES Y ACCESORIOS</v>
          </cell>
        </row>
        <row r="25">
          <cell r="B25" t="str">
            <v>31</v>
          </cell>
          <cell r="C25" t="str">
            <v>ENSEÑANZA :  RPTOS. ACCESORIOS,  MATERIALES DIDACTICO Y UTILES</v>
          </cell>
        </row>
        <row r="26">
          <cell r="B26" t="str">
            <v>33</v>
          </cell>
          <cell r="C26" t="str">
            <v>EXTERMINACION :  REPUESTOS,  ACCESORIOS  Y PRODUCTOS</v>
          </cell>
        </row>
        <row r="27">
          <cell r="B27" t="str">
            <v>34</v>
          </cell>
          <cell r="C27" t="str">
            <v>FERTILIZANTES</v>
          </cell>
        </row>
        <row r="28">
          <cell r="B28" t="str">
            <v>35</v>
          </cell>
          <cell r="C28" t="str">
            <v>FISICA Y QUIMICA  :   MATERIALES, PRODUCTOS Y REACTIVOS</v>
          </cell>
        </row>
        <row r="29">
          <cell r="B29" t="str">
            <v>37</v>
          </cell>
          <cell r="C29" t="str">
            <v>FOTOGRAFIA, CINEMAT, TV Y FONOT. :  RPTOS.ACCES. Y MATERIALES</v>
          </cell>
        </row>
        <row r="30">
          <cell r="B30" t="str">
            <v>40</v>
          </cell>
          <cell r="C30" t="str">
            <v>FUNDICION Y SOLDADURA  :   RPTOS, ACCESORIOS Y MATERIALES</v>
          </cell>
        </row>
        <row r="31">
          <cell r="B31" t="str">
            <v>41</v>
          </cell>
          <cell r="C31" t="str">
            <v>HERRAMIENTAS  MANUAL Y MECANICAS  :   INCLUYE  ACCESORIOS</v>
          </cell>
        </row>
        <row r="32">
          <cell r="B32" t="str">
            <v>44</v>
          </cell>
          <cell r="C32" t="str">
            <v>IMPRESION, ENCUADERNACION Y PUBLICACION :  MATERIALES</v>
          </cell>
        </row>
        <row r="33">
          <cell r="B33" t="str">
            <v>47</v>
          </cell>
          <cell r="C33" t="str">
            <v>BIENES  IMPRESOS : FORMATOS,  FORMULARIOS Y SIMILARES IMPRESOS</v>
          </cell>
        </row>
        <row r="34">
          <cell r="B34" t="str">
            <v>48</v>
          </cell>
          <cell r="C34" t="str">
            <v>INGENIERIA, DIBUJO Y CARTOGRAFIA :  UTILES Y MATERIALES</v>
          </cell>
        </row>
        <row r="35">
          <cell r="B35" t="str">
            <v>49</v>
          </cell>
          <cell r="C35" t="str">
            <v>INSTRUMENTAL MED Y HOSPITAL :  REPTOS, ACCES, Y MATERIALES</v>
          </cell>
        </row>
        <row r="36">
          <cell r="B36" t="str">
            <v>50</v>
          </cell>
          <cell r="C36" t="str">
            <v>INDUSTRIA :  PROD. PARA FABRICACION, EXCEPTO MATERIAS PRIMAS</v>
          </cell>
        </row>
        <row r="37">
          <cell r="B37" t="str">
            <v>51</v>
          </cell>
          <cell r="C37" t="str">
            <v>LABOR. Y GABINETE: IMPLEM., RPTOS. ACC. Y MATERIALES</v>
          </cell>
        </row>
        <row r="38">
          <cell r="B38" t="str">
            <v>54</v>
          </cell>
          <cell r="C38" t="str">
            <v>LIBROS, DIARIOS,  REVISTAS Y PUBLICACIONES PERIODICAS</v>
          </cell>
        </row>
        <row r="39">
          <cell r="B39" t="str">
            <v>59</v>
          </cell>
          <cell r="C39" t="str">
            <v>MEDICINAS</v>
          </cell>
        </row>
        <row r="40">
          <cell r="B40" t="str">
            <v>63</v>
          </cell>
          <cell r="C40" t="str">
            <v>MINERO Y FERROVIARIO: REPUESTOS, ACCESORIOS Y MATERIALES</v>
          </cell>
        </row>
        <row r="41">
          <cell r="B41" t="str">
            <v>64</v>
          </cell>
          <cell r="C41" t="str">
            <v>ENCERES Y ACCESORIOS  :  INCLUYE AULAS Y TALLERES</v>
          </cell>
        </row>
        <row r="42">
          <cell r="B42" t="str">
            <v>70</v>
          </cell>
          <cell r="C42" t="str">
            <v>OFICINA EQUIPO Y MAQUINARIAS   :  REPUESTOS Y ACCESORIOS</v>
          </cell>
        </row>
        <row r="43">
          <cell r="B43" t="str">
            <v>71</v>
          </cell>
          <cell r="C43" t="str">
            <v>OFICINA  :   UTILES Y MATERIALES</v>
          </cell>
        </row>
        <row r="44">
          <cell r="B44" t="str">
            <v>73</v>
          </cell>
          <cell r="C44" t="str">
            <v>PINTURAS, BARNIS, PEGAM. Y OT. REVESTIM  :  PROD.Y ACCES</v>
          </cell>
        </row>
        <row r="45">
          <cell r="B45" t="str">
            <v>75</v>
          </cell>
          <cell r="C45" t="str">
            <v>PRECIS, MEDIC, REG Y CONTROL: REPUESTOS Y ACCESORIOS</v>
          </cell>
        </row>
        <row r="46">
          <cell r="B46" t="str">
            <v>76</v>
          </cell>
          <cell r="C46" t="str">
            <v>PROCES. AUTOM. DE DATOS  :   RPTOS, ACCESORIOS Y MATERIALES</v>
          </cell>
        </row>
        <row r="47">
          <cell r="B47" t="str">
            <v>77</v>
          </cell>
          <cell r="C47" t="str">
            <v>PISCICULTURA: MATERIALES Y REPUESTOS</v>
          </cell>
        </row>
        <row r="48">
          <cell r="B48" t="str">
            <v>79</v>
          </cell>
          <cell r="C48" t="str">
            <v>ROPA DE CAMA Y EQUIPO DE CAMPAÑA</v>
          </cell>
        </row>
        <row r="49">
          <cell r="B49" t="str">
            <v>80</v>
          </cell>
          <cell r="C49" t="str">
            <v>SEGURIDAD: REPUESTOS, ACCESORIOS Y PROTECTORES</v>
          </cell>
        </row>
        <row r="50">
          <cell r="B50" t="str">
            <v>84</v>
          </cell>
          <cell r="C50" t="str">
            <v>SEÑALIZADORES DE TRANSITO</v>
          </cell>
        </row>
        <row r="51">
          <cell r="B51" t="str">
            <v>85</v>
          </cell>
          <cell r="C51" t="str">
            <v>SIMBOLOS, DISTINTIVOS, CONDECORACIONES Y OBJETOS DECORATIVOS</v>
          </cell>
        </row>
        <row r="52">
          <cell r="B52" t="str">
            <v>87</v>
          </cell>
          <cell r="C52" t="str">
            <v>TALLERES  :   REPUESTOS Y ACCESORIOS</v>
          </cell>
        </row>
        <row r="53">
          <cell r="B53" t="str">
            <v>89</v>
          </cell>
          <cell r="C53" t="str">
            <v>TELAS Y MATERIALES TEXTILES. INCLUYE VESTUARIO</v>
          </cell>
        </row>
        <row r="54">
          <cell r="B54" t="str">
            <v>90</v>
          </cell>
          <cell r="C54" t="str">
            <v>TRANSMISION Y RODAMIENTO: REPUESTOS, ARTICULOS Y ACCESORIOS</v>
          </cell>
        </row>
        <row r="55">
          <cell r="B55" t="str">
            <v>91</v>
          </cell>
          <cell r="C55" t="str">
            <v>TRANSPORTE ACUATICO Y AEREO: REPUESTOS Y ACCESORIOS</v>
          </cell>
        </row>
        <row r="56">
          <cell r="B56" t="str">
            <v>94</v>
          </cell>
          <cell r="C56" t="str">
            <v>TRANSPORTE TERRESTRE: REPUESTOS Y ACCESORIOS</v>
          </cell>
        </row>
        <row r="57">
          <cell r="B57" t="str">
            <v>96</v>
          </cell>
          <cell r="C57" t="str">
            <v>TUBERIAS, CONEXIONES Y ACCESORIOS INC: MANGUERAS Y EMPAQUETA</v>
          </cell>
        </row>
        <row r="58">
          <cell r="B58" t="str">
            <v>99</v>
          </cell>
          <cell r="C58" t="str">
            <v>ZAPATERIA Y TALABARTERIA: PROD., MATERIALES.,  ACC. Y RPTOS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CARATULA"/>
      <sheetName val="2.CONTENIDO"/>
      <sheetName val="OBS"/>
      <sheetName val="METRADO "/>
      <sheetName val="CARTA"/>
      <sheetName val="RESIDENTE"/>
      <sheetName val="N4"/>
      <sheetName val="INFORME"/>
      <sheetName val="Hoja1"/>
      <sheetName val="Almanaque"/>
      <sheetName val="MODIFICACIONES"/>
      <sheetName val="N5"/>
      <sheetName val="4. F26 PARTIDAS"/>
      <sheetName val="N6"/>
      <sheetName val="F15 VALORIZ A"/>
      <sheetName val="F15 VALORIZ B"/>
      <sheetName val="F15 VALORIZ C"/>
      <sheetName val="METRADO inf"/>
      <sheetName val="F15 VALORIZ COM"/>
      <sheetName val="N7"/>
      <sheetName val="N8"/>
      <sheetName val="JPG"/>
      <sheetName val="N9"/>
      <sheetName val="Acta"/>
      <sheetName val="FOTO"/>
      <sheetName val="F21 VAL APORTES"/>
      <sheetName val="VALORIZ APORTE"/>
      <sheetName val="VAL"/>
      <sheetName val="1. ESTADO SITUACIONAL"/>
      <sheetName val=" 2. FICHA TECNICA-201"/>
      <sheetName val="3. F23 TITULOS"/>
      <sheetName val="CROAD"/>
      <sheetName val="SECTORES"/>
      <sheetName val="PROGRAMADO"/>
      <sheetName val="5. F15 VALORIZACION SEMANAL"/>
      <sheetName val="FLETE"/>
      <sheetName val="6. CURVA S"/>
      <sheetName val="7. DATOS-201"/>
      <sheetName val="INF. MI VIVIEN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E ANTERIOR"/>
      <sheetName val="INFORME RESUMEN"/>
      <sheetName val="INFORME"/>
      <sheetName val="Hoja2"/>
      <sheetName val="RESOLUCIONES"/>
      <sheetName val="Hoja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TOTAL"/>
      <sheetName val="RESUMEN TOTAL"/>
      <sheetName val="CRON. ACt."/>
      <sheetName val="Curva S "/>
      <sheetName val="RESUMEN (CHAL.)"/>
      <sheetName val="Reaj. (CHAL.)"/>
      <sheetName val="AMORT. A.D (CHAL.)"/>
      <sheetName val="DED.EF. (CHAL.)"/>
      <sheetName val="AM.MAT. (CHAL.)"/>
      <sheetName val="PLANILLA TRAMO CHALLUAYACU"/>
      <sheetName val="F-POL. (CHAL)"/>
      <sheetName val="Curva S (CHAL)"/>
      <sheetName val="RESUMEN (S.F.)"/>
      <sheetName val="Reaj. (S.F.)"/>
      <sheetName val="AMORT. A.D (S.F.)"/>
      <sheetName val="DED.EF. (S.F.)"/>
      <sheetName val="AM.MAT. S.F."/>
      <sheetName val="F-POL. (S.F.)"/>
      <sheetName val="PLANILLA TRAMO S. FRANC."/>
      <sheetName val="Curva S  (S.F.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01.Caratula"/>
      <sheetName val="F-02.Contenido"/>
      <sheetName val="F-03.FichaTecn."/>
      <sheetName val="F-04.MetaAnual"/>
      <sheetName val="F-05.ResumEjec"/>
      <sheetName val="F-06.Recursos-1"/>
      <sheetName val="F-06.Recursos-2"/>
      <sheetName val="07-NO"/>
      <sheetName val="F-07.Control-T-C-A"/>
      <sheetName val="EJECUCION FISICA"/>
      <sheetName val="F-08.Res.Avance"/>
      <sheetName val="F-09.Res.Valoriz."/>
      <sheetName val="F-10.Valorizacion B II,CPyMC"/>
      <sheetName val="10-NO"/>
      <sheetName val="F-10.Valorizacion B IIIyIV"/>
      <sheetName val="F-10.Valorizacion B V"/>
      <sheetName val="F-10.Valorizacion MOByEQP"/>
      <sheetName val="F-10.V-MM B II,CPyMC"/>
      <sheetName val="F-10.V-MM B IIIyIV"/>
      <sheetName val="F-12.V-PartAdic B II,CPyMC"/>
      <sheetName val="F-12.V-PartAdic B IIIyIV"/>
      <sheetName val="EJEC.FINANCIERA"/>
      <sheetName val="F-14 Resum.Gral.EjeFinan."/>
      <sheetName val="F-15 Calend.Comprom."/>
      <sheetName val="PANEL FOTOGRAFICO"/>
      <sheetName val="FOTOGRAFIAS"/>
      <sheetName val="SUSTENTO EJEC.OBRA"/>
      <sheetName val="Met_Dario B II,CPyMC"/>
      <sheetName val="Met_Dario B IIIyIV"/>
      <sheetName val="Met_Dario B V"/>
      <sheetName val="Met_Dario MOByEQP"/>
      <sheetName val="Met_Dario MM B II,CPyMC"/>
      <sheetName val="Met_Dario MM B IIIyIV"/>
      <sheetName val="Met_Dario PARTNUEVAS B IIIyIV"/>
      <sheetName val="Sust.Mtdos.-01"/>
      <sheetName val="Sust.Mtdos.-02"/>
      <sheetName val="Sust.Mtdos.-03"/>
      <sheetName val="Sust.Mtdos.-04"/>
      <sheetName val="Sust.Mtdos.-05"/>
      <sheetName val="Sust.Mtdos.-06"/>
      <sheetName val="Plla_Pers"/>
      <sheetName val="Res.Men_Alm"/>
      <sheetName val="Mov.Men_Alm"/>
      <sheetName val="Mov.Dia_Alm"/>
      <sheetName val="Res.Men_EqMec"/>
      <sheetName val="Mov.Men_EqMec"/>
      <sheetName val="Cont.Dia_EqMec"/>
      <sheetName val="Cont.CºHidra"/>
      <sheetName val="Cont.Aten.Req"/>
      <sheetName val="Cont_Rend"/>
      <sheetName val="32"/>
      <sheetName val="31"/>
      <sheetName val="18"/>
      <sheetName val="21"/>
      <sheetName val="F-71MOVIMIENTO MA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Hoja1"/>
      <sheetName val="Hoja2"/>
      <sheetName val="Hoja3"/>
      <sheetName val="Reaj. (CHAL.)"/>
    </sheetNames>
    <sheetDataSet>
      <sheetData sheetId="0" refreshError="1">
        <row r="6">
          <cell r="A6" t="str">
            <v>ITEM</v>
          </cell>
          <cell r="B6" t="str">
            <v>JEFATURA ZONAL I</v>
          </cell>
          <cell r="C6" t="str">
            <v>CIU</v>
          </cell>
          <cell r="D6" t="str">
            <v>DESCRIPCIÓN</v>
          </cell>
          <cell r="E6" t="str">
            <v>Valor Referencial S/.</v>
          </cell>
          <cell r="F6" t="str">
            <v>Fecha Probable de Convocatoria</v>
          </cell>
          <cell r="G6" t="str">
            <v>Fuente de Financiamiento</v>
          </cell>
          <cell r="H6" t="str">
            <v>SINTESIS ESPECIFICACIONES TECNICAS (PERFIL GENERICO)</v>
          </cell>
          <cell r="I6" t="str">
            <v>I TRIM</v>
          </cell>
          <cell r="J6" t="str">
            <v>II TRIM</v>
          </cell>
          <cell r="K6" t="str">
            <v>III TRIM</v>
          </cell>
          <cell r="L6" t="str">
            <v>IV TRIM</v>
          </cell>
          <cell r="M6" t="str">
            <v>TIPO MONEDA</v>
          </cell>
        </row>
        <row r="7">
          <cell r="A7">
            <v>1</v>
          </cell>
          <cell r="B7" t="str">
            <v>JEFATURA ZONAL I</v>
          </cell>
          <cell r="C7">
            <v>4530</v>
          </cell>
          <cell r="D7" t="str">
            <v>Mancora - Aguas Verdes y Pto. Pizarro-Emp. R1N</v>
          </cell>
          <cell r="E7">
            <v>372094</v>
          </cell>
          <cell r="F7" t="str">
            <v>JUNIO</v>
          </cell>
          <cell r="G7" t="str">
            <v>Recursos Directamente Recaudados</v>
          </cell>
          <cell r="H7" t="str">
            <v>Señalizacion Horizontal y Vertical</v>
          </cell>
          <cell r="I7">
            <v>0</v>
          </cell>
          <cell r="J7">
            <v>372094</v>
          </cell>
          <cell r="K7">
            <v>0</v>
          </cell>
          <cell r="L7">
            <v>0</v>
          </cell>
          <cell r="M7" t="str">
            <v>S/.</v>
          </cell>
        </row>
        <row r="8">
          <cell r="A8">
            <v>2</v>
          </cell>
          <cell r="B8" t="str">
            <v>JEFATURA ZONAL I</v>
          </cell>
          <cell r="C8">
            <v>4530</v>
          </cell>
          <cell r="D8" t="str">
            <v>Dv. Bayovar-Piura-Sullana-Mancora</v>
          </cell>
          <cell r="E8">
            <v>526430</v>
          </cell>
          <cell r="F8" t="str">
            <v>JUNIO</v>
          </cell>
          <cell r="G8" t="str">
            <v>Recursos Directamente Recaudados</v>
          </cell>
          <cell r="H8" t="str">
            <v>Señalizacion Horizontal y Vertical</v>
          </cell>
          <cell r="I8">
            <v>0</v>
          </cell>
          <cell r="J8">
            <v>526430</v>
          </cell>
          <cell r="K8">
            <v>0</v>
          </cell>
          <cell r="L8">
            <v>0</v>
          </cell>
          <cell r="M8" t="str">
            <v>S/.</v>
          </cell>
        </row>
        <row r="9">
          <cell r="A9">
            <v>3</v>
          </cell>
          <cell r="B9" t="str">
            <v>JEFATURA ZONAL I</v>
          </cell>
          <cell r="C9">
            <v>4530</v>
          </cell>
          <cell r="D9" t="str">
            <v>Noria Zapata-Piura-Sechura y Emp. R1B-Chulucanas</v>
          </cell>
          <cell r="E9">
            <v>288847</v>
          </cell>
          <cell r="F9" t="str">
            <v>JUNIO</v>
          </cell>
          <cell r="G9" t="str">
            <v>Recursos Directamente Recaudados</v>
          </cell>
          <cell r="H9" t="str">
            <v>Señalizacion Horizontal y Vertical</v>
          </cell>
          <cell r="I9">
            <v>0</v>
          </cell>
          <cell r="J9">
            <v>288847</v>
          </cell>
          <cell r="K9">
            <v>0</v>
          </cell>
          <cell r="L9">
            <v>0</v>
          </cell>
          <cell r="M9" t="str">
            <v>S/.</v>
          </cell>
        </row>
        <row r="10">
          <cell r="A10">
            <v>4</v>
          </cell>
          <cell r="B10" t="str">
            <v>JEFATURA ZONAL I</v>
          </cell>
          <cell r="C10">
            <v>4530</v>
          </cell>
          <cell r="D10" t="str">
            <v>Piura-Paita-Sullana-Pte. Macara</v>
          </cell>
          <cell r="E10">
            <v>462735</v>
          </cell>
          <cell r="F10" t="str">
            <v>JUNIO</v>
          </cell>
          <cell r="G10" t="str">
            <v>Recursos Directamente Recaudados</v>
          </cell>
          <cell r="H10" t="str">
            <v>Señalizacion Horizontal y Vertical</v>
          </cell>
          <cell r="I10">
            <v>0</v>
          </cell>
          <cell r="J10">
            <v>462735</v>
          </cell>
          <cell r="K10">
            <v>0</v>
          </cell>
          <cell r="L10">
            <v>0</v>
          </cell>
          <cell r="M10" t="str">
            <v>S/.</v>
          </cell>
        </row>
        <row r="11">
          <cell r="A11">
            <v>5</v>
          </cell>
          <cell r="B11" t="str">
            <v>JEFATURA ZONAL II</v>
          </cell>
          <cell r="C11">
            <v>4530</v>
          </cell>
          <cell r="D11" t="str">
            <v>Lim. Reg-Chiclayo Dv. Bayovar Villa Eten-Via de Evit.</v>
          </cell>
          <cell r="E11">
            <v>361748</v>
          </cell>
          <cell r="F11" t="str">
            <v>JULIO</v>
          </cell>
          <cell r="G11" t="str">
            <v>Recursos Directamente Recaudados</v>
          </cell>
          <cell r="H11" t="str">
            <v>Señalizacion Horizontal y Vertical</v>
          </cell>
          <cell r="I11">
            <v>0</v>
          </cell>
          <cell r="J11">
            <v>0</v>
          </cell>
          <cell r="K11">
            <v>361748</v>
          </cell>
          <cell r="L11">
            <v>0</v>
          </cell>
          <cell r="M11" t="str">
            <v>S/.</v>
          </cell>
        </row>
        <row r="12">
          <cell r="A12">
            <v>6</v>
          </cell>
          <cell r="B12" t="str">
            <v>JEFATURA ZONAL II</v>
          </cell>
          <cell r="C12">
            <v>4530</v>
          </cell>
          <cell r="D12" t="str">
            <v>Lambayeque-Olmos-Noria Zapata y Chiclayo-Ferreñafe</v>
          </cell>
          <cell r="E12">
            <v>353198</v>
          </cell>
          <cell r="F12" t="str">
            <v>JULIO</v>
          </cell>
          <cell r="G12" t="str">
            <v>Recursos Directamente Recaudados</v>
          </cell>
          <cell r="H12" t="str">
            <v>Señalizacion Horizontal y Vertical</v>
          </cell>
          <cell r="I12">
            <v>0</v>
          </cell>
          <cell r="J12">
            <v>0</v>
          </cell>
          <cell r="K12">
            <v>353198</v>
          </cell>
          <cell r="L12">
            <v>0</v>
          </cell>
          <cell r="M12" t="str">
            <v>S/.</v>
          </cell>
        </row>
        <row r="13">
          <cell r="A13">
            <v>7</v>
          </cell>
          <cell r="B13" t="str">
            <v>JEFATURA ZONAL II</v>
          </cell>
          <cell r="C13">
            <v>4530</v>
          </cell>
          <cell r="D13" t="str">
            <v>Pimentel-Chiclayo -Pte. Cumbil-Sipan-Pampagrande</v>
          </cell>
          <cell r="E13">
            <v>300153</v>
          </cell>
          <cell r="F13" t="str">
            <v>JULIO</v>
          </cell>
          <cell r="G13" t="str">
            <v>Recursos Directamente Recaudados</v>
          </cell>
          <cell r="H13" t="str">
            <v>Señalizacion Horizontal y Vertical</v>
          </cell>
          <cell r="I13">
            <v>0</v>
          </cell>
          <cell r="J13">
            <v>0</v>
          </cell>
          <cell r="K13">
            <v>300153</v>
          </cell>
          <cell r="L13">
            <v>0</v>
          </cell>
          <cell r="M13" t="str">
            <v>S/.</v>
          </cell>
        </row>
        <row r="14">
          <cell r="A14">
            <v>8</v>
          </cell>
          <cell r="B14" t="str">
            <v>JEFATURA ZONAL III</v>
          </cell>
          <cell r="C14">
            <v>4530</v>
          </cell>
          <cell r="D14" t="str">
            <v>Dv. Olmos - Corral Quemado</v>
          </cell>
          <cell r="E14">
            <v>410579</v>
          </cell>
          <cell r="F14" t="str">
            <v>AGOSTO</v>
          </cell>
          <cell r="G14" t="str">
            <v>Recursos Directamente Recaudados</v>
          </cell>
          <cell r="H14" t="str">
            <v>Señalizacion Horizontal y Vertical</v>
          </cell>
          <cell r="I14">
            <v>0</v>
          </cell>
          <cell r="J14">
            <v>0</v>
          </cell>
          <cell r="K14">
            <v>410579</v>
          </cell>
          <cell r="L14">
            <v>0</v>
          </cell>
          <cell r="M14" t="str">
            <v>S/.</v>
          </cell>
        </row>
        <row r="15">
          <cell r="A15">
            <v>9</v>
          </cell>
          <cell r="B15" t="str">
            <v>JEFATURA ZONAL III</v>
          </cell>
          <cell r="C15">
            <v>4530</v>
          </cell>
          <cell r="D15" t="str">
            <v>Chamaya - Jaen - San Ignacio</v>
          </cell>
          <cell r="E15">
            <v>510917</v>
          </cell>
          <cell r="F15" t="str">
            <v>AGOSTO</v>
          </cell>
          <cell r="G15" t="str">
            <v>Recursos Directamente Recaudados</v>
          </cell>
          <cell r="H15" t="str">
            <v>Señalizacion Horizontal y Vertical</v>
          </cell>
          <cell r="I15">
            <v>0</v>
          </cell>
          <cell r="J15">
            <v>0</v>
          </cell>
          <cell r="K15">
            <v>510917</v>
          </cell>
          <cell r="L15">
            <v>0</v>
          </cell>
          <cell r="M15" t="str">
            <v>S/.</v>
          </cell>
        </row>
        <row r="16">
          <cell r="A16">
            <v>10</v>
          </cell>
          <cell r="B16" t="str">
            <v>JEFATURA ZONAL IV</v>
          </cell>
          <cell r="C16">
            <v>4530</v>
          </cell>
          <cell r="D16" t="str">
            <v>Corral Quemado - Rio Nieva-Rioja</v>
          </cell>
          <cell r="E16">
            <v>819503</v>
          </cell>
          <cell r="F16" t="str">
            <v>MAYO</v>
          </cell>
          <cell r="G16" t="str">
            <v>Recursos Directamente Recaudados</v>
          </cell>
          <cell r="H16" t="str">
            <v>Señalizacion Horizontal y Vertical</v>
          </cell>
          <cell r="I16">
            <v>0</v>
          </cell>
          <cell r="J16">
            <v>819503</v>
          </cell>
          <cell r="K16">
            <v>0</v>
          </cell>
          <cell r="L16">
            <v>0</v>
          </cell>
          <cell r="M16" t="str">
            <v>S/.</v>
          </cell>
        </row>
        <row r="17">
          <cell r="A17">
            <v>11</v>
          </cell>
          <cell r="B17" t="str">
            <v>JEFATURA ZONAL V</v>
          </cell>
          <cell r="C17">
            <v>4530</v>
          </cell>
          <cell r="D17" t="str">
            <v>Emp. R1N - Cajamarca</v>
          </cell>
          <cell r="E17">
            <v>458783</v>
          </cell>
          <cell r="F17" t="str">
            <v>MARZO</v>
          </cell>
          <cell r="G17" t="str">
            <v>Recursos Directamente Recaudados</v>
          </cell>
          <cell r="H17" t="str">
            <v>Señalizacion Horizontal y Vertical</v>
          </cell>
          <cell r="I17">
            <v>458783</v>
          </cell>
          <cell r="J17">
            <v>0</v>
          </cell>
          <cell r="K17">
            <v>0</v>
          </cell>
          <cell r="L17">
            <v>0</v>
          </cell>
          <cell r="M17" t="str">
            <v>S/.</v>
          </cell>
        </row>
        <row r="18">
          <cell r="A18">
            <v>12</v>
          </cell>
          <cell r="B18" t="str">
            <v>JEFATURA ZONAL V</v>
          </cell>
          <cell r="C18">
            <v>4530</v>
          </cell>
          <cell r="D18" t="str">
            <v>Salaverry-Emp. R1N Shiran</v>
          </cell>
          <cell r="E18">
            <v>96534</v>
          </cell>
          <cell r="F18" t="str">
            <v>MARZO</v>
          </cell>
          <cell r="G18" t="str">
            <v>Recursos Directamente Recaudados</v>
          </cell>
          <cell r="H18" t="str">
            <v>Señalizacion Horizontal y Vertical</v>
          </cell>
          <cell r="I18">
            <v>96534</v>
          </cell>
          <cell r="J18">
            <v>0</v>
          </cell>
          <cell r="K18">
            <v>0</v>
          </cell>
          <cell r="L18">
            <v>0</v>
          </cell>
          <cell r="M18" t="str">
            <v>S/.</v>
          </cell>
        </row>
        <row r="19">
          <cell r="A19">
            <v>13</v>
          </cell>
          <cell r="B19" t="str">
            <v>JEFATURA ZONAL V</v>
          </cell>
          <cell r="C19">
            <v>4530</v>
          </cell>
          <cell r="D19" t="str">
            <v>Pte. Santa - Lim. Reg y Vía de Evitamiento</v>
          </cell>
          <cell r="E19">
            <v>512396</v>
          </cell>
          <cell r="F19" t="str">
            <v>MARZO</v>
          </cell>
          <cell r="G19" t="str">
            <v>Recursos Directamente Recaudados</v>
          </cell>
          <cell r="H19" t="str">
            <v>Señalizacion Horizontal y Vertical</v>
          </cell>
          <cell r="I19">
            <v>512396</v>
          </cell>
          <cell r="J19">
            <v>0</v>
          </cell>
          <cell r="K19">
            <v>0</v>
          </cell>
          <cell r="L19">
            <v>0</v>
          </cell>
          <cell r="M19" t="str">
            <v>S/.</v>
          </cell>
        </row>
        <row r="20">
          <cell r="A20">
            <v>14</v>
          </cell>
          <cell r="B20" t="str">
            <v>JEFATURA ZONAL VI</v>
          </cell>
          <cell r="C20">
            <v>4530</v>
          </cell>
          <cell r="D20" t="str">
            <v>Pativilca -Conococha-Huaraz - Huallanca</v>
          </cell>
          <cell r="E20">
            <v>708750</v>
          </cell>
          <cell r="F20" t="str">
            <v>ABRIL</v>
          </cell>
          <cell r="G20" t="str">
            <v>Recursos Directamente Recaudados</v>
          </cell>
          <cell r="H20" t="str">
            <v>Señalizacion Horizontal y Vertical</v>
          </cell>
          <cell r="I20">
            <v>0</v>
          </cell>
          <cell r="J20">
            <v>708750</v>
          </cell>
          <cell r="K20">
            <v>0</v>
          </cell>
          <cell r="L20">
            <v>0</v>
          </cell>
          <cell r="M20" t="str">
            <v>S/.</v>
          </cell>
        </row>
        <row r="21">
          <cell r="A21">
            <v>15</v>
          </cell>
          <cell r="B21" t="str">
            <v>JEFATURA ZONAL VI</v>
          </cell>
          <cell r="C21">
            <v>4530</v>
          </cell>
          <cell r="D21" t="str">
            <v>Pativilca - Pte. Santa y Casma - Pariacoto</v>
          </cell>
          <cell r="E21">
            <v>560700</v>
          </cell>
          <cell r="F21" t="str">
            <v>ABRIL</v>
          </cell>
          <cell r="G21" t="str">
            <v>Recursos Directamente Recaudados</v>
          </cell>
          <cell r="H21" t="str">
            <v>Señalizacion Horizontal y Vertical</v>
          </cell>
          <cell r="I21">
            <v>0</v>
          </cell>
          <cell r="J21">
            <v>560700</v>
          </cell>
          <cell r="K21">
            <v>0</v>
          </cell>
          <cell r="L21">
            <v>0</v>
          </cell>
          <cell r="M21" t="str">
            <v>S/.</v>
          </cell>
        </row>
        <row r="22">
          <cell r="A22">
            <v>16</v>
          </cell>
          <cell r="B22" t="str">
            <v>JEFATURA ZONAL VII</v>
          </cell>
          <cell r="C22">
            <v>4530</v>
          </cell>
          <cell r="D22" t="str">
            <v xml:space="preserve">Dv. Ancón (Serpentin y Variante)-Pativilca </v>
          </cell>
          <cell r="E22">
            <v>544637</v>
          </cell>
          <cell r="F22" t="str">
            <v>MAYO</v>
          </cell>
          <cell r="G22" t="str">
            <v>Recursos Directamente Recaudados</v>
          </cell>
          <cell r="H22" t="str">
            <v>Señalizacion Horizontal y Vertical</v>
          </cell>
          <cell r="I22">
            <v>0</v>
          </cell>
          <cell r="J22">
            <v>544637</v>
          </cell>
          <cell r="K22">
            <v>0</v>
          </cell>
          <cell r="L22">
            <v>0</v>
          </cell>
          <cell r="M22" t="str">
            <v>S/.</v>
          </cell>
        </row>
        <row r="23">
          <cell r="A23">
            <v>17</v>
          </cell>
          <cell r="B23" t="str">
            <v>JEFATURA ZONAL VII</v>
          </cell>
          <cell r="C23">
            <v>4530</v>
          </cell>
          <cell r="D23" t="str">
            <v>Huaura - Sayan y Ovalo Chancay - Huaral - Emp. R1N</v>
          </cell>
          <cell r="E23">
            <v>124016</v>
          </cell>
          <cell r="F23" t="str">
            <v>MARZO</v>
          </cell>
          <cell r="G23" t="str">
            <v>Recursos Directamente Recaudados</v>
          </cell>
          <cell r="H23" t="str">
            <v>Señalizacion Horizontal y Vertical</v>
          </cell>
          <cell r="I23">
            <v>0</v>
          </cell>
          <cell r="J23">
            <v>124016</v>
          </cell>
          <cell r="K23">
            <v>0</v>
          </cell>
          <cell r="L23">
            <v>0</v>
          </cell>
          <cell r="M23" t="str">
            <v>S/.</v>
          </cell>
        </row>
        <row r="24">
          <cell r="A24">
            <v>18</v>
          </cell>
          <cell r="B24" t="str">
            <v>JEFATURA ZONAL VIII</v>
          </cell>
          <cell r="C24">
            <v>4530</v>
          </cell>
          <cell r="D24" t="str">
            <v>Pte. Ricardo Palma - La Oroya</v>
          </cell>
          <cell r="E24">
            <v>313469</v>
          </cell>
          <cell r="F24" t="str">
            <v>MARZO</v>
          </cell>
          <cell r="G24" t="str">
            <v>Recursos Directamente Recaudados</v>
          </cell>
          <cell r="H24" t="str">
            <v>Señalizacion Horizontal y Vertical</v>
          </cell>
          <cell r="I24">
            <v>313469</v>
          </cell>
          <cell r="J24">
            <v>0</v>
          </cell>
          <cell r="K24">
            <v>0</v>
          </cell>
          <cell r="L24">
            <v>0</v>
          </cell>
          <cell r="M24" t="str">
            <v>S/.</v>
          </cell>
        </row>
        <row r="25">
          <cell r="A25">
            <v>19</v>
          </cell>
          <cell r="B25" t="str">
            <v>JEFATURA ZONAL VIII</v>
          </cell>
          <cell r="C25">
            <v>4530</v>
          </cell>
          <cell r="D25" t="str">
            <v>La Oroya - Huancayo</v>
          </cell>
          <cell r="E25">
            <v>476831</v>
          </cell>
          <cell r="F25" t="str">
            <v>MARZO</v>
          </cell>
          <cell r="G25" t="str">
            <v>Recursos Directamente Recaudados</v>
          </cell>
          <cell r="H25" t="str">
            <v>Señalizacion Horizontal y Vertical</v>
          </cell>
          <cell r="I25">
            <v>476831</v>
          </cell>
          <cell r="J25">
            <v>0</v>
          </cell>
          <cell r="K25">
            <v>0</v>
          </cell>
          <cell r="L25">
            <v>0</v>
          </cell>
          <cell r="M25" t="str">
            <v>S/.</v>
          </cell>
        </row>
        <row r="26">
          <cell r="A26">
            <v>20</v>
          </cell>
          <cell r="B26" t="str">
            <v>JEFATURA ZONAL VIII</v>
          </cell>
          <cell r="C26">
            <v>4530</v>
          </cell>
          <cell r="D26" t="str">
            <v>Dv. Las Vegas-Tarma - La Merced - Satipo</v>
          </cell>
          <cell r="E26">
            <v>460725</v>
          </cell>
          <cell r="F26" t="str">
            <v>MARZO</v>
          </cell>
          <cell r="G26" t="str">
            <v>Recursos Directamente Recaudados</v>
          </cell>
          <cell r="H26" t="str">
            <v>Señalizacion Horizontal y Vertical</v>
          </cell>
          <cell r="I26">
            <v>460725</v>
          </cell>
          <cell r="J26">
            <v>0</v>
          </cell>
          <cell r="K26">
            <v>0</v>
          </cell>
          <cell r="L26">
            <v>0</v>
          </cell>
          <cell r="M26" t="str">
            <v>S/.</v>
          </cell>
        </row>
        <row r="27">
          <cell r="A27">
            <v>21</v>
          </cell>
          <cell r="B27" t="str">
            <v>JEFATURA ZONAL IX</v>
          </cell>
          <cell r="C27">
            <v>4530</v>
          </cell>
          <cell r="D27" t="str">
            <v>Lima - Canta</v>
          </cell>
          <cell r="E27">
            <v>400000</v>
          </cell>
          <cell r="F27" t="str">
            <v>SETIEMBRE</v>
          </cell>
          <cell r="G27" t="str">
            <v>Recursos Directamente Recaudados</v>
          </cell>
          <cell r="H27" t="str">
            <v>Señalizacion Horizontal y Vertical</v>
          </cell>
          <cell r="I27">
            <v>0</v>
          </cell>
          <cell r="J27">
            <v>0</v>
          </cell>
          <cell r="K27">
            <v>400000</v>
          </cell>
          <cell r="L27">
            <v>0</v>
          </cell>
          <cell r="M27" t="str">
            <v>S/.</v>
          </cell>
        </row>
        <row r="28">
          <cell r="A28">
            <v>22</v>
          </cell>
          <cell r="B28" t="str">
            <v>JEFATURA ZONAL IX</v>
          </cell>
          <cell r="C28">
            <v>4530</v>
          </cell>
          <cell r="D28" t="str">
            <v>Pte. Pucusana - Pte. Clarita</v>
          </cell>
          <cell r="E28">
            <v>389142</v>
          </cell>
          <cell r="F28" t="str">
            <v>OCTUBRE</v>
          </cell>
          <cell r="G28" t="str">
            <v>Recursos Directamente Recaudados</v>
          </cell>
          <cell r="H28" t="str">
            <v>Señalizacion Horizontal y Vertical</v>
          </cell>
          <cell r="I28">
            <v>0</v>
          </cell>
          <cell r="J28">
            <v>0</v>
          </cell>
          <cell r="K28">
            <v>389142</v>
          </cell>
          <cell r="L28">
            <v>0</v>
          </cell>
          <cell r="M28" t="str">
            <v>S/.</v>
          </cell>
        </row>
        <row r="29">
          <cell r="A29">
            <v>23</v>
          </cell>
          <cell r="B29" t="str">
            <v>JEFATURA ZONAL IX</v>
          </cell>
          <cell r="C29">
            <v>4530</v>
          </cell>
          <cell r="D29" t="str">
            <v>San Vicente -Lunahuana</v>
          </cell>
          <cell r="E29">
            <v>300000</v>
          </cell>
          <cell r="F29" t="str">
            <v>SETIEMBRE</v>
          </cell>
          <cell r="G29" t="str">
            <v>Recursos Directamente Recaudados</v>
          </cell>
          <cell r="H29" t="str">
            <v>Señalizacion Horizontal y Vertical</v>
          </cell>
          <cell r="I29">
            <v>0</v>
          </cell>
          <cell r="J29">
            <v>0</v>
          </cell>
          <cell r="K29">
            <v>300000</v>
          </cell>
          <cell r="L29">
            <v>0</v>
          </cell>
          <cell r="M29" t="str">
            <v>S/.</v>
          </cell>
        </row>
        <row r="30">
          <cell r="A30">
            <v>24</v>
          </cell>
          <cell r="B30" t="str">
            <v>JEFATURA ZONAL X</v>
          </cell>
          <cell r="C30">
            <v>4530</v>
          </cell>
          <cell r="D30" t="str">
            <v>La Oroya - Chicrin</v>
          </cell>
          <cell r="E30">
            <v>392076</v>
          </cell>
          <cell r="F30" t="str">
            <v>MARZO</v>
          </cell>
          <cell r="G30" t="str">
            <v>Recursos Directamente Recaudados</v>
          </cell>
          <cell r="H30" t="str">
            <v>Señalizacion Horizontal y Vertical</v>
          </cell>
          <cell r="I30">
            <v>392076</v>
          </cell>
          <cell r="J30">
            <v>0</v>
          </cell>
          <cell r="K30">
            <v>0</v>
          </cell>
          <cell r="L30">
            <v>0</v>
          </cell>
          <cell r="M30" t="str">
            <v>S/.</v>
          </cell>
        </row>
        <row r="31">
          <cell r="A31">
            <v>25</v>
          </cell>
          <cell r="B31" t="str">
            <v>JEFATURA ZONAL X</v>
          </cell>
          <cell r="C31">
            <v>4530</v>
          </cell>
          <cell r="D31" t="str">
            <v>Chicrin - Tingo Maria - Aspuzana</v>
          </cell>
          <cell r="E31">
            <v>844454</v>
          </cell>
          <cell r="F31" t="str">
            <v>MARZO</v>
          </cell>
          <cell r="G31" t="str">
            <v>Recursos Directamente Recaudados</v>
          </cell>
          <cell r="H31" t="str">
            <v>Señalizacion Horizontal y Vertical</v>
          </cell>
          <cell r="I31">
            <v>844454</v>
          </cell>
          <cell r="J31">
            <v>0</v>
          </cell>
          <cell r="K31">
            <v>0</v>
          </cell>
          <cell r="L31">
            <v>0</v>
          </cell>
          <cell r="M31" t="str">
            <v>S/.</v>
          </cell>
        </row>
        <row r="32">
          <cell r="A32">
            <v>26</v>
          </cell>
          <cell r="B32" t="str">
            <v>JEFATURA ZONAL XI</v>
          </cell>
          <cell r="C32">
            <v>4530</v>
          </cell>
          <cell r="D32" t="str">
            <v>San Clemente -  Pte. Choclococha</v>
          </cell>
          <cell r="E32">
            <v>469195</v>
          </cell>
          <cell r="F32" t="str">
            <v>OCTUBRE</v>
          </cell>
          <cell r="G32" t="str">
            <v>Recursos Directamente Recaudados</v>
          </cell>
          <cell r="H32" t="str">
            <v>Señalizacion Horizontal y Vertical</v>
          </cell>
          <cell r="I32">
            <v>0</v>
          </cell>
          <cell r="J32">
            <v>0</v>
          </cell>
          <cell r="K32">
            <v>0</v>
          </cell>
          <cell r="L32">
            <v>469195</v>
          </cell>
          <cell r="M32" t="str">
            <v>S/.</v>
          </cell>
        </row>
        <row r="33">
          <cell r="A33">
            <v>27</v>
          </cell>
          <cell r="B33" t="str">
            <v>JEFATURA ZONAL XII</v>
          </cell>
          <cell r="C33">
            <v>4530</v>
          </cell>
          <cell r="D33" t="str">
            <v>Pte. Clarita - Palpa</v>
          </cell>
          <cell r="E33">
            <v>458455</v>
          </cell>
          <cell r="F33" t="str">
            <v>OCTUBRE</v>
          </cell>
          <cell r="G33" t="str">
            <v>Recursos Directamente Recaudados</v>
          </cell>
          <cell r="H33" t="str">
            <v>Señalizacion Horizontal y Vertical</v>
          </cell>
          <cell r="I33">
            <v>0</v>
          </cell>
          <cell r="J33">
            <v>0</v>
          </cell>
          <cell r="K33">
            <v>0</v>
          </cell>
          <cell r="L33">
            <v>458455</v>
          </cell>
          <cell r="M33" t="str">
            <v>S/.</v>
          </cell>
        </row>
        <row r="34">
          <cell r="A34">
            <v>28</v>
          </cell>
          <cell r="B34" t="str">
            <v>JEFATURA ZONAL XII</v>
          </cell>
          <cell r="C34">
            <v>4530</v>
          </cell>
          <cell r="D34" t="str">
            <v>Palpa - Dv. Lomas y Variante Palpa</v>
          </cell>
          <cell r="E34">
            <v>406252</v>
          </cell>
          <cell r="F34" t="str">
            <v>OCTUBRE</v>
          </cell>
          <cell r="G34" t="str">
            <v>Recursos Directamente Recaudados</v>
          </cell>
          <cell r="H34" t="str">
            <v>Señalizacion Horizontal y Vertical</v>
          </cell>
          <cell r="I34">
            <v>0</v>
          </cell>
          <cell r="J34">
            <v>0</v>
          </cell>
          <cell r="K34">
            <v>0</v>
          </cell>
          <cell r="L34">
            <v>406252</v>
          </cell>
          <cell r="M34" t="str">
            <v>S/.</v>
          </cell>
        </row>
        <row r="35">
          <cell r="A35">
            <v>29</v>
          </cell>
          <cell r="B35" t="str">
            <v>JEFATURA ZONAL XII</v>
          </cell>
          <cell r="C35">
            <v>4530</v>
          </cell>
          <cell r="D35" t="str">
            <v>Pto. San Juan-Emp. R1S-Nasca-Puquio-Chalhuanca</v>
          </cell>
          <cell r="E35">
            <v>983006</v>
          </cell>
          <cell r="F35" t="str">
            <v>OCTUBRE</v>
          </cell>
          <cell r="G35" t="str">
            <v>Recursos Directamente Recaudados</v>
          </cell>
          <cell r="H35" t="str">
            <v>Señalizacion Horizontal y Vertical</v>
          </cell>
          <cell r="I35">
            <v>0</v>
          </cell>
          <cell r="J35">
            <v>0</v>
          </cell>
          <cell r="K35">
            <v>0</v>
          </cell>
          <cell r="L35">
            <v>983006</v>
          </cell>
          <cell r="M35" t="str">
            <v>S/.</v>
          </cell>
        </row>
        <row r="36">
          <cell r="A36">
            <v>30</v>
          </cell>
          <cell r="B36" t="str">
            <v>JEFATURA ZONAL XIII</v>
          </cell>
          <cell r="C36">
            <v>4530</v>
          </cell>
          <cell r="D36" t="str">
            <v>Pte. Choclococha - Ayacucho</v>
          </cell>
          <cell r="E36">
            <v>625947</v>
          </cell>
          <cell r="F36" t="str">
            <v>NOVIEMBRE</v>
          </cell>
          <cell r="G36" t="str">
            <v>Recursos Directamente Recaudados</v>
          </cell>
          <cell r="H36" t="str">
            <v>Señalizacion Horizontal y Vertical</v>
          </cell>
          <cell r="I36">
            <v>0</v>
          </cell>
          <cell r="J36">
            <v>0</v>
          </cell>
          <cell r="K36">
            <v>0</v>
          </cell>
          <cell r="L36">
            <v>625947</v>
          </cell>
          <cell r="M36" t="str">
            <v>S/.</v>
          </cell>
        </row>
        <row r="37">
          <cell r="A37">
            <v>31</v>
          </cell>
          <cell r="B37" t="str">
            <v>JEFATURA ZONAL XIV</v>
          </cell>
          <cell r="C37">
            <v>4530</v>
          </cell>
          <cell r="D37" t="str">
            <v>Dv. Lomas - Acceso Microondas</v>
          </cell>
          <cell r="E37">
            <v>757294</v>
          </cell>
          <cell r="F37" t="str">
            <v>NOVIEMBRE</v>
          </cell>
          <cell r="G37" t="str">
            <v>Recursos Directamente Recaudados</v>
          </cell>
          <cell r="H37" t="str">
            <v>Señalizacion Horizontal y Vertical</v>
          </cell>
          <cell r="I37">
            <v>0</v>
          </cell>
          <cell r="J37">
            <v>0</v>
          </cell>
          <cell r="K37">
            <v>0</v>
          </cell>
          <cell r="L37">
            <v>757294</v>
          </cell>
          <cell r="M37" t="str">
            <v>S/.</v>
          </cell>
        </row>
        <row r="38">
          <cell r="A38">
            <v>32</v>
          </cell>
          <cell r="B38" t="str">
            <v>JEFATURA ZONAL XIV</v>
          </cell>
          <cell r="C38">
            <v>4530</v>
          </cell>
          <cell r="D38" t="str">
            <v>Acceso Microondas Pte. Fiscal</v>
          </cell>
          <cell r="E38">
            <v>648891</v>
          </cell>
          <cell r="F38" t="str">
            <v>FEBRERO</v>
          </cell>
          <cell r="G38" t="str">
            <v>Recursos Directamente Recaudados</v>
          </cell>
          <cell r="H38" t="str">
            <v>Señalizacion Horizontal y Vertical</v>
          </cell>
          <cell r="I38">
            <v>0</v>
          </cell>
          <cell r="J38">
            <v>0</v>
          </cell>
          <cell r="K38">
            <v>0</v>
          </cell>
          <cell r="L38">
            <v>648891</v>
          </cell>
          <cell r="M38" t="str">
            <v>S/.</v>
          </cell>
        </row>
        <row r="39">
          <cell r="A39">
            <v>33</v>
          </cell>
          <cell r="B39" t="str">
            <v>JEFATURA ZONAL XV</v>
          </cell>
          <cell r="C39">
            <v>4530</v>
          </cell>
          <cell r="D39" t="str">
            <v>Ilo - Desaguadero (Tramos I - V)</v>
          </cell>
          <cell r="E39">
            <v>582950</v>
          </cell>
          <cell r="F39" t="str">
            <v>FEBRERO</v>
          </cell>
          <cell r="G39" t="str">
            <v>Recursos Directamente Recaudados</v>
          </cell>
          <cell r="H39" t="str">
            <v>Señalizacion Horizontal y Vertical</v>
          </cell>
          <cell r="I39">
            <v>0</v>
          </cell>
          <cell r="J39">
            <v>582950</v>
          </cell>
          <cell r="K39">
            <v>0</v>
          </cell>
          <cell r="L39">
            <v>0</v>
          </cell>
          <cell r="M39" t="str">
            <v>S/.</v>
          </cell>
        </row>
        <row r="40">
          <cell r="A40">
            <v>34</v>
          </cell>
          <cell r="B40" t="str">
            <v>JEFATURA ZONAL XV</v>
          </cell>
          <cell r="C40">
            <v>4530</v>
          </cell>
          <cell r="D40" t="str">
            <v>Pte. Fiscal- La Concordia</v>
          </cell>
          <cell r="E40">
            <v>504504</v>
          </cell>
          <cell r="F40" t="str">
            <v>FEBRERO</v>
          </cell>
          <cell r="G40" t="str">
            <v>Recursos Directamente Recaudados</v>
          </cell>
          <cell r="H40" t="str">
            <v>Señalizacion Horizontal y Vertical</v>
          </cell>
          <cell r="I40">
            <v>0</v>
          </cell>
          <cell r="J40">
            <v>504504</v>
          </cell>
          <cell r="K40">
            <v>0</v>
          </cell>
          <cell r="L40">
            <v>0</v>
          </cell>
          <cell r="M40" t="str">
            <v>S/.</v>
          </cell>
        </row>
        <row r="41">
          <cell r="A41">
            <v>35</v>
          </cell>
          <cell r="B41" t="str">
            <v>JEFATURA ZONAL XV</v>
          </cell>
          <cell r="C41">
            <v>4530</v>
          </cell>
          <cell r="D41" t="str">
            <v>Ilo - Tacna</v>
          </cell>
          <cell r="E41">
            <v>286372</v>
          </cell>
          <cell r="F41" t="str">
            <v>ABRIL</v>
          </cell>
          <cell r="G41" t="str">
            <v>Recursos Directamente Recaudados</v>
          </cell>
          <cell r="H41" t="str">
            <v>Señalizacion Horizontal y Vertical</v>
          </cell>
          <cell r="I41">
            <v>0</v>
          </cell>
          <cell r="J41">
            <v>286372</v>
          </cell>
          <cell r="K41">
            <v>0</v>
          </cell>
          <cell r="L41">
            <v>0</v>
          </cell>
          <cell r="M41" t="str">
            <v>S/.</v>
          </cell>
        </row>
        <row r="42">
          <cell r="A42">
            <v>36</v>
          </cell>
          <cell r="B42" t="str">
            <v>JEFATURA ZONAL XVI</v>
          </cell>
          <cell r="C42">
            <v>4530</v>
          </cell>
          <cell r="D42" t="str">
            <v>La Raya - Juliaca - Sta. Lucia</v>
          </cell>
          <cell r="E42">
            <v>585209</v>
          </cell>
          <cell r="F42" t="str">
            <v>ABRIL</v>
          </cell>
          <cell r="G42" t="str">
            <v>Recursos Directamente Recaudados</v>
          </cell>
          <cell r="H42" t="str">
            <v>Señalizacion Horizontal y Vertical</v>
          </cell>
          <cell r="I42">
            <v>585209</v>
          </cell>
          <cell r="J42">
            <v>0</v>
          </cell>
          <cell r="K42">
            <v>0</v>
          </cell>
          <cell r="L42">
            <v>0</v>
          </cell>
          <cell r="M42" t="str">
            <v>S/.</v>
          </cell>
        </row>
        <row r="43">
          <cell r="A43">
            <v>37</v>
          </cell>
          <cell r="B43" t="str">
            <v>JEFATURA ZONAL XVI</v>
          </cell>
          <cell r="C43">
            <v>4530</v>
          </cell>
          <cell r="D43" t="str">
            <v>Juliaca - Puno - Desaguadero</v>
          </cell>
          <cell r="E43">
            <v>569099</v>
          </cell>
          <cell r="F43" t="str">
            <v>ABRIL</v>
          </cell>
          <cell r="G43" t="str">
            <v>Recursos Directamente Recaudados</v>
          </cell>
          <cell r="H43" t="str">
            <v>Señalizacion Horizontal y Vertical</v>
          </cell>
          <cell r="I43">
            <v>569099</v>
          </cell>
          <cell r="J43">
            <v>0</v>
          </cell>
          <cell r="K43">
            <v>0</v>
          </cell>
          <cell r="L43">
            <v>0</v>
          </cell>
          <cell r="M43" t="str">
            <v>S/.</v>
          </cell>
        </row>
        <row r="44">
          <cell r="A44">
            <v>38</v>
          </cell>
          <cell r="B44" t="str">
            <v>JEFATURA ZONAL XVI</v>
          </cell>
          <cell r="C44">
            <v>4530</v>
          </cell>
          <cell r="D44" t="str">
            <v>Ilo - Desaguadero (Tramos VI - IX)</v>
          </cell>
          <cell r="E44">
            <v>450246</v>
          </cell>
          <cell r="F44" t="str">
            <v>ABRIL</v>
          </cell>
          <cell r="G44" t="str">
            <v>Recursos Directamente Recaudados</v>
          </cell>
          <cell r="H44" t="str">
            <v>Señalizacion Horizontal y Vertical</v>
          </cell>
          <cell r="I44">
            <v>450246</v>
          </cell>
          <cell r="J44">
            <v>0</v>
          </cell>
          <cell r="K44">
            <v>0</v>
          </cell>
          <cell r="L44">
            <v>0</v>
          </cell>
          <cell r="M44" t="str">
            <v>S/.</v>
          </cell>
        </row>
        <row r="45">
          <cell r="A45">
            <v>39</v>
          </cell>
          <cell r="B45" t="str">
            <v>JEFATURA ZONAL XVII</v>
          </cell>
          <cell r="C45">
            <v>4530</v>
          </cell>
          <cell r="D45" t="str">
            <v>Cusco - Abancay</v>
          </cell>
          <cell r="E45">
            <v>472047</v>
          </cell>
          <cell r="F45" t="str">
            <v>ABRIL</v>
          </cell>
          <cell r="G45" t="str">
            <v>Recursos Directamente Recaudados</v>
          </cell>
          <cell r="H45" t="str">
            <v>Señalizacion Horizontal y Vertical</v>
          </cell>
          <cell r="I45">
            <v>0</v>
          </cell>
          <cell r="J45">
            <v>472047</v>
          </cell>
          <cell r="K45">
            <v>0</v>
          </cell>
          <cell r="L45">
            <v>0</v>
          </cell>
          <cell r="M45" t="str">
            <v>S/.</v>
          </cell>
        </row>
        <row r="46">
          <cell r="A46">
            <v>40</v>
          </cell>
          <cell r="B46" t="str">
            <v>JEFATURA ZONAL XVII</v>
          </cell>
          <cell r="C46">
            <v>4530</v>
          </cell>
          <cell r="D46" t="str">
            <v>Circuito Turistico del Cusco</v>
          </cell>
          <cell r="E46">
            <v>370858</v>
          </cell>
          <cell r="F46" t="str">
            <v>ABRIL</v>
          </cell>
          <cell r="G46" t="str">
            <v>Recursos Directamente Recaudados</v>
          </cell>
          <cell r="H46" t="str">
            <v>Señalizacion Horizontal y Vertical</v>
          </cell>
          <cell r="I46">
            <v>0</v>
          </cell>
          <cell r="J46">
            <v>370858</v>
          </cell>
          <cell r="K46">
            <v>0</v>
          </cell>
          <cell r="L46">
            <v>0</v>
          </cell>
          <cell r="M46" t="str">
            <v>S/.</v>
          </cell>
        </row>
        <row r="47">
          <cell r="A47">
            <v>41</v>
          </cell>
          <cell r="B47" t="str">
            <v>JEFATURA ZONAL XVII</v>
          </cell>
          <cell r="C47">
            <v>4530</v>
          </cell>
          <cell r="D47" t="str">
            <v>Cusco - Sicuani - La Raya</v>
          </cell>
          <cell r="E47">
            <v>418491</v>
          </cell>
          <cell r="F47" t="str">
            <v>AGOSTO</v>
          </cell>
          <cell r="G47" t="str">
            <v>Recursos Directamente Recaudados</v>
          </cell>
          <cell r="H47" t="str">
            <v>Señalizacion Horizontal y Vertical</v>
          </cell>
          <cell r="I47">
            <v>0</v>
          </cell>
          <cell r="J47">
            <v>418491</v>
          </cell>
          <cell r="K47">
            <v>0</v>
          </cell>
          <cell r="L47">
            <v>0</v>
          </cell>
          <cell r="M47" t="str">
            <v>S/.</v>
          </cell>
        </row>
        <row r="48">
          <cell r="A48">
            <v>42</v>
          </cell>
          <cell r="B48" t="str">
            <v>OBRAS DE SEGURIDAD VIAL</v>
          </cell>
          <cell r="C48">
            <v>4520</v>
          </cell>
          <cell r="D48" t="str">
            <v>Construccion Pte.Peatonal Camana</v>
          </cell>
          <cell r="E48">
            <v>200000</v>
          </cell>
          <cell r="F48" t="str">
            <v>AGOSTO</v>
          </cell>
          <cell r="G48" t="str">
            <v>Recursos Directamente Recaudados</v>
          </cell>
          <cell r="H48" t="str">
            <v>Obra de Seguridad Vial</v>
          </cell>
          <cell r="I48">
            <v>0</v>
          </cell>
          <cell r="J48">
            <v>0</v>
          </cell>
          <cell r="K48">
            <v>200000</v>
          </cell>
          <cell r="L48">
            <v>0</v>
          </cell>
          <cell r="M48" t="str">
            <v>S/.</v>
          </cell>
        </row>
        <row r="49">
          <cell r="A49">
            <v>43</v>
          </cell>
          <cell r="B49" t="str">
            <v>OBRAS DE SEGURIDAD VIAL</v>
          </cell>
          <cell r="C49">
            <v>4520</v>
          </cell>
          <cell r="D49" t="str">
            <v>Construccion Pte.Peatonal Chao</v>
          </cell>
          <cell r="E49">
            <v>200000</v>
          </cell>
          <cell r="F49" t="str">
            <v>AGOSTO</v>
          </cell>
          <cell r="G49" t="str">
            <v>Recursos Directamente Recaudados</v>
          </cell>
          <cell r="H49" t="str">
            <v>Obra de Seguridad Vial</v>
          </cell>
          <cell r="I49">
            <v>0</v>
          </cell>
          <cell r="J49">
            <v>0</v>
          </cell>
          <cell r="K49">
            <v>200000</v>
          </cell>
          <cell r="L49">
            <v>0</v>
          </cell>
          <cell r="M49" t="str">
            <v>S/.</v>
          </cell>
        </row>
        <row r="50">
          <cell r="A50">
            <v>44</v>
          </cell>
          <cell r="B50" t="str">
            <v>OBRAS DE SEGURIDAD VIAL</v>
          </cell>
          <cell r="C50">
            <v>4520</v>
          </cell>
          <cell r="D50" t="str">
            <v>Construccion Pte.Peatonal Amarilis</v>
          </cell>
          <cell r="E50">
            <v>200000</v>
          </cell>
          <cell r="F50" t="str">
            <v>SETIEMBRE</v>
          </cell>
          <cell r="G50" t="str">
            <v>Recursos Directamente Recaudados</v>
          </cell>
          <cell r="H50" t="str">
            <v>Obra de Seguridad Vial</v>
          </cell>
          <cell r="I50">
            <v>0</v>
          </cell>
          <cell r="J50">
            <v>0</v>
          </cell>
          <cell r="K50">
            <v>200000</v>
          </cell>
          <cell r="L50">
            <v>0</v>
          </cell>
          <cell r="M50" t="str">
            <v>S/.</v>
          </cell>
        </row>
        <row r="51">
          <cell r="A51">
            <v>45</v>
          </cell>
          <cell r="B51" t="str">
            <v>OBRAS DE SEGURIDAD VIAL</v>
          </cell>
          <cell r="C51">
            <v>4520</v>
          </cell>
          <cell r="D51" t="str">
            <v>Construccion Pte.Peatonal Pan. Sur Km 59</v>
          </cell>
          <cell r="E51">
            <v>250000</v>
          </cell>
          <cell r="F51" t="str">
            <v>SETIEMBRE</v>
          </cell>
          <cell r="G51" t="str">
            <v>Recursos Directamente Recaudados</v>
          </cell>
          <cell r="H51" t="str">
            <v>Obra de Seguridad Vial</v>
          </cell>
          <cell r="I51">
            <v>0</v>
          </cell>
          <cell r="J51">
            <v>0</v>
          </cell>
          <cell r="K51">
            <v>250000</v>
          </cell>
          <cell r="L51">
            <v>0</v>
          </cell>
          <cell r="M51" t="str">
            <v>S/.</v>
          </cell>
        </row>
        <row r="52">
          <cell r="A52">
            <v>46</v>
          </cell>
          <cell r="B52" t="str">
            <v>OBRAS DE SEGURIDAD VIAL</v>
          </cell>
          <cell r="D52" t="str">
            <v>Remodelación de la Intersección Catacaos (Estudio)</v>
          </cell>
          <cell r="E52">
            <v>50000</v>
          </cell>
          <cell r="F52" t="str">
            <v>JULIO</v>
          </cell>
          <cell r="G52" t="str">
            <v>Recursos Directamente Recaudados</v>
          </cell>
          <cell r="H52" t="str">
            <v>Obra de Seguridad Vial</v>
          </cell>
          <cell r="I52">
            <v>0</v>
          </cell>
          <cell r="J52">
            <v>50000</v>
          </cell>
          <cell r="K52">
            <v>0</v>
          </cell>
          <cell r="L52">
            <v>0</v>
          </cell>
          <cell r="M52" t="str">
            <v>S/.</v>
          </cell>
        </row>
        <row r="53">
          <cell r="A53">
            <v>47</v>
          </cell>
          <cell r="B53" t="str">
            <v>OBRAS DE SEGURIDAD VIAL</v>
          </cell>
          <cell r="D53" t="str">
            <v>Remodelación de la Intersección Catacaos (Obrao)</v>
          </cell>
          <cell r="E53">
            <v>900000</v>
          </cell>
          <cell r="F53" t="str">
            <v>AGOSTO</v>
          </cell>
          <cell r="G53" t="str">
            <v>Recursos Directamente Recaudados</v>
          </cell>
          <cell r="H53" t="str">
            <v>Obra de Seguridad Vial</v>
          </cell>
          <cell r="I53">
            <v>0</v>
          </cell>
          <cell r="J53">
            <v>900000</v>
          </cell>
          <cell r="K53">
            <v>0</v>
          </cell>
          <cell r="L53">
            <v>0</v>
          </cell>
          <cell r="M53" t="str">
            <v>S/.</v>
          </cell>
        </row>
        <row r="54">
          <cell r="A54">
            <v>48</v>
          </cell>
          <cell r="B54" t="str">
            <v>OBRAS DE SEGURIDAD VIAL</v>
          </cell>
          <cell r="C54">
            <v>4530</v>
          </cell>
          <cell r="D54" t="str">
            <v>Señalización de Unidades de Peajes</v>
          </cell>
          <cell r="E54">
            <v>2000000</v>
          </cell>
          <cell r="F54" t="str">
            <v>AGOSTO</v>
          </cell>
          <cell r="G54" t="str">
            <v>Recursos Directamente Recaudados</v>
          </cell>
          <cell r="H54" t="str">
            <v>Señalización de Unidades de Peajes</v>
          </cell>
          <cell r="I54">
            <v>500000</v>
          </cell>
          <cell r="J54">
            <v>500000</v>
          </cell>
          <cell r="K54">
            <v>500000</v>
          </cell>
          <cell r="L54">
            <v>500000</v>
          </cell>
          <cell r="M54" t="str">
            <v>S/.</v>
          </cell>
        </row>
        <row r="55">
          <cell r="A55">
            <v>49</v>
          </cell>
          <cell r="B55" t="str">
            <v>MANTENIMIENTO PERIODICO</v>
          </cell>
          <cell r="D55" t="str">
            <v>Carretera Piura-Paita - Sullana</v>
          </cell>
          <cell r="E55">
            <v>2500000</v>
          </cell>
          <cell r="F55" t="str">
            <v>ABRIL</v>
          </cell>
          <cell r="G55" t="str">
            <v>Recursos Directamente Recaudados</v>
          </cell>
          <cell r="H55" t="str">
            <v>Mantenimiento Periodico</v>
          </cell>
          <cell r="I55">
            <v>0</v>
          </cell>
          <cell r="J55">
            <v>1000000</v>
          </cell>
          <cell r="K55">
            <v>1000000</v>
          </cell>
          <cell r="L55">
            <v>500000</v>
          </cell>
          <cell r="M55" t="str">
            <v>S/.</v>
          </cell>
        </row>
        <row r="56">
          <cell r="A56">
            <v>50</v>
          </cell>
          <cell r="B56" t="str">
            <v>MANTENIMIENTO PERIODICO</v>
          </cell>
          <cell r="D56" t="str">
            <v>Emp. RIN - Cajamarca</v>
          </cell>
          <cell r="E56">
            <v>2500000</v>
          </cell>
          <cell r="F56" t="str">
            <v>ABRIL</v>
          </cell>
          <cell r="G56" t="str">
            <v>Recursos Directamente Recaudados</v>
          </cell>
          <cell r="H56" t="str">
            <v>Mantenimiento Periodico</v>
          </cell>
          <cell r="I56">
            <v>0</v>
          </cell>
          <cell r="J56">
            <v>1000000</v>
          </cell>
          <cell r="K56">
            <v>1000000</v>
          </cell>
          <cell r="L56">
            <v>500000</v>
          </cell>
          <cell r="M56" t="str">
            <v>S/.</v>
          </cell>
        </row>
        <row r="57">
          <cell r="A57">
            <v>51</v>
          </cell>
          <cell r="B57" t="str">
            <v>MANTENIMIENTO PERIODICO</v>
          </cell>
          <cell r="D57" t="str">
            <v>Pimentel-Chiclayo -Pte. Cumbil-Sipan-Pampagrande</v>
          </cell>
          <cell r="E57">
            <v>4000000</v>
          </cell>
          <cell r="F57" t="str">
            <v>ABRIL</v>
          </cell>
          <cell r="G57" t="str">
            <v>Recursos Directamente Recaudados</v>
          </cell>
          <cell r="H57" t="str">
            <v>Mantenimiento Periodico</v>
          </cell>
          <cell r="I57">
            <v>0</v>
          </cell>
          <cell r="J57">
            <v>2500000</v>
          </cell>
          <cell r="K57">
            <v>1000000</v>
          </cell>
          <cell r="L57">
            <v>500000</v>
          </cell>
          <cell r="M57" t="str">
            <v>S/.</v>
          </cell>
        </row>
        <row r="58">
          <cell r="A58">
            <v>52</v>
          </cell>
          <cell r="B58" t="str">
            <v>MANTENIMIENTO PERIODICO</v>
          </cell>
          <cell r="D58" t="str">
            <v>Pativilca -Conococha-Huaraz - Huallanca</v>
          </cell>
          <cell r="E58">
            <v>3500000</v>
          </cell>
          <cell r="F58" t="str">
            <v>ABRIL</v>
          </cell>
          <cell r="G58" t="str">
            <v>Recursos Directamente Recaudados</v>
          </cell>
          <cell r="H58" t="str">
            <v>Mantenimiento Periodico</v>
          </cell>
          <cell r="I58">
            <v>0</v>
          </cell>
          <cell r="J58">
            <v>1500000</v>
          </cell>
          <cell r="K58">
            <v>1000000</v>
          </cell>
          <cell r="L58">
            <v>1000000</v>
          </cell>
          <cell r="M58" t="str">
            <v>S/.</v>
          </cell>
        </row>
        <row r="59">
          <cell r="A59">
            <v>53</v>
          </cell>
          <cell r="B59" t="str">
            <v>MANTENIMIENTO PERIODICO</v>
          </cell>
          <cell r="D59" t="str">
            <v>Huaura - Sayan</v>
          </cell>
          <cell r="E59">
            <v>2000000</v>
          </cell>
          <cell r="F59" t="str">
            <v>ABRIL</v>
          </cell>
          <cell r="G59" t="str">
            <v>Recursos Directamente Recaudados</v>
          </cell>
          <cell r="H59" t="str">
            <v>Mantenimiento Periodico</v>
          </cell>
          <cell r="I59">
            <v>0</v>
          </cell>
          <cell r="J59">
            <v>1000000</v>
          </cell>
          <cell r="K59">
            <v>500000</v>
          </cell>
          <cell r="L59">
            <v>500000</v>
          </cell>
          <cell r="M59" t="str">
            <v>S/.</v>
          </cell>
        </row>
        <row r="60">
          <cell r="A60">
            <v>54</v>
          </cell>
          <cell r="B60" t="str">
            <v>MANTENIMIENTO PERIODICO</v>
          </cell>
          <cell r="D60" t="str">
            <v>Dv. Las Vegas-Tarma - La Merced - Satipo</v>
          </cell>
          <cell r="E60">
            <v>2000000</v>
          </cell>
          <cell r="F60" t="str">
            <v>ABRIL</v>
          </cell>
          <cell r="G60" t="str">
            <v>Recursos Directamente Recaudados</v>
          </cell>
          <cell r="H60" t="str">
            <v>Mantenimiento Periodico</v>
          </cell>
          <cell r="I60">
            <v>0</v>
          </cell>
          <cell r="J60">
            <v>1000000</v>
          </cell>
          <cell r="K60">
            <v>500000</v>
          </cell>
          <cell r="L60">
            <v>500000</v>
          </cell>
          <cell r="M60" t="str">
            <v>S/.</v>
          </cell>
        </row>
        <row r="61">
          <cell r="A61">
            <v>55</v>
          </cell>
          <cell r="B61" t="str">
            <v>MANTENIMIENTO PERIODICO</v>
          </cell>
          <cell r="D61" t="str">
            <v>Pte. Choclococha - Ayacucho</v>
          </cell>
          <cell r="E61">
            <v>3000000</v>
          </cell>
          <cell r="F61" t="str">
            <v>ABRIL</v>
          </cell>
          <cell r="G61" t="str">
            <v>Recursos Directamente Recaudados</v>
          </cell>
          <cell r="H61" t="str">
            <v>Mantenimiento Periodico</v>
          </cell>
          <cell r="I61">
            <v>0</v>
          </cell>
          <cell r="J61">
            <v>1000000</v>
          </cell>
          <cell r="K61">
            <v>1000000</v>
          </cell>
          <cell r="L61">
            <v>1000000</v>
          </cell>
          <cell r="M61" t="str">
            <v>S/.</v>
          </cell>
        </row>
        <row r="62">
          <cell r="A62">
            <v>56</v>
          </cell>
          <cell r="B62" t="str">
            <v>MANTENIMIENTO PERIODICO</v>
          </cell>
          <cell r="D62" t="str">
            <v>Juliaca - Puno - Desaguadero</v>
          </cell>
          <cell r="E62">
            <v>3037560</v>
          </cell>
          <cell r="F62" t="str">
            <v>ABRIL</v>
          </cell>
          <cell r="G62" t="str">
            <v>Recursos Directamente Recaudados</v>
          </cell>
          <cell r="H62" t="str">
            <v>Mantenimiento Periodico</v>
          </cell>
          <cell r="I62">
            <v>0</v>
          </cell>
          <cell r="J62">
            <v>1500000</v>
          </cell>
          <cell r="K62">
            <v>1000000</v>
          </cell>
          <cell r="L62">
            <v>537560</v>
          </cell>
          <cell r="M62" t="str">
            <v>S/.</v>
          </cell>
        </row>
        <row r="63">
          <cell r="A63">
            <v>57</v>
          </cell>
          <cell r="B63" t="str">
            <v>MANTENIMIENTO PERIODICO</v>
          </cell>
          <cell r="D63" t="str">
            <v>Aycucho - Huanta - Emp. R3S - Quinua</v>
          </cell>
          <cell r="E63">
            <v>3500000</v>
          </cell>
          <cell r="F63" t="str">
            <v>ABRIL</v>
          </cell>
          <cell r="G63" t="str">
            <v>Recursos Directamente Recaudados</v>
          </cell>
          <cell r="H63" t="str">
            <v>Mantenimiento Periodico</v>
          </cell>
          <cell r="I63">
            <v>0</v>
          </cell>
          <cell r="J63">
            <v>1500000</v>
          </cell>
          <cell r="K63">
            <v>1000000</v>
          </cell>
          <cell r="L63">
            <v>1000000</v>
          </cell>
          <cell r="M63" t="str">
            <v>S/.</v>
          </cell>
        </row>
        <row r="64">
          <cell r="A64">
            <v>58</v>
          </cell>
          <cell r="B64" t="str">
            <v>UNIDADES DE PEAJES</v>
          </cell>
          <cell r="D64" t="str">
            <v>Construcción de Unidades de Peajes</v>
          </cell>
          <cell r="E64">
            <v>3000000</v>
          </cell>
          <cell r="F64" t="str">
            <v>MAYO</v>
          </cell>
          <cell r="G64" t="str">
            <v>Recursos Directamente Recaudados</v>
          </cell>
          <cell r="H64" t="str">
            <v>Edificación De Unidades de Peajes</v>
          </cell>
          <cell r="I64">
            <v>0</v>
          </cell>
          <cell r="J64">
            <v>1000000</v>
          </cell>
          <cell r="K64">
            <v>1000000</v>
          </cell>
          <cell r="L64">
            <v>1000000</v>
          </cell>
          <cell r="M64" t="str">
            <v>S/.</v>
          </cell>
        </row>
        <row r="65">
          <cell r="A65">
            <v>59</v>
          </cell>
          <cell r="B65" t="str">
            <v>FORESTACIÓN</v>
          </cell>
          <cell r="D65" t="str">
            <v>Contratacion de Microempresas de Forestación</v>
          </cell>
          <cell r="E65">
            <v>1000000</v>
          </cell>
          <cell r="F65" t="str">
            <v>MARZO</v>
          </cell>
          <cell r="G65" t="str">
            <v>Recursos Directamente Recaudados</v>
          </cell>
          <cell r="H65" t="str">
            <v>Forestación de Tramos Viales</v>
          </cell>
          <cell r="I65">
            <v>250000</v>
          </cell>
          <cell r="J65">
            <v>250000</v>
          </cell>
          <cell r="K65">
            <v>250000</v>
          </cell>
          <cell r="L65">
            <v>250000</v>
          </cell>
          <cell r="M65" t="str">
            <v>S/.</v>
          </cell>
        </row>
        <row r="66">
          <cell r="A66">
            <v>60</v>
          </cell>
          <cell r="B66" t="str">
            <v>ESTUDIOS</v>
          </cell>
          <cell r="D66" t="str">
            <v>Estudios de Mantenimiento Periodico</v>
          </cell>
          <cell r="E66">
            <v>200000</v>
          </cell>
          <cell r="F66" t="str">
            <v>FEBRERO</v>
          </cell>
          <cell r="G66" t="str">
            <v>Recursos Directamente Recaudados</v>
          </cell>
          <cell r="H66" t="str">
            <v>Elaboración de Exp. Tec, de Mantenimiento</v>
          </cell>
          <cell r="I66">
            <v>200000</v>
          </cell>
          <cell r="J66">
            <v>0</v>
          </cell>
          <cell r="K66">
            <v>0</v>
          </cell>
          <cell r="L66">
            <v>0</v>
          </cell>
          <cell r="M66" t="str">
            <v>S/.</v>
          </cell>
        </row>
        <row r="67">
          <cell r="A67">
            <v>61</v>
          </cell>
          <cell r="B67" t="str">
            <v>ESTUDIOS</v>
          </cell>
          <cell r="D67" t="str">
            <v>Estudiod de Unidades de peajes</v>
          </cell>
          <cell r="E67">
            <v>100000</v>
          </cell>
          <cell r="F67" t="str">
            <v>FEBRERO</v>
          </cell>
          <cell r="G67" t="str">
            <v>Recursos Directamente Recaudados</v>
          </cell>
          <cell r="H67" t="str">
            <v>Elaboración de Exp. Tec, de U.P.</v>
          </cell>
          <cell r="I67">
            <v>100000</v>
          </cell>
          <cell r="J67">
            <v>0</v>
          </cell>
          <cell r="K67">
            <v>0</v>
          </cell>
          <cell r="L67">
            <v>0</v>
          </cell>
          <cell r="M67" t="str">
            <v>S/.</v>
          </cell>
        </row>
        <row r="68">
          <cell r="A68">
            <v>62</v>
          </cell>
          <cell r="B68" t="str">
            <v>SUPERVISION</v>
          </cell>
          <cell r="D68" t="str">
            <v>Supervisión de Seguridad</v>
          </cell>
          <cell r="E68">
            <v>300000</v>
          </cell>
          <cell r="F68" t="str">
            <v>JUNIO</v>
          </cell>
          <cell r="G68" t="str">
            <v>Recursos Directamente Recaudados</v>
          </cell>
          <cell r="H68" t="str">
            <v>Control de Obras de Seguridad</v>
          </cell>
          <cell r="I68">
            <v>0</v>
          </cell>
          <cell r="J68">
            <v>300000</v>
          </cell>
          <cell r="K68">
            <v>0</v>
          </cell>
          <cell r="L68">
            <v>0</v>
          </cell>
          <cell r="M68" t="str">
            <v>S/.</v>
          </cell>
        </row>
        <row r="69">
          <cell r="A69">
            <v>63</v>
          </cell>
          <cell r="B69" t="str">
            <v>SUPERVISION</v>
          </cell>
          <cell r="D69" t="str">
            <v>Supervision de Mantenimiento Periodico</v>
          </cell>
          <cell r="E69">
            <v>400000</v>
          </cell>
          <cell r="F69" t="str">
            <v>JUNIO</v>
          </cell>
          <cell r="G69" t="str">
            <v>Recursos Directamente Recaudados</v>
          </cell>
          <cell r="H69" t="str">
            <v>Control de Obras de Mantenimiento Periodico</v>
          </cell>
          <cell r="I69">
            <v>0</v>
          </cell>
          <cell r="J69">
            <v>400000</v>
          </cell>
          <cell r="K69">
            <v>0</v>
          </cell>
          <cell r="L69">
            <v>0</v>
          </cell>
          <cell r="M69" t="str">
            <v>S/.</v>
          </cell>
        </row>
        <row r="70">
          <cell r="A70">
            <v>64</v>
          </cell>
          <cell r="B70" t="str">
            <v>SUPERVISION</v>
          </cell>
          <cell r="D70" t="str">
            <v>Supervision de Unidades de Peaje y Pesajes</v>
          </cell>
          <cell r="E70">
            <v>400000</v>
          </cell>
          <cell r="F70" t="str">
            <v>JUNIO</v>
          </cell>
          <cell r="G70" t="str">
            <v>Recursos Directamente Recaudados</v>
          </cell>
          <cell r="H70" t="str">
            <v>Control de Obras de Unidades de Peajes</v>
          </cell>
          <cell r="I70">
            <v>0</v>
          </cell>
          <cell r="J70">
            <v>400000</v>
          </cell>
          <cell r="K70">
            <v>0</v>
          </cell>
          <cell r="L70">
            <v>0</v>
          </cell>
          <cell r="M70" t="str">
            <v>S/.</v>
          </cell>
        </row>
        <row r="71">
          <cell r="A71">
            <v>65</v>
          </cell>
          <cell r="B71" t="str">
            <v>JEFATURAS ZONALES</v>
          </cell>
          <cell r="D71" t="str">
            <v>Articulos de Seguridad</v>
          </cell>
          <cell r="E71">
            <v>91800</v>
          </cell>
          <cell r="F71" t="str">
            <v>JUNIO</v>
          </cell>
          <cell r="G71" t="str">
            <v>Recursos Directamente Recaudados</v>
          </cell>
          <cell r="H71" t="str">
            <v>850 Chalecos de Seguridad, 850 Conos de Seguridad</v>
          </cell>
          <cell r="I71">
            <v>0</v>
          </cell>
          <cell r="J71">
            <v>91800</v>
          </cell>
          <cell r="K71">
            <v>0</v>
          </cell>
          <cell r="L71">
            <v>0</v>
          </cell>
          <cell r="M71" t="str">
            <v>S/.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ALOGO"/>
      <sheetName val="BIENES"/>
      <sheetName val="SERVICIOS"/>
      <sheetName val="OTROS"/>
      <sheetName val="INFORMACIONES"/>
      <sheetName val="PRESUPUESTO TOTAL"/>
      <sheetName val="R.BIENES"/>
      <sheetName val="R. SERVICIOS"/>
      <sheetName val="R. UT. ESC."/>
      <sheetName val="EJECUTADO MARZO"/>
      <sheetName val="CAL. PLAN. MARZO"/>
      <sheetName val="Plla_P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quisiciones"/>
      <sheetName val="Datos"/>
      <sheetName val="Indicadores"/>
      <sheetName val="Bloques"/>
      <sheetName val="Hoja1"/>
      <sheetName val="Codigos"/>
      <sheetName val="SGP"/>
      <sheetName val="Generalidades"/>
      <sheetName val="Esquema Bloques"/>
      <sheetName val="Indicadores 2"/>
      <sheetName val="DATOS DE OBRA"/>
      <sheetName val="Plla_Pers"/>
    </sheetNames>
    <sheetDataSet>
      <sheetData sheetId="0">
        <row r="2">
          <cell r="B2" t="str">
            <v>SISTEMA DE GESTION DE PROYECTOS Y OBRAS</v>
          </cell>
        </row>
      </sheetData>
      <sheetData sheetId="1">
        <row r="9">
          <cell r="K9" t="str">
            <v xml:space="preserve">CALLE </v>
          </cell>
        </row>
      </sheetData>
      <sheetData sheetId="2"/>
      <sheetData sheetId="3">
        <row r="1">
          <cell r="S1" t="str">
            <v>BLOQUES</v>
          </cell>
        </row>
      </sheetData>
      <sheetData sheetId="4">
        <row r="1">
          <cell r="S1" t="str">
            <v>BLOQUE</v>
          </cell>
        </row>
      </sheetData>
      <sheetData sheetId="5">
        <row r="1">
          <cell r="S1" t="str">
            <v>BLOQUE</v>
          </cell>
        </row>
        <row r="3">
          <cell r="G3" t="str">
            <v>M3</v>
          </cell>
        </row>
        <row r="4">
          <cell r="G4" t="str">
            <v>M2</v>
          </cell>
        </row>
        <row r="5">
          <cell r="G5" t="str">
            <v>LT</v>
          </cell>
        </row>
        <row r="6">
          <cell r="G6" t="str">
            <v>KG</v>
          </cell>
        </row>
        <row r="7">
          <cell r="G7" t="str">
            <v>LB</v>
          </cell>
        </row>
        <row r="8">
          <cell r="G8" t="str">
            <v>ML</v>
          </cell>
        </row>
        <row r="9">
          <cell r="G9" t="str">
            <v>UND</v>
          </cell>
        </row>
        <row r="10">
          <cell r="G10" t="str">
            <v>PZA</v>
          </cell>
        </row>
        <row r="11">
          <cell r="G11" t="str">
            <v>P2</v>
          </cell>
        </row>
        <row r="12">
          <cell r="G12" t="str">
            <v>TN</v>
          </cell>
        </row>
        <row r="13">
          <cell r="G13" t="str">
            <v>GLB</v>
          </cell>
        </row>
        <row r="14">
          <cell r="G14" t="str">
            <v>H-H</v>
          </cell>
        </row>
        <row r="15">
          <cell r="G15" t="str">
            <v>H-M</v>
          </cell>
        </row>
        <row r="16">
          <cell r="G16" t="str">
            <v>P/M</v>
          </cell>
        </row>
        <row r="17">
          <cell r="G17" t="str">
            <v>GAL</v>
          </cell>
        </row>
        <row r="18">
          <cell r="G18" t="str">
            <v>BID</v>
          </cell>
        </row>
        <row r="19">
          <cell r="G19" t="str">
            <v>CIL</v>
          </cell>
        </row>
        <row r="20">
          <cell r="G20" t="str">
            <v>BL</v>
          </cell>
        </row>
        <row r="21">
          <cell r="G21" t="str">
            <v>Pcha</v>
          </cell>
        </row>
        <row r="22">
          <cell r="G22" t="str">
            <v>DIA</v>
          </cell>
        </row>
        <row r="23">
          <cell r="G23" t="str">
            <v>SEMANA</v>
          </cell>
        </row>
        <row r="24">
          <cell r="G24" t="str">
            <v>MES</v>
          </cell>
        </row>
        <row r="25">
          <cell r="G25" t="str">
            <v>VAR</v>
          </cell>
        </row>
        <row r="26">
          <cell r="G26" t="str">
            <v>VIAJE</v>
          </cell>
        </row>
        <row r="27">
          <cell r="G27" t="str">
            <v>CAJA</v>
          </cell>
        </row>
        <row r="28">
          <cell r="G28" t="str">
            <v>%MO</v>
          </cell>
        </row>
      </sheetData>
      <sheetData sheetId="6">
        <row r="1">
          <cell r="S1" t="str">
            <v>BLOQUE</v>
          </cell>
        </row>
      </sheetData>
      <sheetData sheetId="7">
        <row r="1">
          <cell r="S1" t="str">
            <v>BLOQUE</v>
          </cell>
        </row>
      </sheetData>
      <sheetData sheetId="8">
        <row r="5">
          <cell r="F5">
            <v>1</v>
          </cell>
        </row>
      </sheetData>
      <sheetData sheetId="9">
        <row r="1">
          <cell r="S1" t="str">
            <v>BLOQUE</v>
          </cell>
        </row>
      </sheetData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OE.1 OP-TP-SS"/>
      <sheetName val="OE.2 ES-MT-CºSº"/>
      <sheetName val="Hoja2"/>
      <sheetName val="OE.2 ES-CºAº"/>
      <sheetName val="OE.2 ES-M"/>
      <sheetName val="OE.2 ES-Mad"/>
      <sheetName val="OE.2 ES-Var"/>
      <sheetName val="Datos"/>
      <sheetName val="NTM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-Ag"/>
      <sheetName val="P-Al"/>
      <sheetName val="Mag"/>
      <sheetName val="M-Al"/>
      <sheetName val="CU-AgR"/>
      <sheetName val="CU-AgCd"/>
      <sheetName val="CU-AlR"/>
      <sheetName val="CU-AlCd"/>
      <sheetName val="DGG"/>
      <sheetName val="Cron"/>
      <sheetName val="FP"/>
      <sheetName val="Ins"/>
      <sheetName val="A-Al"/>
      <sheetName val="A-Ag"/>
      <sheetName val="Polin"/>
      <sheetName val="MAT"/>
      <sheetName val="Curv S Reprog Correcta"/>
      <sheetName val="Curv_S_Reprog_Correcta"/>
      <sheetName val="Codig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FICHA"/>
      <sheetName val="GENERAL"/>
      <sheetName val="PMD"/>
      <sheetName val="MRO"/>
      <sheetName val="RAFP"/>
      <sheetName val="CCM"/>
      <sheetName val="RVM"/>
      <sheetName val="VAL AUL"/>
      <sheetName val="VAL ME"/>
      <sheetName val="VAL EI"/>
      <sheetName val="VAL SS-HH"/>
      <sheetName val="VAL PLAT"/>
      <sheetName val="VAL CER P"/>
      <sheetName val="AMC"/>
      <sheetName val="G AVP"/>
      <sheetName val="FF"/>
      <sheetName val="CS"/>
      <sheetName val="TPM"/>
      <sheetName val="CRONOGRAMA OK AMPLIA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DATOS"/>
      <sheetName val="Hoja4"/>
      <sheetName val="FORMULA"/>
      <sheetName val="CALENDARIO"/>
      <sheetName val="REV3"/>
      <sheetName val="CAP-120mm2"/>
      <sheetName val="INGRESO"/>
      <sheetName val="RES"/>
      <sheetName val="CENSO93"/>
      <sheetName val="FORMA-SE2"/>
      <sheetName val="1.2.1 RENDIMIENTO"/>
      <sheetName val="Datos de Entrada"/>
      <sheetName val="Plani"/>
      <sheetName val="Datos de la localidad"/>
      <sheetName val="Analisis de la T.C. - 2.2"/>
      <sheetName val="#¡REF"/>
      <sheetName val="QURR"/>
      <sheetName val="PLANILLA GENERAL"/>
      <sheetName val="LOCALIDADES"/>
      <sheetName val="Datos de la lkcalidad"/>
      <sheetName val="#¡RED"/>
      <sheetName val="CALCULO"/>
      <sheetName val="DATA"/>
      <sheetName val="PLANILLA LP 22.9 kV"/>
      <sheetName val="Hoja79"/>
      <sheetName val="Resumen-RS"/>
      <sheetName val="3. Manpower"/>
      <sheetName val="CC"/>
      <sheetName val="C-WATT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FlujoTJ"/>
      <sheetName val="EVAL"/>
      <sheetName val="P-A-D"/>
      <sheetName val="DATOS DE CAMPO"/>
      <sheetName val="Matriz"/>
      <sheetName val="Tipo de Cambio"/>
      <sheetName val="1_2_1_RENDIMIENTO"/>
      <sheetName val="Datos_de_Entrada"/>
      <sheetName val="Datos_de_la_localidad"/>
      <sheetName val="Analisis_de_la_T_C__-_2_2"/>
      <sheetName val="PLANILLA_GENERAL"/>
      <sheetName val="Datos_de_la_lkcalidad"/>
      <sheetName val="PLANILLA_LP_22_9_kV"/>
      <sheetName val="3__Manpower"/>
      <sheetName val="DATOS_DE_CAMPO"/>
      <sheetName val="BasE"/>
      <sheetName val="DATOS TECNICOS SE SANTUARIO"/>
      <sheetName val="PROC MANT LT 1"/>
      <sheetName val="YTD Comments"/>
      <sheetName val="Tipo_de_Cambio"/>
      <sheetName val="1_2_1_RENDIMIENTO1"/>
      <sheetName val="Datos_de_Entrada1"/>
      <sheetName val="Datos_de_la_localidad1"/>
      <sheetName val="Analisis_de_la_T_C__-_2_21"/>
      <sheetName val="PLANILLA_GENERAL1"/>
      <sheetName val="Datos_de_la_lkcalidad1"/>
      <sheetName val="PLANILLA_LP_22_9_kV1"/>
      <sheetName val="3__Manpower1"/>
      <sheetName val="DATOS_DE_CAMPO1"/>
      <sheetName val="Tipo_de_Cambio1"/>
      <sheetName val="ARRS"/>
      <sheetName val="fp"/>
      <sheetName val="OBRAS CIVILES"/>
      <sheetName val="HIDRANDINA"/>
      <sheetName val="FORMA-LS3"/>
      <sheetName val="FORMA-LS1-LS2"/>
      <sheetName val="FORMA- RE1"/>
      <sheetName val="FORMA-RL1"/>
      <sheetName val="FORMA-ST1"/>
      <sheetName val="Curva S diaria"/>
      <sheetName val="TABLA PROVEEDORES"/>
      <sheetName val="RP_JIMBE2"/>
      <sheetName val="Proyecciones"/>
      <sheetName val="UNITARIOS-RP"/>
      <sheetName val="DATOS_TECNICOS_SE_SANTUARIO"/>
      <sheetName val="PROC_MANT_LT_1"/>
      <sheetName val="CuadroIyII"/>
      <sheetName val="Costos Alt2"/>
      <sheetName val="AnexoVI"/>
      <sheetName val="Precios Estruc."/>
      <sheetName val="B_DATOS"/>
      <sheetName val="BT_DATOS"/>
      <sheetName val="Tapa 29"/>
      <sheetName val="Base Ret. y Pt."/>
      <sheetName val="TipoDocs"/>
      <sheetName val="Dptos"/>
      <sheetName val="TipoGastos"/>
      <sheetName val="Obras"/>
      <sheetName val="ESTATUS"/>
      <sheetName val="U.A."/>
      <sheetName val="Detalle"/>
      <sheetName val="ptRP"/>
      <sheetName val="ret"/>
      <sheetName val="MATERIALES"/>
      <sheetName val="M d O"/>
      <sheetName val="Desmonteras"/>
      <sheetName val="RESUMEN"/>
      <sheetName val="MONTAJE R.S."/>
      <sheetName val="SUM_MON"/>
      <sheetName val="1"/>
      <sheetName val="APU-RS"/>
      <sheetName val="BD-MONTAJE_TRANSPORTE"/>
      <sheetName val="Datos Entrada"/>
      <sheetName val="INGRESO DE DATOS POR LOCALIDAD"/>
      <sheetName val="METRADO-TEMPORAL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3"/>
      <sheetName val="DT Palcaz"/>
      <sheetName val="F-110"/>
      <sheetName val="Wind Loads"/>
      <sheetName val="LIMA-CANTA"/>
      <sheetName val="JORNADAS TRABAJO"/>
      <sheetName val="Tablas"/>
      <sheetName val="Denver"/>
      <sheetName val="expats"/>
      <sheetName val="locals"/>
      <sheetName val="office4"/>
      <sheetName val="c-expats"/>
      <sheetName val="c-nationals"/>
      <sheetName val="Office7"/>
      <sheetName val="Misc"/>
      <sheetName val="Flota"/>
      <sheetName val="Summary"/>
      <sheetName val="Leyenda"/>
      <sheetName val=""/>
      <sheetName val="INC"/>
      <sheetName val="APU cn torca"/>
      <sheetName val="Esquema UTE (2)"/>
      <sheetName val="Datos_de_Entrada2"/>
      <sheetName val="1_2_1_RENDIMIENTO2"/>
      <sheetName val="Datos_de_la_localidad2"/>
      <sheetName val="Analisis_de_la_T_C__-_2_22"/>
      <sheetName val="PLANILLA_GENERAL2"/>
      <sheetName val="Datos_de_la_lkcalidad2"/>
      <sheetName val="PLANILLA_LP_22_9_kV2"/>
      <sheetName val="TABLA_PROVEEDORES"/>
      <sheetName val="3__Manpower2"/>
      <sheetName val="DATOS_DE_CAMPO2"/>
      <sheetName val="Tipo_de_Cambio2"/>
      <sheetName val="YTD_Comments"/>
      <sheetName val="OBRAS_CIVILES"/>
      <sheetName val="FORMA-_RE1"/>
      <sheetName val="Curva_S_diaria"/>
      <sheetName val="PLAN RS"/>
      <sheetName val="Liquidación"/>
      <sheetName val="MONTAJE"/>
      <sheetName val="GASTOS GENERALES"/>
      <sheetName val="CAOA Valorizado"/>
      <sheetName val="BDATOS"/>
      <sheetName val="10241EQLIST"/>
      <sheetName val="DATOS_TECNICOS_SE_SANTUARIO1"/>
      <sheetName val="PROC_MANT_LT_11"/>
      <sheetName val="JORNADAS_TRABAJO"/>
      <sheetName val="U_A_"/>
      <sheetName val="M_d_O"/>
      <sheetName val="Tapa_29"/>
      <sheetName val="Costos_Alt2"/>
      <sheetName val="APU_cn_torca"/>
      <sheetName val="Esquema_UTE_(2)"/>
      <sheetName val="Precios_Estruc_"/>
      <sheetName val="Wind_Loads"/>
      <sheetName val="CAOA_Valorizado"/>
      <sheetName val="Resu Como"/>
      <sheetName val="Commodities LB01"/>
      <sheetName val="Curvas Com. LB01"/>
      <sheetName val="REPORTE HH"/>
      <sheetName val="Resu Look"/>
      <sheetName val="Anexo 1 LookAhead-LB01"/>
      <sheetName val="Resu Restricciones"/>
      <sheetName val="Anexo 2 PAC SEM23"/>
      <sheetName val="Anexo 2 PAC SEM24"/>
      <sheetName val="Anexo 2 PAC SEM26"/>
      <sheetName val="Anexo 2 PAC SEM25"/>
      <sheetName val="ESTADÍSTICAS"/>
      <sheetName val="Datos PAC"/>
      <sheetName val="RES,MET,ADI1"/>
      <sheetName val="YTD_Comments1"/>
      <sheetName val="YTD_Comments2"/>
      <sheetName val="BLP"/>
      <sheetName val="BRP"/>
      <sheetName val="BRS"/>
      <sheetName val="ACTA Pactacion Precios"/>
      <sheetName val="Comparacion de Precios"/>
      <sheetName val="S&amp;U OF FUNDS"/>
      <sheetName val="BALANCE"/>
      <sheetName val="Entrega"/>
      <sheetName val="FinData"/>
      <sheetName val="CRONOGRAMA"/>
      <sheetName val="Distrib. de anexos"/>
      <sheetName val="Resu_Como"/>
      <sheetName val="Commodities_LB01"/>
      <sheetName val="Curvas_Com__LB01"/>
      <sheetName val="REPORTE_HH"/>
      <sheetName val="Resu_Look"/>
      <sheetName val="Anexo_1_LookAhead-LB01"/>
      <sheetName val="Resu_Restricciones"/>
      <sheetName val="Anexo_2_PAC_SEM23"/>
      <sheetName val="Anexo_2_PAC_SEM24"/>
      <sheetName val="Anexo_2_PAC_SEM26"/>
      <sheetName val="Anexo_2_PAC_SEM25"/>
      <sheetName val="Datos_PAC"/>
      <sheetName val="MONTAJE_R_S_"/>
      <sheetName val="Datos_Entrada"/>
      <sheetName val="INGRESO_DE_DATOS_POR_LOCALIDAD"/>
      <sheetName val="DT_Palcaz"/>
      <sheetName val="Base_Ret__y_Pt_"/>
      <sheetName val="Proy RELAVE"/>
      <sheetName val="batu hijau"/>
      <sheetName val="PPTO HUANCAYO CENTRO TDD"/>
      <sheetName val="DESMONTAJE CASAGRANDE"/>
      <sheetName val="PESOS"/>
      <sheetName val="Presupuesto "/>
      <sheetName val="Calendario Valorizado (2)"/>
      <sheetName val="Control de Facturacion y Pagos"/>
      <sheetName val="Comparativo Valorizaciones"/>
      <sheetName val="B-DAT.1"/>
      <sheetName val="Resumen General"/>
      <sheetName val="B-DAT."/>
      <sheetName val="PANILLA"/>
      <sheetName val="IMPRESION"/>
      <sheetName val="C"/>
      <sheetName val="REP"/>
      <sheetName val="2-3 DUEÑ"/>
      <sheetName val="I"/>
      <sheetName val="F"/>
      <sheetName val="C - C"/>
      <sheetName val="C - I"/>
      <sheetName val="RESUMEN COMUNIDAD"/>
      <sheetName val="PROG"/>
      <sheetName val="BASES"/>
      <sheetName val="DETAL0598"/>
      <sheetName val="SUM. MONT. L.P."/>
      <sheetName val="SUM - MONT.R.P."/>
      <sheetName val="Sumin y M.E. RS"/>
      <sheetName val="APU-POSTES"/>
      <sheetName val="APU-TRANSP"/>
      <sheetName val="Base de Datos APU"/>
      <sheetName val="Metrado Armados"/>
      <sheetName val="P. U. de Sum"/>
      <sheetName val="TrasPost"/>
      <sheetName val="Desp LP"/>
      <sheetName val="Des RP"/>
      <sheetName val="TabMed"/>
      <sheetName val="C.U.SumMat"/>
      <sheetName val="C.U.Mont"/>
      <sheetName val="Aux. Disgregados"/>
      <sheetName val="atriz"/>
      <sheetName val="³-A-D"/>
      <sheetName val="I-WATT"/>
      <sheetName val="Datos_de_Entrada3"/>
      <sheetName val="1_2_1_RENDIMIENTO3"/>
      <sheetName val="Datos_de_la_localidad3"/>
      <sheetName val="Analisis_de_la_T_C__-_2_23"/>
      <sheetName val="PLANILLA_GENERAL3"/>
      <sheetName val="Datos_de_la_lkcalidad3"/>
      <sheetName val="PLANILLA_LP_22_9_kV3"/>
      <sheetName val="TABLA_PROVEEDORES1"/>
      <sheetName val="3__Manpower3"/>
      <sheetName val="DATOS_DE_CAMPO3"/>
      <sheetName val="Tipo_de_Cambio3"/>
      <sheetName val="OBRAS_CIVILES1"/>
      <sheetName val="FORMA-_RE11"/>
      <sheetName val="Curva_S_diaria1"/>
      <sheetName val="PPTO_HUANCAYO_CENTRO_TDD"/>
      <sheetName val="DESMONTAJE_CASAGRANDE"/>
      <sheetName val="PLAN_RS"/>
      <sheetName val="GASTOS_GENERALES"/>
      <sheetName val="Resumen02"/>
      <sheetName val="1_2_1_RENDIMIENTO4"/>
      <sheetName val="Datos_de_Entrada4"/>
      <sheetName val="Datos_de_la_localidad4"/>
      <sheetName val="Analisis_de_la_T_C__-_2_24"/>
      <sheetName val="PLANILLA_GENERAL4"/>
      <sheetName val="Datos_de_la_lkcalidad4"/>
      <sheetName val="PLANILLA_LP_22_9_kV4"/>
      <sheetName val="3__Manpower4"/>
      <sheetName val="DATOS_DE_CAMPO4"/>
      <sheetName val="DATOS_TECNICOS_SE_SANTUARIO2"/>
      <sheetName val="PROC_MANT_LT_12"/>
      <sheetName val="YTD_Comments3"/>
      <sheetName val="Tipo_de_Cambio4"/>
      <sheetName val="OBRAS_CIVILES2"/>
      <sheetName val="Curva_S_diaria2"/>
      <sheetName val="FORMA-_RE12"/>
      <sheetName val="TABLA_PROVEEDORES2"/>
      <sheetName val="Precios_Estruc_1"/>
      <sheetName val="Costos_Alt21"/>
      <sheetName val="Tapa_291"/>
      <sheetName val="Base_Ret__y_Pt_1"/>
      <sheetName val="M_d_O1"/>
      <sheetName val="MONTAJE_R_S_1"/>
      <sheetName val="Datos_Entrada1"/>
      <sheetName val="INGRESO_DE_DATOS_POR_LOCALIDAD1"/>
      <sheetName val="DT_Palcaz1"/>
      <sheetName val="U_A_1"/>
      <sheetName val="JORNADAS_TRABAJO1"/>
      <sheetName val="PLAN_RS1"/>
      <sheetName val="GASTOS_GENERALES1"/>
      <sheetName val="ACTA_Pactacion_Precios"/>
      <sheetName val="Comparacion_de_Precios"/>
      <sheetName val="Resu_Como1"/>
      <sheetName val="Commodities_LB011"/>
      <sheetName val="Curvas_Com__LB011"/>
      <sheetName val="REPORTE_HH1"/>
      <sheetName val="Resu_Look1"/>
      <sheetName val="Anexo_1_LookAhead-LB011"/>
      <sheetName val="Resu_Restricciones1"/>
      <sheetName val="Anexo_2_PAC_SEM231"/>
      <sheetName val="Anexo_2_PAC_SEM241"/>
      <sheetName val="Anexo_2_PAC_SEM261"/>
      <sheetName val="Anexo_2_PAC_SEM251"/>
      <sheetName val="Datos_PAC1"/>
      <sheetName val="Presupuesto_"/>
      <sheetName val="Calendario_Valorizado_(2)"/>
      <sheetName val="APU_cn_torca1"/>
      <sheetName val="Esquema_UTE_(2)1"/>
      <sheetName val="Wind_Loads1"/>
      <sheetName val="CAOA_Valorizado1"/>
      <sheetName val="Proy_RELAVE"/>
      <sheetName val="PPTO_HUANCAYO_CENTRO_TDD1"/>
      <sheetName val="DESMONTAJE_CASAGRANDE1"/>
      <sheetName val="Control_de_Facturacion_y_Pagos"/>
      <sheetName val="Comparativo_Valorizaciones"/>
      <sheetName val="Distrib__de_anexos"/>
      <sheetName val="S&amp;U_OF_FUNDS"/>
      <sheetName val="batu_hijau"/>
      <sheetName val="B-DAT_1"/>
      <sheetName val="Resumen_General"/>
      <sheetName val="B-DAT_"/>
      <sheetName val="2-3_DUEÑ"/>
      <sheetName val="C_-_C"/>
      <sheetName val="C_-_I"/>
      <sheetName val="RESUMEN_COMUNIDAD"/>
      <sheetName val="SUM__MONT__L_P_"/>
      <sheetName val="SUM_-_MONT_R_P_"/>
      <sheetName val="Sumin_y_M_E__RS"/>
      <sheetName val="Base_de_Datos_APU"/>
      <sheetName val="Metrado_Armados"/>
      <sheetName val="P__U__de_Sum"/>
      <sheetName val="Desp_LP"/>
      <sheetName val="Des_RP"/>
      <sheetName val="C_U_SumMat"/>
      <sheetName val="C_U_Mont"/>
      <sheetName val="Aux__Disgregados"/>
      <sheetName val="1_2_1_RENDIMIENTO5"/>
      <sheetName val="Datos_de_Entrada5"/>
      <sheetName val="Datos_de_la_localidad5"/>
      <sheetName val="Analisis_de_la_T_C__-_2_25"/>
      <sheetName val="PLANILLA_GENERAL5"/>
      <sheetName val="Datos_de_la_lkcalidad5"/>
      <sheetName val="PLANILLA_LP_22_9_kV5"/>
      <sheetName val="3__Manpower5"/>
      <sheetName val="DATOS_DE_CAMPO5"/>
      <sheetName val="DATOS_TECNICOS_SE_SANTUARIO3"/>
      <sheetName val="PROC_MANT_LT_13"/>
      <sheetName val="YTD_Comments4"/>
      <sheetName val="Tipo_de_Cambio5"/>
      <sheetName val="OBRAS_CIVILES3"/>
      <sheetName val="Curva_S_diaria3"/>
      <sheetName val="FORMA-_RE13"/>
      <sheetName val="TABLA_PROVEEDORES3"/>
      <sheetName val="Precios_Estruc_2"/>
      <sheetName val="Costos_Alt22"/>
      <sheetName val="Tapa_292"/>
      <sheetName val="Base_Ret__y_Pt_2"/>
      <sheetName val="M_d_O2"/>
      <sheetName val="MONTAJE_R_S_2"/>
      <sheetName val="Datos_Entrada2"/>
      <sheetName val="INGRESO_DE_DATOS_POR_LOCALIDAD2"/>
      <sheetName val="DT_Palcaz2"/>
      <sheetName val="U_A_2"/>
      <sheetName val="JORNADAS_TRABAJO2"/>
      <sheetName val="PLAN_RS2"/>
      <sheetName val="GASTOS_GENERALES2"/>
      <sheetName val="ACTA_Pactacion_Precios1"/>
      <sheetName val="Comparacion_de_Precios1"/>
      <sheetName val="Resu_Como2"/>
      <sheetName val="Commodities_LB012"/>
      <sheetName val="Curvas_Com__LB012"/>
      <sheetName val="REPORTE_HH2"/>
      <sheetName val="Resu_Look2"/>
      <sheetName val="Anexo_1_LookAhead-LB012"/>
      <sheetName val="Resu_Restricciones2"/>
      <sheetName val="Anexo_2_PAC_SEM232"/>
      <sheetName val="Anexo_2_PAC_SEM242"/>
      <sheetName val="Anexo_2_PAC_SEM262"/>
      <sheetName val="Anexo_2_PAC_SEM252"/>
      <sheetName val="Datos_PAC2"/>
      <sheetName val="Presupuesto_1"/>
      <sheetName val="Calendario_Valorizado_(2)1"/>
      <sheetName val="APU_cn_torca2"/>
      <sheetName val="Esquema_UTE_(2)2"/>
      <sheetName val="Wind_Loads2"/>
      <sheetName val="CAOA_Valorizado2"/>
      <sheetName val="Proy_RELAVE1"/>
      <sheetName val="PPTO_HUANCAYO_CENTRO_TDD2"/>
      <sheetName val="DESMONTAJE_CASAGRANDE2"/>
      <sheetName val="Control_de_Facturacion_y_Pagos1"/>
      <sheetName val="Comparativo_Valorizaciones1"/>
      <sheetName val="Distrib__de_anexos1"/>
      <sheetName val="S&amp;U_OF_FUNDS1"/>
      <sheetName val="batu_hijau1"/>
      <sheetName val="B-DAT_11"/>
      <sheetName val="Resumen_General1"/>
      <sheetName val="B-DAT_2"/>
      <sheetName val="2-3_DUEÑ1"/>
      <sheetName val="C_-_C1"/>
      <sheetName val="C_-_I1"/>
      <sheetName val="RESUMEN_COMUNIDAD1"/>
      <sheetName val="SUM__MONT__L_P_1"/>
      <sheetName val="SUM_-_MONT_R_P_1"/>
      <sheetName val="Sumin_y_M_E__RS1"/>
      <sheetName val="Base_de_Datos_APU1"/>
      <sheetName val="Metrado_Armados1"/>
      <sheetName val="P__U__de_Sum1"/>
      <sheetName val="Desp_LP1"/>
      <sheetName val="Des_RP1"/>
      <sheetName val="C_U_SumMat1"/>
      <sheetName val="C_U_Mont1"/>
      <sheetName val="Aux__Disgregados1"/>
      <sheetName val="18O"/>
      <sheetName val="A-Al"/>
    </sheetNames>
    <sheetDataSet>
      <sheetData sheetId="0" refreshError="1"/>
      <sheetData sheetId="1" refreshError="1">
        <row r="287">
          <cell r="A287" t="str">
            <v>PT_03</v>
          </cell>
          <cell r="B287">
            <v>0</v>
          </cell>
          <cell r="C287" t="str">
            <v>SI</v>
          </cell>
          <cell r="D287" t="str">
            <v>4.01</v>
          </cell>
          <cell r="E287">
            <v>0</v>
          </cell>
          <cell r="F287" t="str">
            <v xml:space="preserve">Conector de Cu tipo perno partido </v>
          </cell>
          <cell r="G287">
            <v>0</v>
          </cell>
          <cell r="H287">
            <v>0</v>
          </cell>
          <cell r="I287" t="str">
            <v>U</v>
          </cell>
          <cell r="J287">
            <v>12</v>
          </cell>
          <cell r="K287">
            <v>2.4900000000000002</v>
          </cell>
          <cell r="L287">
            <v>29.88</v>
          </cell>
          <cell r="M287">
            <v>0</v>
          </cell>
          <cell r="N287">
            <v>0</v>
          </cell>
          <cell r="O287">
            <v>0</v>
          </cell>
        </row>
        <row r="292">
          <cell r="D292" t="str">
            <v>5.00</v>
          </cell>
          <cell r="E292">
            <v>0</v>
          </cell>
          <cell r="F292" t="str">
            <v>EQUIPOS DE PROTECCION Y SECCIONAMIENTO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A293" t="str">
            <v>PROT_02</v>
          </cell>
          <cell r="B293">
            <v>0</v>
          </cell>
          <cell r="C293" t="str">
            <v>SI</v>
          </cell>
          <cell r="D293" t="str">
            <v>5.01</v>
          </cell>
          <cell r="E293">
            <v>0</v>
          </cell>
          <cell r="F293" t="str">
            <v>Seccionador fusible unipolar Cut-out 36 kV, 100 A, 150kV BIL</v>
          </cell>
          <cell r="G293">
            <v>0</v>
          </cell>
          <cell r="H293">
            <v>0</v>
          </cell>
          <cell r="I293" t="str">
            <v>U</v>
          </cell>
          <cell r="J293">
            <v>11</v>
          </cell>
          <cell r="K293">
            <v>226.24</v>
          </cell>
          <cell r="L293">
            <v>2488.64</v>
          </cell>
          <cell r="M293">
            <v>0</v>
          </cell>
          <cell r="N293">
            <v>0</v>
          </cell>
          <cell r="O293">
            <v>0</v>
          </cell>
        </row>
        <row r="294">
          <cell r="F294" t="str">
            <v>SUB TOTAL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2488.64</v>
          </cell>
          <cell r="N294">
            <v>0</v>
          </cell>
          <cell r="O29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>
        <row r="287">
          <cell r="B287">
            <v>0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287">
          <cell r="B287">
            <v>0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/>
      <sheetData sheetId="218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>
        <row r="287">
          <cell r="B287">
            <v>0</v>
          </cell>
        </row>
      </sheetData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/>
      <sheetData sheetId="249"/>
      <sheetData sheetId="250" refreshError="1"/>
      <sheetData sheetId="251" refreshError="1"/>
      <sheetData sheetId="252" refreshError="1"/>
      <sheetData sheetId="253"/>
      <sheetData sheetId="254"/>
      <sheetData sheetId="255" refreshError="1"/>
      <sheetData sheetId="256" refreshError="1"/>
      <sheetData sheetId="257"/>
      <sheetData sheetId="258" refreshError="1"/>
      <sheetData sheetId="259" refreshError="1"/>
      <sheetData sheetId="260" refreshError="1"/>
      <sheetData sheetId="261"/>
      <sheetData sheetId="262">
        <row r="287">
          <cell r="B287">
            <v>0</v>
          </cell>
        </row>
      </sheetData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 refreshError="1"/>
      <sheetData sheetId="301" refreshError="1"/>
      <sheetData sheetId="302" refreshError="1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>
        <row r="287">
          <cell r="B287">
            <v>0</v>
          </cell>
        </row>
      </sheetData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>
        <row r="287">
          <cell r="B287">
            <v>0</v>
          </cell>
        </row>
      </sheetData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 refreshError="1"/>
      <sheetData sheetId="49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92EF7E8-CEFE-4500-A435-450F23BE996C}" name="Tabla6" displayName="Tabla6" ref="A1:X780" totalsRowShown="0" headerRowDxfId="24" dataDxfId="23" tableBorderDxfId="22">
  <tableColumns count="24">
    <tableColumn id="1" xr3:uid="{C3EE1008-2591-4BF0-B8FF-E222D66FF50F}" name="GRADO" dataDxfId="21"/>
    <tableColumn id="2" xr3:uid="{DE474EFA-594B-4FC9-B3E6-6CE3E94618E1}" name="FECHA" dataDxfId="20"/>
    <tableColumn id="3" xr3:uid="{E8780B99-4A1B-42E2-9BB9-556A8C767764}" name="ESPECIALIDAD" dataDxfId="19"/>
    <tableColumn id="4" xr3:uid="{AA9F94E2-AFE4-4440-9B5B-FAE5BE144F0D}" name="FRENTE" dataDxfId="18"/>
    <tableColumn id="5" xr3:uid="{893FECA8-B974-49FD-811A-56F5CAFBEA87}" name="BLOQUE"/>
    <tableColumn id="6" xr3:uid="{04E463B4-6A17-4034-BD34-9DBB41D60D33}" name="NIVEL (PISO)" dataDxfId="17"/>
    <tableColumn id="7" xr3:uid="{35224529-02E1-4E19-A028-E3FB732889E2}" name="CUADRILLA" dataDxfId="16"/>
    <tableColumn id="8" xr3:uid="{DCA76C49-5751-424A-B69E-947BABC90B25}" name="GRADO 1" dataDxfId="15"/>
    <tableColumn id="9" xr3:uid="{140ECB67-BF41-4A2E-BF76-0292AD7D1274}" name="GRADO 2" dataDxfId="14"/>
    <tableColumn id="10" xr3:uid="{D1A8DF09-63BB-47D8-918A-BC8C9E249347}" name="GRADO 3" dataDxfId="13"/>
    <tableColumn id="11" xr3:uid="{F9E4DBC1-B660-4E42-A13E-B239BFBEE9F7}" name="GRADO 4" dataDxfId="12"/>
    <tableColumn id="12" xr3:uid="{92E66E8C-C355-4888-8941-32F8FD864AC3}" name="PARTIDA" dataDxfId="11"/>
    <tableColumn id="13" xr3:uid="{D727910E-1025-43F5-8C51-954F93B750E7}" name="DESCRIPCIÓN" dataDxfId="10"/>
    <tableColumn id="14" xr3:uid="{80CF2116-B49F-498F-ABD5-E4A3F9370C1A}" name="CANTIDAD" dataDxfId="9"/>
    <tableColumn id="15" xr3:uid="{34427582-D017-46D1-807A-6CF703991A75}" name="LONGITUD/AREA" dataDxfId="8"/>
    <tableColumn id="16" xr3:uid="{E2878065-30A0-4BC0-8914-7AE64AF2638C}" name="ANCHO/EMPAME" dataDxfId="7"/>
    <tableColumn id="17" xr3:uid="{FB8AFF03-757C-4387-B9B2-83549EBAE827}" name="ALTURA/GANCHO" dataDxfId="6"/>
    <tableColumn id="18" xr3:uid="{2CFD81B5-CC6F-4834-B66C-FE914715CCB1}" name="PARCIAL" dataDxfId="5"/>
    <tableColumn id="19" xr3:uid="{DB1F47C3-6359-4240-9619-454206F4A48F}" name="N° VECES" dataDxfId="4"/>
    <tableColumn id="20" xr3:uid="{38380EA3-364A-41BB-A2EE-2E16AFD1EF74}" name="ACERO" dataDxfId="3"/>
    <tableColumn id="21" xr3:uid="{7051401D-F153-4D94-A490-640E35BBA4CD}" name="TOTAL"/>
    <tableColumn id="22" xr3:uid="{27881F9D-B2D5-4649-B0BF-5D37B19E29D1}" name="TOTAL 2" dataDxfId="2"/>
    <tableColumn id="23" xr3:uid="{D0636F9E-F777-4216-8217-66FFD3D6DF2E}" name="UNIDAD" dataDxfId="1"/>
    <tableColumn id="24" xr3:uid="{55A6F7A3-9461-4776-AA5D-04B006219D09}" name="MODIF." dataDxfId="0"/>
  </tableColumns>
  <tableStyleInfo name="PP-style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6" topLeftCell="A7" activePane="bottomLeft" state="frozen"/>
      <selection pane="bottomLeft" activeCell="B8" sqref="B8"/>
    </sheetView>
  </sheetViews>
  <sheetFormatPr baseColWidth="10" defaultColWidth="12.6640625" defaultRowHeight="15" customHeight="1" x14ac:dyDescent="0.25"/>
  <cols>
    <col min="1" max="1" width="3.77734375" customWidth="1"/>
    <col min="2" max="2" width="11.33203125" customWidth="1"/>
    <col min="3" max="3" width="44.33203125" customWidth="1"/>
    <col min="4" max="4" width="10.21875" customWidth="1"/>
    <col min="5" max="5" width="11.33203125" customWidth="1"/>
    <col min="6" max="7" width="11.33203125" hidden="1" customWidth="1"/>
    <col min="8" max="8" width="8.77734375" customWidth="1"/>
    <col min="9" max="9" width="5.77734375" customWidth="1"/>
    <col min="10" max="15" width="6.77734375" customWidth="1"/>
    <col min="16" max="16" width="11.77734375" customWidth="1"/>
    <col min="17" max="17" width="11.33203125" customWidth="1"/>
    <col min="18" max="18" width="6.33203125" customWidth="1"/>
    <col min="19" max="26" width="11.33203125" customWidth="1"/>
  </cols>
  <sheetData>
    <row r="1" spans="1:26" ht="93" customHeight="1" x14ac:dyDescent="0.25">
      <c r="A1" s="1"/>
      <c r="B1" s="1"/>
      <c r="C1" s="1"/>
      <c r="D1" s="2"/>
      <c r="E1" s="2"/>
      <c r="F1" s="2"/>
      <c r="G1" s="2"/>
      <c r="H1" s="149" t="s">
        <v>15</v>
      </c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"/>
      <c r="B2" s="1" t="s">
        <v>16</v>
      </c>
      <c r="C2" s="1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1"/>
      <c r="B3" s="1"/>
      <c r="C3" s="1"/>
      <c r="D3" s="2"/>
      <c r="E3" s="2"/>
      <c r="F3" s="2"/>
      <c r="G3" s="2"/>
      <c r="H3" s="2"/>
      <c r="I3" s="2"/>
      <c r="J3" s="3"/>
      <c r="K3" s="3"/>
      <c r="L3" s="3"/>
      <c r="M3" s="3"/>
      <c r="N3" s="3"/>
      <c r="O3" s="3"/>
      <c r="P3" s="3"/>
      <c r="Q3" s="3"/>
      <c r="R3" s="3"/>
      <c r="S3" s="1"/>
      <c r="T3" s="1"/>
      <c r="U3" s="1"/>
      <c r="V3" s="1"/>
      <c r="W3" s="1"/>
      <c r="X3" s="1"/>
      <c r="Y3" s="1"/>
      <c r="Z3" s="1"/>
    </row>
    <row r="4" spans="1:26" ht="18" customHeight="1" x14ac:dyDescent="0.25">
      <c r="A4" s="1"/>
      <c r="B4" s="151">
        <v>45809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3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1"/>
      <c r="B5" s="154" t="s">
        <v>17</v>
      </c>
      <c r="C5" s="155" t="s">
        <v>1</v>
      </c>
      <c r="D5" s="154" t="s">
        <v>18</v>
      </c>
      <c r="E5" s="144" t="s">
        <v>19</v>
      </c>
      <c r="F5" s="144" t="s">
        <v>20</v>
      </c>
      <c r="G5" s="144" t="s">
        <v>21</v>
      </c>
      <c r="H5" s="144" t="s">
        <v>22</v>
      </c>
      <c r="I5" s="144" t="s">
        <v>23</v>
      </c>
      <c r="J5" s="146" t="s">
        <v>24</v>
      </c>
      <c r="K5" s="147"/>
      <c r="L5" s="147"/>
      <c r="M5" s="147"/>
      <c r="N5" s="147"/>
      <c r="O5" s="148"/>
      <c r="P5" s="4"/>
      <c r="Q5" s="5"/>
      <c r="R5" s="6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5">
      <c r="A6" s="1"/>
      <c r="B6" s="145"/>
      <c r="C6" s="145"/>
      <c r="D6" s="145"/>
      <c r="E6" s="145"/>
      <c r="F6" s="145"/>
      <c r="G6" s="145"/>
      <c r="H6" s="145"/>
      <c r="I6" s="145"/>
      <c r="J6" s="7" t="s">
        <v>25</v>
      </c>
      <c r="K6" s="7" t="s">
        <v>26</v>
      </c>
      <c r="L6" s="7" t="s">
        <v>27</v>
      </c>
      <c r="M6" s="7" t="s">
        <v>28</v>
      </c>
      <c r="N6" s="7" t="s">
        <v>29</v>
      </c>
      <c r="O6" s="7" t="s">
        <v>30</v>
      </c>
      <c r="P6" s="4" t="s">
        <v>31</v>
      </c>
      <c r="Q6" s="5" t="s">
        <v>32</v>
      </c>
      <c r="R6" s="6" t="s">
        <v>2</v>
      </c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5">
      <c r="A7" s="8"/>
      <c r="B7" s="9" t="s">
        <v>33</v>
      </c>
      <c r="C7" s="10" t="s">
        <v>34</v>
      </c>
      <c r="D7" s="9"/>
      <c r="E7" s="9"/>
      <c r="F7" s="9"/>
      <c r="G7" s="11"/>
      <c r="H7" s="11"/>
      <c r="I7" s="11"/>
      <c r="J7" s="11"/>
      <c r="K7" s="11"/>
      <c r="L7" s="11"/>
      <c r="M7" s="11"/>
      <c r="N7" s="11"/>
      <c r="O7" s="11"/>
      <c r="P7" s="11"/>
      <c r="Q7" s="12">
        <f>SUM(P7:P10)</f>
        <v>1429.2</v>
      </c>
      <c r="R7" s="11" t="e">
        <f>+#REF!</f>
        <v>#REF!</v>
      </c>
      <c r="S7" s="8"/>
      <c r="T7" s="8"/>
      <c r="U7" s="8"/>
      <c r="V7" s="8"/>
      <c r="W7" s="8"/>
      <c r="X7" s="8"/>
      <c r="Y7" s="8"/>
      <c r="Z7" s="8"/>
    </row>
    <row r="8" spans="1:26" ht="12.75" customHeight="1" x14ac:dyDescent="0.25">
      <c r="A8" s="8"/>
      <c r="B8" s="13"/>
      <c r="C8" s="14" t="s">
        <v>35</v>
      </c>
      <c r="D8" s="15"/>
      <c r="E8" s="15"/>
      <c r="F8" s="15"/>
      <c r="G8" s="11"/>
      <c r="H8" s="16"/>
      <c r="I8" s="17"/>
      <c r="J8" s="18"/>
      <c r="K8" s="18"/>
      <c r="L8" s="18"/>
      <c r="M8" s="18"/>
      <c r="N8" s="18"/>
      <c r="O8" s="18"/>
      <c r="P8" s="16"/>
      <c r="Q8" s="12"/>
      <c r="R8" s="11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25">
      <c r="A9" s="1"/>
      <c r="B9" s="19"/>
      <c r="C9" s="20" t="s">
        <v>36</v>
      </c>
      <c r="D9" s="15"/>
      <c r="E9" s="15"/>
      <c r="F9" s="15"/>
      <c r="G9" s="11"/>
      <c r="H9" s="11"/>
      <c r="I9" s="11"/>
      <c r="J9" s="18"/>
      <c r="K9" s="18"/>
      <c r="L9" s="18"/>
      <c r="M9" s="18"/>
      <c r="N9" s="18"/>
      <c r="O9" s="18"/>
      <c r="P9" s="11"/>
      <c r="Q9" s="12">
        <f>SUM(P9:P14)</f>
        <v>1498.6879999999999</v>
      </c>
      <c r="R9" s="11" t="e">
        <f>+#REF!</f>
        <v>#REF!</v>
      </c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1"/>
      <c r="B10" s="16"/>
      <c r="C10" s="20" t="s">
        <v>37</v>
      </c>
      <c r="D10" s="16">
        <v>4</v>
      </c>
      <c r="E10" s="16">
        <v>4.5</v>
      </c>
      <c r="F10" s="16"/>
      <c r="G10" s="16"/>
      <c r="H10" s="16">
        <v>20</v>
      </c>
      <c r="I10" s="16" t="s">
        <v>30</v>
      </c>
      <c r="J10" s="18">
        <f t="shared" ref="J10:J21" si="0">+IF(I10=$J$6,D10*E10*H10*0.254,0)</f>
        <v>0</v>
      </c>
      <c r="K10" s="18">
        <f t="shared" ref="K10:K21" si="1">+IF(I10=$K$6,D10*E10*H10*0.56,0)</f>
        <v>0</v>
      </c>
      <c r="L10" s="18">
        <f t="shared" ref="L10:L21" si="2">+IF(I10=$L$6,D10*E10*H10*0.994,0)</f>
        <v>0</v>
      </c>
      <c r="M10" s="18">
        <f t="shared" ref="M10:M21" si="3">+IF(I10=$M$6,D10*E10*H10*1.55,0)</f>
        <v>0</v>
      </c>
      <c r="N10" s="18">
        <f t="shared" ref="N10:N21" si="4">+IF(I10=$N$6,D10*E10*H10*2.24,0)</f>
        <v>0</v>
      </c>
      <c r="O10" s="18">
        <f t="shared" ref="O10:O21" si="5">+IF(I10=$O$6,D10*E10*H10*3.97,0)</f>
        <v>1429.2</v>
      </c>
      <c r="P10" s="16">
        <f t="shared" ref="P10:P12" si="6">+SUM(J10:O10)</f>
        <v>1429.2</v>
      </c>
      <c r="Q10" s="21"/>
      <c r="R10" s="22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1"/>
      <c r="B11" s="16"/>
      <c r="C11" s="20" t="s">
        <v>38</v>
      </c>
      <c r="D11" s="16">
        <v>2</v>
      </c>
      <c r="E11" s="16">
        <v>1.8</v>
      </c>
      <c r="F11" s="16"/>
      <c r="G11" s="16"/>
      <c r="H11" s="16">
        <v>4</v>
      </c>
      <c r="I11" s="16" t="s">
        <v>30</v>
      </c>
      <c r="J11" s="18">
        <f t="shared" si="0"/>
        <v>0</v>
      </c>
      <c r="K11" s="18">
        <f t="shared" si="1"/>
        <v>0</v>
      </c>
      <c r="L11" s="18">
        <f t="shared" si="2"/>
        <v>0</v>
      </c>
      <c r="M11" s="18">
        <f t="shared" si="3"/>
        <v>0</v>
      </c>
      <c r="N11" s="18">
        <f t="shared" si="4"/>
        <v>0</v>
      </c>
      <c r="O11" s="18">
        <f t="shared" si="5"/>
        <v>57.168000000000006</v>
      </c>
      <c r="P11" s="16">
        <f t="shared" si="6"/>
        <v>57.168000000000006</v>
      </c>
      <c r="Q11" s="21"/>
      <c r="R11" s="22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5">
      <c r="A12" s="1"/>
      <c r="B12" s="16"/>
      <c r="C12" s="20"/>
      <c r="D12" s="16">
        <v>20</v>
      </c>
      <c r="E12" s="16">
        <v>1.1000000000000001</v>
      </c>
      <c r="F12" s="16"/>
      <c r="G12" s="16"/>
      <c r="H12" s="16">
        <v>1</v>
      </c>
      <c r="I12" s="16" t="s">
        <v>26</v>
      </c>
      <c r="J12" s="18">
        <f t="shared" si="0"/>
        <v>0</v>
      </c>
      <c r="K12" s="18">
        <f t="shared" si="1"/>
        <v>12.32</v>
      </c>
      <c r="L12" s="18">
        <f t="shared" si="2"/>
        <v>0</v>
      </c>
      <c r="M12" s="18">
        <f t="shared" si="3"/>
        <v>0</v>
      </c>
      <c r="N12" s="18">
        <f t="shared" si="4"/>
        <v>0</v>
      </c>
      <c r="O12" s="18">
        <f t="shared" si="5"/>
        <v>0</v>
      </c>
      <c r="P12" s="16">
        <f t="shared" si="6"/>
        <v>12.32</v>
      </c>
      <c r="Q12" s="21"/>
      <c r="R12" s="22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5">
      <c r="A13" s="1"/>
      <c r="B13" s="16"/>
      <c r="C13" s="16"/>
      <c r="D13" s="16"/>
      <c r="E13" s="16"/>
      <c r="F13" s="16"/>
      <c r="G13" s="16"/>
      <c r="H13" s="16"/>
      <c r="I13" s="16"/>
      <c r="J13" s="18">
        <f t="shared" si="0"/>
        <v>0</v>
      </c>
      <c r="K13" s="18">
        <f t="shared" si="1"/>
        <v>0</v>
      </c>
      <c r="L13" s="18">
        <f t="shared" si="2"/>
        <v>0</v>
      </c>
      <c r="M13" s="18">
        <f t="shared" si="3"/>
        <v>0</v>
      </c>
      <c r="N13" s="18">
        <f t="shared" si="4"/>
        <v>0</v>
      </c>
      <c r="O13" s="18">
        <f t="shared" si="5"/>
        <v>0</v>
      </c>
      <c r="P13" s="16"/>
      <c r="Q13" s="21"/>
      <c r="R13" s="22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5">
      <c r="A14" s="1"/>
      <c r="B14" s="19"/>
      <c r="C14" s="23"/>
      <c r="D14" s="15"/>
      <c r="E14" s="15"/>
      <c r="F14" s="15"/>
      <c r="G14" s="11"/>
      <c r="H14" s="11"/>
      <c r="I14" s="11"/>
      <c r="J14" s="18">
        <f t="shared" si="0"/>
        <v>0</v>
      </c>
      <c r="K14" s="18">
        <f t="shared" si="1"/>
        <v>0</v>
      </c>
      <c r="L14" s="18">
        <f t="shared" si="2"/>
        <v>0</v>
      </c>
      <c r="M14" s="18">
        <f t="shared" si="3"/>
        <v>0</v>
      </c>
      <c r="N14" s="18">
        <f t="shared" si="4"/>
        <v>0</v>
      </c>
      <c r="O14" s="18">
        <f t="shared" si="5"/>
        <v>0</v>
      </c>
      <c r="P14" s="11"/>
      <c r="Q14" s="12"/>
      <c r="R14" s="1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1"/>
      <c r="B15" s="16"/>
      <c r="C15" s="20"/>
      <c r="D15" s="16"/>
      <c r="E15" s="16"/>
      <c r="F15" s="16"/>
      <c r="G15" s="16"/>
      <c r="H15" s="16"/>
      <c r="I15" s="16"/>
      <c r="J15" s="18">
        <f t="shared" si="0"/>
        <v>0</v>
      </c>
      <c r="K15" s="18">
        <f t="shared" si="1"/>
        <v>0</v>
      </c>
      <c r="L15" s="18">
        <f t="shared" si="2"/>
        <v>0</v>
      </c>
      <c r="M15" s="18">
        <f t="shared" si="3"/>
        <v>0</v>
      </c>
      <c r="N15" s="18">
        <f t="shared" si="4"/>
        <v>0</v>
      </c>
      <c r="O15" s="18">
        <f t="shared" si="5"/>
        <v>0</v>
      </c>
      <c r="P15" s="16"/>
      <c r="Q15" s="21"/>
      <c r="R15" s="22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5">
      <c r="A16" s="1"/>
      <c r="B16" s="16"/>
      <c r="C16" s="16"/>
      <c r="D16" s="16"/>
      <c r="E16" s="16"/>
      <c r="F16" s="16"/>
      <c r="G16" s="16"/>
      <c r="H16" s="16"/>
      <c r="I16" s="16"/>
      <c r="J16" s="18">
        <f t="shared" si="0"/>
        <v>0</v>
      </c>
      <c r="K16" s="18">
        <f t="shared" si="1"/>
        <v>0</v>
      </c>
      <c r="L16" s="18">
        <f t="shared" si="2"/>
        <v>0</v>
      </c>
      <c r="M16" s="18">
        <f t="shared" si="3"/>
        <v>0</v>
      </c>
      <c r="N16" s="18">
        <f t="shared" si="4"/>
        <v>0</v>
      </c>
      <c r="O16" s="18">
        <f t="shared" si="5"/>
        <v>0</v>
      </c>
      <c r="P16" s="16"/>
      <c r="Q16" s="21"/>
      <c r="R16" s="22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8"/>
      <c r="B17" s="19"/>
      <c r="C17" s="23"/>
      <c r="D17" s="15"/>
      <c r="E17" s="15"/>
      <c r="F17" s="15"/>
      <c r="G17" s="11"/>
      <c r="H17" s="11"/>
      <c r="I17" s="11"/>
      <c r="J17" s="18">
        <f t="shared" si="0"/>
        <v>0</v>
      </c>
      <c r="K17" s="18">
        <f t="shared" si="1"/>
        <v>0</v>
      </c>
      <c r="L17" s="18">
        <f t="shared" si="2"/>
        <v>0</v>
      </c>
      <c r="M17" s="18">
        <f t="shared" si="3"/>
        <v>0</v>
      </c>
      <c r="N17" s="18">
        <f t="shared" si="4"/>
        <v>0</v>
      </c>
      <c r="O17" s="18">
        <f t="shared" si="5"/>
        <v>0</v>
      </c>
      <c r="P17" s="11"/>
      <c r="Q17" s="12"/>
      <c r="R17" s="11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25">
      <c r="A18" s="1"/>
      <c r="B18" s="16"/>
      <c r="C18" s="20"/>
      <c r="D18" s="16"/>
      <c r="E18" s="16"/>
      <c r="F18" s="16"/>
      <c r="G18" s="16"/>
      <c r="H18" s="16"/>
      <c r="I18" s="16"/>
      <c r="J18" s="18">
        <f t="shared" si="0"/>
        <v>0</v>
      </c>
      <c r="K18" s="18">
        <f t="shared" si="1"/>
        <v>0</v>
      </c>
      <c r="L18" s="18">
        <f t="shared" si="2"/>
        <v>0</v>
      </c>
      <c r="M18" s="18">
        <f t="shared" si="3"/>
        <v>0</v>
      </c>
      <c r="N18" s="18">
        <f t="shared" si="4"/>
        <v>0</v>
      </c>
      <c r="O18" s="18">
        <f t="shared" si="5"/>
        <v>0</v>
      </c>
      <c r="P18" s="16"/>
      <c r="Q18" s="21"/>
      <c r="R18" s="22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1"/>
      <c r="B19" s="16"/>
      <c r="C19" s="16"/>
      <c r="D19" s="16"/>
      <c r="E19" s="16"/>
      <c r="F19" s="16"/>
      <c r="G19" s="16"/>
      <c r="H19" s="16"/>
      <c r="I19" s="16"/>
      <c r="J19" s="18">
        <f t="shared" si="0"/>
        <v>0</v>
      </c>
      <c r="K19" s="18">
        <f t="shared" si="1"/>
        <v>0</v>
      </c>
      <c r="L19" s="18">
        <f t="shared" si="2"/>
        <v>0</v>
      </c>
      <c r="M19" s="18">
        <f t="shared" si="3"/>
        <v>0</v>
      </c>
      <c r="N19" s="18">
        <f t="shared" si="4"/>
        <v>0</v>
      </c>
      <c r="O19" s="18">
        <f t="shared" si="5"/>
        <v>0</v>
      </c>
      <c r="P19" s="16"/>
      <c r="Q19" s="21"/>
      <c r="R19" s="22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19"/>
      <c r="C20" s="23"/>
      <c r="D20" s="15"/>
      <c r="E20" s="15"/>
      <c r="F20" s="15"/>
      <c r="G20" s="11"/>
      <c r="H20" s="11"/>
      <c r="I20" s="11"/>
      <c r="J20" s="18">
        <f t="shared" si="0"/>
        <v>0</v>
      </c>
      <c r="K20" s="18">
        <f t="shared" si="1"/>
        <v>0</v>
      </c>
      <c r="L20" s="18">
        <f t="shared" si="2"/>
        <v>0</v>
      </c>
      <c r="M20" s="18">
        <f t="shared" si="3"/>
        <v>0</v>
      </c>
      <c r="N20" s="18">
        <f t="shared" si="4"/>
        <v>0</v>
      </c>
      <c r="O20" s="18">
        <f t="shared" si="5"/>
        <v>0</v>
      </c>
      <c r="P20" s="11"/>
      <c r="Q20" s="12"/>
      <c r="R20" s="1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16"/>
      <c r="C21" s="20"/>
      <c r="D21" s="16"/>
      <c r="E21" s="16"/>
      <c r="F21" s="16"/>
      <c r="G21" s="16"/>
      <c r="H21" s="16"/>
      <c r="I21" s="16"/>
      <c r="J21" s="18">
        <f t="shared" si="0"/>
        <v>0</v>
      </c>
      <c r="K21" s="18">
        <f t="shared" si="1"/>
        <v>0</v>
      </c>
      <c r="L21" s="18">
        <f t="shared" si="2"/>
        <v>0</v>
      </c>
      <c r="M21" s="18">
        <f t="shared" si="3"/>
        <v>0</v>
      </c>
      <c r="N21" s="18">
        <f t="shared" si="4"/>
        <v>0</v>
      </c>
      <c r="O21" s="18">
        <f t="shared" si="5"/>
        <v>0</v>
      </c>
      <c r="P21" s="16"/>
      <c r="Q21" s="21"/>
      <c r="R21" s="22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24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24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24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24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24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24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24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24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4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4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4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4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4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4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4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24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4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4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24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24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24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4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24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4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4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4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4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4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4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4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4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4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4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4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4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4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4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4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4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4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4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4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4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4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4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4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4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4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4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4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4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4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4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4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4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4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4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4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4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4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24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24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4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4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24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24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24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4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4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24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24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24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4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4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4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24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24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24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4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24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24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24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24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24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24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24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24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24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24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24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24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24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24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24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24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24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24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24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24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24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24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24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24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24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24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24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24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24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24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24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24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24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24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24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24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24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24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24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24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24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24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24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24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24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24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24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24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24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24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24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24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24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24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24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24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24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24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24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24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24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24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24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24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24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24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24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24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24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24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24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24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24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24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24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24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24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24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24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24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24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24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24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24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24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24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24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24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24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24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24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24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24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24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24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24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24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24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24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24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24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24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24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24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24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24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24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24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24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24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24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24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24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24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24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24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24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24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24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24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24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24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24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24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24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24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24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24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24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24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24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24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24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24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24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24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24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24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24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24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24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24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24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24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24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24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24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24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24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24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24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24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24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24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24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24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24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24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24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24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24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24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24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24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24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24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24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24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24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24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24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24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24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24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24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24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24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24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24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24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24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24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24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24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24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24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24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24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24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24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24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24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24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24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24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24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24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24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24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24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24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24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24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24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24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24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24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24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24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24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24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24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24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24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24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24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24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24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24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24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24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24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24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24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24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24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24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24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24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24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24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24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24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24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24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24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24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24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24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24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24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24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24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24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24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24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24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24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24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24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24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24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24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24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24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24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24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24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24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24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24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24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24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24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24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24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24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24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24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24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24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24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24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24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24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24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24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24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24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24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24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24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24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24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24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24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24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24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24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24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24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24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24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24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24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24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24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24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24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24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24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24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24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24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24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24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24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24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24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24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24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24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24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24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24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24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24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24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24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24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24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24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24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24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24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24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24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24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24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24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24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24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24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24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24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24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24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24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24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24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24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24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24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24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24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24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24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24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24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24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24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24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24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24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24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24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24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24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24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24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24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24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24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24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24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24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24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24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24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24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24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24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24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24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24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24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24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24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24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24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24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24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24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24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24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24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24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24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24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24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24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24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24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24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24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24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24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24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24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24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24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24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24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24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24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24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24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24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24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24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24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24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24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24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24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24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24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24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24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24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24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24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24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24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24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24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24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24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24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24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24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24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24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24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24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24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24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24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24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24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24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24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24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24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24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24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24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24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24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24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24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24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24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24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24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24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24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24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24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24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24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24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24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24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24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24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24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24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24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24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24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24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24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24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24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24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24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24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24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24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24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24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24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24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24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24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24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24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24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24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24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24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24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24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24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24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24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24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24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24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24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24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24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24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24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24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24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24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24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24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24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24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24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24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24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24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24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24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24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24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24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24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24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24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24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24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24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24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24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24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24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24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24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24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24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24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24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24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24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24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24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24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24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24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24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24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24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24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24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24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24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24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24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24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24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24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24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24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24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24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24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24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24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24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24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24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24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24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24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24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24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24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24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24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24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24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24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24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24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24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24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24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24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24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24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24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24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24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24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24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24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24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24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24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24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24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24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24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24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24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24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24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24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24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24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24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24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24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24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24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24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24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24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24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24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24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24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24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24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24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24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24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24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24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24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24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24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24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24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24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24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24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24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24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24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24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24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24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24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24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24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24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24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24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24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24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24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24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24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24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24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24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24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24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24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24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24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24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24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24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24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24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24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24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24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24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24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24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24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24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24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24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24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24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24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24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24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24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24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24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24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24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24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24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24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24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24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24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24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24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24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24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24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24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24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24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24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24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24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24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24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24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24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24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24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24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24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24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24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24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24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24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24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24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24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24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24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24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24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24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24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24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24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24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24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24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24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24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24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24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24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24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24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24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24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24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24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24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24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24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24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24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24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24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24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24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24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24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24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24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24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24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24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24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24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24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24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24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24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24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24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24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24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24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24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24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24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24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24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24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24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24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24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24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24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24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24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24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24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24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24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24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24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24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24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24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24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24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24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24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24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24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24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24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24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24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24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24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24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24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24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24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24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24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24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24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24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24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24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24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24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24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24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24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24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24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24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24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24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24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24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24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24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24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24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24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24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24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24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24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24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24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24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24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24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24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24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24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24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24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24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24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24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24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24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24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24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24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24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24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24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24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24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24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24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24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24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24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24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24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24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24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24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24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24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24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24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24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24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24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24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24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24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24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24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24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24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24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24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24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24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24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24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24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24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24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24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24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24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24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24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24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24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24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24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24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24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24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24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24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G5:G6"/>
    <mergeCell ref="H5:H6"/>
    <mergeCell ref="I5:I6"/>
    <mergeCell ref="J5:O5"/>
    <mergeCell ref="H1:R1"/>
    <mergeCell ref="B4:R4"/>
    <mergeCell ref="B5:B6"/>
    <mergeCell ref="C5:C6"/>
    <mergeCell ref="D5:D6"/>
    <mergeCell ref="E5:E6"/>
    <mergeCell ref="F5:F6"/>
  </mergeCells>
  <pageMargins left="0.78740157480314965" right="0.78740157480314965" top="0.55118110236220474" bottom="0.98425196850393704" header="0" footer="0"/>
  <pageSetup paperSize="9" orientation="portrait"/>
  <headerFooter>
    <oddFooter>&amp;C800000&amp;F&amp;R800000&amp;P</oddFooter>
  </headerFooter>
  <colBreaks count="1" manualBreakCount="1">
    <brk id="18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864"/>
  <sheetViews>
    <sheetView showGridLines="0" tabSelected="1" zoomScaleNormal="100" workbookViewId="0">
      <pane ySplit="1" topLeftCell="A2" activePane="bottomLeft" state="frozen"/>
      <selection pane="bottomLeft" activeCell="B7" sqref="B7"/>
    </sheetView>
  </sheetViews>
  <sheetFormatPr baseColWidth="10" defaultColWidth="12.6640625" defaultRowHeight="15" customHeight="1" x14ac:dyDescent="0.25"/>
  <cols>
    <col min="1" max="1" width="4.77734375" style="45" customWidth="1"/>
    <col min="2" max="2" width="8.33203125" style="45" customWidth="1"/>
    <col min="3" max="3" width="9.109375" style="45" customWidth="1"/>
    <col min="4" max="4" width="5.5546875" style="45" customWidth="1"/>
    <col min="5" max="5" width="6.77734375" style="45" customWidth="1"/>
    <col min="6" max="6" width="8.6640625" style="45" bestFit="1" customWidth="1"/>
    <col min="7" max="7" width="9" style="45" customWidth="1"/>
    <col min="8" max="11" width="0.109375" style="45" customWidth="1"/>
    <col min="12" max="12" width="49.44140625" style="45" bestFit="1" customWidth="1"/>
    <col min="13" max="13" width="37.33203125" style="45" customWidth="1"/>
    <col min="14" max="14" width="8.33203125" style="45" bestFit="1" customWidth="1"/>
    <col min="15" max="15" width="7.5546875" style="45" customWidth="1"/>
    <col min="16" max="16" width="7.33203125" style="45" customWidth="1"/>
    <col min="17" max="17" width="7.6640625" style="45" customWidth="1"/>
    <col min="18" max="18" width="7.33203125" style="45" bestFit="1" customWidth="1"/>
    <col min="19" max="19" width="7.21875" style="45" bestFit="1" customWidth="1"/>
    <col min="20" max="20" width="1.33203125" style="45" customWidth="1"/>
    <col min="21" max="21" width="6.44140625" style="45" customWidth="1"/>
    <col min="22" max="22" width="8.5546875" style="45" bestFit="1" customWidth="1"/>
    <col min="23" max="23" width="8" style="45" bestFit="1" customWidth="1"/>
    <col min="24" max="24" width="7.33203125" style="45" bestFit="1" customWidth="1"/>
    <col min="25" max="16384" width="12.6640625" style="45"/>
  </cols>
  <sheetData>
    <row r="1" spans="1:24" ht="29.4" customHeight="1" x14ac:dyDescent="0.25">
      <c r="A1" s="70" t="s">
        <v>224</v>
      </c>
      <c r="B1" s="65" t="s">
        <v>39</v>
      </c>
      <c r="C1" s="65" t="s">
        <v>225</v>
      </c>
      <c r="D1" s="66" t="s">
        <v>226</v>
      </c>
      <c r="E1" s="69" t="s">
        <v>40</v>
      </c>
      <c r="F1" s="66" t="s">
        <v>227</v>
      </c>
      <c r="G1" s="66" t="s">
        <v>228</v>
      </c>
      <c r="H1" s="66" t="s">
        <v>229</v>
      </c>
      <c r="I1" s="66" t="s">
        <v>230</v>
      </c>
      <c r="J1" s="66" t="s">
        <v>231</v>
      </c>
      <c r="K1" s="66" t="s">
        <v>232</v>
      </c>
      <c r="L1" s="67" t="s">
        <v>17</v>
      </c>
      <c r="M1" s="68" t="s">
        <v>233</v>
      </c>
      <c r="N1" s="68" t="s">
        <v>18</v>
      </c>
      <c r="O1" s="68" t="s">
        <v>19</v>
      </c>
      <c r="P1" s="68" t="s">
        <v>234</v>
      </c>
      <c r="Q1" s="68" t="s">
        <v>235</v>
      </c>
      <c r="R1" s="68" t="s">
        <v>236</v>
      </c>
      <c r="S1" s="66" t="s">
        <v>22</v>
      </c>
      <c r="T1" s="65" t="s">
        <v>237</v>
      </c>
      <c r="U1" s="69" t="s">
        <v>32</v>
      </c>
      <c r="V1" s="71" t="s">
        <v>238</v>
      </c>
      <c r="W1" s="71" t="s">
        <v>239</v>
      </c>
      <c r="X1" s="71" t="s">
        <v>240</v>
      </c>
    </row>
    <row r="2" spans="1:24" ht="15" customHeight="1" x14ac:dyDescent="0.2">
      <c r="A2" s="54" t="s">
        <v>241</v>
      </c>
      <c r="B2" s="55" t="s">
        <v>242</v>
      </c>
      <c r="C2" s="55" t="s">
        <v>242</v>
      </c>
      <c r="D2" s="55" t="s">
        <v>242</v>
      </c>
      <c r="E2" s="56" t="s">
        <v>242</v>
      </c>
      <c r="F2" s="56" t="s">
        <v>242</v>
      </c>
      <c r="G2" s="56" t="s">
        <v>242</v>
      </c>
      <c r="H2" s="57" t="s">
        <v>243</v>
      </c>
      <c r="I2" s="57" t="s">
        <v>244</v>
      </c>
      <c r="J2" s="57" t="s">
        <v>245</v>
      </c>
      <c r="K2" s="57" t="s">
        <v>246</v>
      </c>
      <c r="L2" s="57" t="s">
        <v>246</v>
      </c>
      <c r="M2" s="58" t="s">
        <v>242</v>
      </c>
      <c r="N2" s="59" t="s">
        <v>242</v>
      </c>
      <c r="O2" s="59" t="s">
        <v>242</v>
      </c>
      <c r="P2" s="59" t="s">
        <v>242</v>
      </c>
      <c r="Q2" s="59" t="s">
        <v>242</v>
      </c>
      <c r="R2" s="59" t="s">
        <v>242</v>
      </c>
      <c r="S2" s="60" t="s">
        <v>242</v>
      </c>
      <c r="T2" s="61" t="s">
        <v>242</v>
      </c>
      <c r="U2" s="56" t="s">
        <v>242</v>
      </c>
      <c r="V2" s="62">
        <v>4</v>
      </c>
      <c r="W2" s="63" t="s">
        <v>74</v>
      </c>
      <c r="X2" s="64" t="s">
        <v>247</v>
      </c>
    </row>
    <row r="3" spans="1:24" ht="15" customHeight="1" x14ac:dyDescent="0.2">
      <c r="A3" s="54" t="s">
        <v>241</v>
      </c>
      <c r="B3" s="55" t="s">
        <v>248</v>
      </c>
      <c r="C3" s="55" t="s">
        <v>249</v>
      </c>
      <c r="D3" s="55" t="s">
        <v>250</v>
      </c>
      <c r="E3" s="56" t="s">
        <v>41</v>
      </c>
      <c r="F3" s="56" t="s">
        <v>42</v>
      </c>
      <c r="G3" s="56" t="s">
        <v>251</v>
      </c>
      <c r="H3" s="57" t="s">
        <v>243</v>
      </c>
      <c r="I3" s="57" t="s">
        <v>244</v>
      </c>
      <c r="J3" s="57" t="s">
        <v>245</v>
      </c>
      <c r="K3" s="57" t="s">
        <v>246</v>
      </c>
      <c r="L3" s="57" t="s">
        <v>246</v>
      </c>
      <c r="M3" s="58" t="s">
        <v>242</v>
      </c>
      <c r="N3" s="59">
        <v>1</v>
      </c>
      <c r="O3" s="59" t="s">
        <v>242</v>
      </c>
      <c r="P3" s="59" t="s">
        <v>242</v>
      </c>
      <c r="Q3" s="59" t="s">
        <v>242</v>
      </c>
      <c r="R3" s="59">
        <v>1</v>
      </c>
      <c r="S3" s="59" t="s">
        <v>242</v>
      </c>
      <c r="T3" s="61" t="s">
        <v>242</v>
      </c>
      <c r="U3" s="56">
        <v>1</v>
      </c>
      <c r="V3" s="62"/>
      <c r="W3" s="63" t="s">
        <v>74</v>
      </c>
      <c r="X3" s="64" t="s">
        <v>247</v>
      </c>
    </row>
    <row r="4" spans="1:24" ht="15" customHeight="1" x14ac:dyDescent="0.2">
      <c r="A4" s="54" t="s">
        <v>241</v>
      </c>
      <c r="B4" s="55" t="s">
        <v>248</v>
      </c>
      <c r="C4" s="55" t="s">
        <v>249</v>
      </c>
      <c r="D4" s="55" t="s">
        <v>252</v>
      </c>
      <c r="E4" s="56" t="s">
        <v>48</v>
      </c>
      <c r="F4" s="56" t="s">
        <v>42</v>
      </c>
      <c r="G4" s="56" t="s">
        <v>251</v>
      </c>
      <c r="H4" s="57" t="s">
        <v>243</v>
      </c>
      <c r="I4" s="57" t="s">
        <v>244</v>
      </c>
      <c r="J4" s="57" t="s">
        <v>245</v>
      </c>
      <c r="K4" s="57" t="s">
        <v>246</v>
      </c>
      <c r="L4" s="57" t="s">
        <v>246</v>
      </c>
      <c r="M4" s="58" t="s">
        <v>242</v>
      </c>
      <c r="N4" s="59">
        <v>3</v>
      </c>
      <c r="O4" s="59" t="s">
        <v>242</v>
      </c>
      <c r="P4" s="59" t="s">
        <v>242</v>
      </c>
      <c r="Q4" s="59" t="s">
        <v>242</v>
      </c>
      <c r="R4" s="59">
        <v>3</v>
      </c>
      <c r="S4" s="59" t="s">
        <v>242</v>
      </c>
      <c r="T4" s="61" t="s">
        <v>242</v>
      </c>
      <c r="U4" s="56">
        <v>3</v>
      </c>
      <c r="V4" s="62"/>
      <c r="W4" s="63" t="s">
        <v>74</v>
      </c>
      <c r="X4" s="64" t="s">
        <v>247</v>
      </c>
    </row>
    <row r="5" spans="1:24" ht="15" customHeight="1" x14ac:dyDescent="0.2">
      <c r="A5" s="54" t="s">
        <v>241</v>
      </c>
      <c r="B5" s="55" t="s">
        <v>242</v>
      </c>
      <c r="C5" s="55" t="s">
        <v>242</v>
      </c>
      <c r="D5" s="55" t="s">
        <v>242</v>
      </c>
      <c r="E5" s="56" t="s">
        <v>242</v>
      </c>
      <c r="F5" s="56" t="s">
        <v>242</v>
      </c>
      <c r="G5" s="56" t="s">
        <v>242</v>
      </c>
      <c r="H5" s="57" t="s">
        <v>243</v>
      </c>
      <c r="I5" s="57" t="s">
        <v>244</v>
      </c>
      <c r="J5" s="57" t="s">
        <v>245</v>
      </c>
      <c r="K5" s="57" t="s">
        <v>253</v>
      </c>
      <c r="L5" s="57" t="s">
        <v>253</v>
      </c>
      <c r="M5" s="58" t="s">
        <v>242</v>
      </c>
      <c r="N5" s="59" t="s">
        <v>242</v>
      </c>
      <c r="O5" s="59" t="s">
        <v>242</v>
      </c>
      <c r="P5" s="59" t="s">
        <v>242</v>
      </c>
      <c r="Q5" s="59" t="s">
        <v>242</v>
      </c>
      <c r="R5" s="59" t="s">
        <v>242</v>
      </c>
      <c r="S5" s="59" t="s">
        <v>242</v>
      </c>
      <c r="T5" s="61" t="s">
        <v>242</v>
      </c>
      <c r="U5" s="56" t="s">
        <v>242</v>
      </c>
      <c r="V5" s="62">
        <v>10</v>
      </c>
      <c r="W5" s="63" t="s">
        <v>179</v>
      </c>
      <c r="X5" s="64" t="s">
        <v>247</v>
      </c>
    </row>
    <row r="6" spans="1:24" ht="15" customHeight="1" x14ac:dyDescent="0.2">
      <c r="A6" s="54" t="s">
        <v>241</v>
      </c>
      <c r="B6" s="55" t="s">
        <v>248</v>
      </c>
      <c r="C6" s="55" t="s">
        <v>249</v>
      </c>
      <c r="D6" s="55" t="s">
        <v>250</v>
      </c>
      <c r="E6" s="56" t="s">
        <v>41</v>
      </c>
      <c r="F6" s="56" t="s">
        <v>42</v>
      </c>
      <c r="G6" s="56" t="s">
        <v>251</v>
      </c>
      <c r="H6" s="57" t="s">
        <v>243</v>
      </c>
      <c r="I6" s="57" t="s">
        <v>244</v>
      </c>
      <c r="J6" s="57" t="s">
        <v>245</v>
      </c>
      <c r="K6" s="57" t="s">
        <v>253</v>
      </c>
      <c r="L6" s="57" t="s">
        <v>253</v>
      </c>
      <c r="M6" s="58" t="s">
        <v>242</v>
      </c>
      <c r="N6" s="59">
        <v>1</v>
      </c>
      <c r="O6" s="59">
        <v>3</v>
      </c>
      <c r="P6" s="59" t="s">
        <v>242</v>
      </c>
      <c r="Q6" s="59" t="s">
        <v>242</v>
      </c>
      <c r="R6" s="59">
        <v>3</v>
      </c>
      <c r="S6" s="59" t="s">
        <v>242</v>
      </c>
      <c r="T6" s="61" t="s">
        <v>242</v>
      </c>
      <c r="U6" s="56">
        <v>3</v>
      </c>
      <c r="V6" s="62"/>
      <c r="W6" s="63" t="s">
        <v>179</v>
      </c>
      <c r="X6" s="64" t="s">
        <v>247</v>
      </c>
    </row>
    <row r="7" spans="1:24" ht="15" customHeight="1" x14ac:dyDescent="0.2">
      <c r="A7" s="54" t="s">
        <v>241</v>
      </c>
      <c r="B7" s="55" t="s">
        <v>248</v>
      </c>
      <c r="C7" s="55" t="s">
        <v>249</v>
      </c>
      <c r="D7" s="55" t="s">
        <v>254</v>
      </c>
      <c r="E7" s="56" t="s">
        <v>45</v>
      </c>
      <c r="F7" s="56" t="s">
        <v>42</v>
      </c>
      <c r="G7" s="56" t="s">
        <v>251</v>
      </c>
      <c r="H7" s="57" t="s">
        <v>243</v>
      </c>
      <c r="I7" s="57" t="s">
        <v>244</v>
      </c>
      <c r="J7" s="57" t="s">
        <v>245</v>
      </c>
      <c r="K7" s="57" t="s">
        <v>253</v>
      </c>
      <c r="L7" s="57" t="s">
        <v>253</v>
      </c>
      <c r="M7" s="58" t="s">
        <v>242</v>
      </c>
      <c r="N7" s="59">
        <v>1</v>
      </c>
      <c r="O7" s="59">
        <v>7</v>
      </c>
      <c r="P7" s="59" t="s">
        <v>242</v>
      </c>
      <c r="Q7" s="59" t="s">
        <v>242</v>
      </c>
      <c r="R7" s="59">
        <v>7</v>
      </c>
      <c r="S7" s="59" t="s">
        <v>242</v>
      </c>
      <c r="T7" s="61" t="s">
        <v>242</v>
      </c>
      <c r="U7" s="56">
        <v>7</v>
      </c>
      <c r="V7" s="62"/>
      <c r="W7" s="63" t="s">
        <v>179</v>
      </c>
      <c r="X7" s="64" t="s">
        <v>247</v>
      </c>
    </row>
    <row r="8" spans="1:24" ht="15" customHeight="1" x14ac:dyDescent="0.2">
      <c r="A8" s="54" t="s">
        <v>241</v>
      </c>
      <c r="B8" s="55" t="s">
        <v>242</v>
      </c>
      <c r="C8" s="55" t="s">
        <v>242</v>
      </c>
      <c r="D8" s="55" t="s">
        <v>242</v>
      </c>
      <c r="E8" s="56" t="s">
        <v>242</v>
      </c>
      <c r="F8" s="56" t="s">
        <v>242</v>
      </c>
      <c r="G8" s="56" t="s">
        <v>242</v>
      </c>
      <c r="H8" s="57" t="s">
        <v>243</v>
      </c>
      <c r="I8" s="57" t="s">
        <v>244</v>
      </c>
      <c r="J8" s="57" t="s">
        <v>245</v>
      </c>
      <c r="K8" s="57" t="s">
        <v>255</v>
      </c>
      <c r="L8" s="57" t="s">
        <v>255</v>
      </c>
      <c r="M8" s="58" t="s">
        <v>242</v>
      </c>
      <c r="N8" s="59" t="s">
        <v>242</v>
      </c>
      <c r="O8" s="59" t="s">
        <v>242</v>
      </c>
      <c r="P8" s="59" t="s">
        <v>242</v>
      </c>
      <c r="Q8" s="59" t="s">
        <v>242</v>
      </c>
      <c r="R8" s="59" t="s">
        <v>242</v>
      </c>
      <c r="S8" s="59" t="s">
        <v>242</v>
      </c>
      <c r="T8" s="61" t="s">
        <v>242</v>
      </c>
      <c r="U8" s="56" t="s">
        <v>242</v>
      </c>
      <c r="V8" s="62">
        <v>3</v>
      </c>
      <c r="W8" s="63" t="s">
        <v>179</v>
      </c>
      <c r="X8" s="64" t="s">
        <v>247</v>
      </c>
    </row>
    <row r="9" spans="1:24" ht="15" customHeight="1" x14ac:dyDescent="0.2">
      <c r="A9" s="54" t="s">
        <v>241</v>
      </c>
      <c r="B9" s="55" t="s">
        <v>248</v>
      </c>
      <c r="C9" s="55" t="s">
        <v>249</v>
      </c>
      <c r="D9" s="55" t="s">
        <v>256</v>
      </c>
      <c r="E9" s="56" t="s">
        <v>222</v>
      </c>
      <c r="F9" s="56" t="s">
        <v>47</v>
      </c>
      <c r="G9" s="56" t="s">
        <v>251</v>
      </c>
      <c r="H9" s="57" t="s">
        <v>243</v>
      </c>
      <c r="I9" s="57" t="s">
        <v>244</v>
      </c>
      <c r="J9" s="57" t="s">
        <v>245</v>
      </c>
      <c r="K9" s="57" t="s">
        <v>255</v>
      </c>
      <c r="L9" s="57" t="s">
        <v>255</v>
      </c>
      <c r="M9" s="58" t="s">
        <v>242</v>
      </c>
      <c r="N9" s="59">
        <v>1</v>
      </c>
      <c r="O9" s="59">
        <v>3</v>
      </c>
      <c r="P9" s="59" t="s">
        <v>242</v>
      </c>
      <c r="Q9" s="59" t="s">
        <v>242</v>
      </c>
      <c r="R9" s="59">
        <v>3</v>
      </c>
      <c r="S9" s="59" t="s">
        <v>242</v>
      </c>
      <c r="T9" s="61" t="s">
        <v>242</v>
      </c>
      <c r="U9" s="56">
        <v>3</v>
      </c>
      <c r="V9" s="62"/>
      <c r="W9" s="63" t="s">
        <v>179</v>
      </c>
      <c r="X9" s="64" t="s">
        <v>247</v>
      </c>
    </row>
    <row r="10" spans="1:24" ht="15" customHeight="1" x14ac:dyDescent="0.2">
      <c r="A10" s="54" t="s">
        <v>241</v>
      </c>
      <c r="B10" s="55" t="s">
        <v>242</v>
      </c>
      <c r="C10" s="55" t="s">
        <v>242</v>
      </c>
      <c r="D10" s="55" t="s">
        <v>242</v>
      </c>
      <c r="E10" s="56" t="s">
        <v>242</v>
      </c>
      <c r="F10" s="56" t="s">
        <v>242</v>
      </c>
      <c r="G10" s="56" t="s">
        <v>242</v>
      </c>
      <c r="H10" s="57" t="s">
        <v>243</v>
      </c>
      <c r="I10" s="57" t="s">
        <v>244</v>
      </c>
      <c r="J10" s="57" t="s">
        <v>257</v>
      </c>
      <c r="K10" s="57" t="s">
        <v>258</v>
      </c>
      <c r="L10" s="57" t="s">
        <v>258</v>
      </c>
      <c r="M10" s="58" t="s">
        <v>242</v>
      </c>
      <c r="N10" s="59" t="s">
        <v>242</v>
      </c>
      <c r="O10" s="59" t="s">
        <v>242</v>
      </c>
      <c r="P10" s="59" t="s">
        <v>242</v>
      </c>
      <c r="Q10" s="59" t="s">
        <v>242</v>
      </c>
      <c r="R10" s="59" t="s">
        <v>242</v>
      </c>
      <c r="S10" s="59" t="s">
        <v>242</v>
      </c>
      <c r="T10" s="61" t="s">
        <v>242</v>
      </c>
      <c r="U10" s="56" t="s">
        <v>242</v>
      </c>
      <c r="V10" s="62">
        <v>19</v>
      </c>
      <c r="W10" s="63" t="s">
        <v>179</v>
      </c>
      <c r="X10" s="64" t="s">
        <v>259</v>
      </c>
    </row>
    <row r="11" spans="1:24" ht="15" customHeight="1" x14ac:dyDescent="0.2">
      <c r="A11" s="54" t="s">
        <v>241</v>
      </c>
      <c r="B11" s="55" t="s">
        <v>248</v>
      </c>
      <c r="C11" s="55" t="s">
        <v>249</v>
      </c>
      <c r="D11" s="55" t="s">
        <v>260</v>
      </c>
      <c r="E11" s="56" t="s">
        <v>223</v>
      </c>
      <c r="F11" s="56" t="s">
        <v>44</v>
      </c>
      <c r="G11" s="56" t="s">
        <v>251</v>
      </c>
      <c r="H11" s="57" t="s">
        <v>243</v>
      </c>
      <c r="I11" s="57" t="s">
        <v>244</v>
      </c>
      <c r="J11" s="57" t="s">
        <v>257</v>
      </c>
      <c r="K11" s="57" t="s">
        <v>258</v>
      </c>
      <c r="L11" s="57" t="s">
        <v>258</v>
      </c>
      <c r="M11" s="58" t="s">
        <v>242</v>
      </c>
      <c r="N11" s="59">
        <v>1</v>
      </c>
      <c r="O11" s="59">
        <v>19</v>
      </c>
      <c r="P11" s="59" t="s">
        <v>242</v>
      </c>
      <c r="Q11" s="59" t="s">
        <v>242</v>
      </c>
      <c r="R11" s="59">
        <v>19</v>
      </c>
      <c r="S11" s="59" t="s">
        <v>242</v>
      </c>
      <c r="T11" s="61" t="s">
        <v>242</v>
      </c>
      <c r="U11" s="56">
        <v>19</v>
      </c>
      <c r="V11" s="62"/>
      <c r="W11" s="63" t="s">
        <v>179</v>
      </c>
      <c r="X11" s="64" t="s">
        <v>259</v>
      </c>
    </row>
    <row r="12" spans="1:24" ht="15" customHeight="1" x14ac:dyDescent="0.2">
      <c r="A12" s="54" t="s">
        <v>241</v>
      </c>
      <c r="B12" s="55" t="s">
        <v>242</v>
      </c>
      <c r="C12" s="55" t="s">
        <v>242</v>
      </c>
      <c r="D12" s="55" t="s">
        <v>242</v>
      </c>
      <c r="E12" s="56" t="s">
        <v>242</v>
      </c>
      <c r="F12" s="56" t="s">
        <v>242</v>
      </c>
      <c r="G12" s="56" t="s">
        <v>242</v>
      </c>
      <c r="H12" s="57" t="s">
        <v>243</v>
      </c>
      <c r="I12" s="57" t="s">
        <v>244</v>
      </c>
      <c r="J12" s="57" t="s">
        <v>257</v>
      </c>
      <c r="K12" s="57" t="s">
        <v>261</v>
      </c>
      <c r="L12" s="57" t="s">
        <v>261</v>
      </c>
      <c r="M12" s="58" t="s">
        <v>242</v>
      </c>
      <c r="N12" s="59" t="s">
        <v>242</v>
      </c>
      <c r="O12" s="59" t="s">
        <v>242</v>
      </c>
      <c r="P12" s="59" t="s">
        <v>242</v>
      </c>
      <c r="Q12" s="59" t="s">
        <v>242</v>
      </c>
      <c r="R12" s="59" t="s">
        <v>242</v>
      </c>
      <c r="S12" s="59" t="s">
        <v>242</v>
      </c>
      <c r="T12" s="61" t="s">
        <v>242</v>
      </c>
      <c r="U12" s="56" t="s">
        <v>242</v>
      </c>
      <c r="V12" s="62">
        <v>220</v>
      </c>
      <c r="W12" s="63" t="s">
        <v>262</v>
      </c>
      <c r="X12" s="64" t="s">
        <v>259</v>
      </c>
    </row>
    <row r="13" spans="1:24" ht="15" customHeight="1" x14ac:dyDescent="0.2">
      <c r="A13" s="54" t="s">
        <v>241</v>
      </c>
      <c r="B13" s="55" t="s">
        <v>248</v>
      </c>
      <c r="C13" s="55" t="s">
        <v>249</v>
      </c>
      <c r="D13" s="55" t="s">
        <v>242</v>
      </c>
      <c r="E13" s="56" t="s">
        <v>242</v>
      </c>
      <c r="F13" s="56" t="s">
        <v>242</v>
      </c>
      <c r="G13" s="56" t="s">
        <v>251</v>
      </c>
      <c r="H13" s="57" t="s">
        <v>243</v>
      </c>
      <c r="I13" s="57" t="s">
        <v>244</v>
      </c>
      <c r="J13" s="57" t="s">
        <v>257</v>
      </c>
      <c r="K13" s="57" t="s">
        <v>261</v>
      </c>
      <c r="L13" s="57" t="s">
        <v>261</v>
      </c>
      <c r="M13" s="58" t="s">
        <v>263</v>
      </c>
      <c r="N13" s="59">
        <v>220</v>
      </c>
      <c r="O13" s="59" t="s">
        <v>242</v>
      </c>
      <c r="P13" s="59" t="s">
        <v>242</v>
      </c>
      <c r="Q13" s="59" t="s">
        <v>242</v>
      </c>
      <c r="R13" s="59">
        <v>220</v>
      </c>
      <c r="S13" s="59" t="s">
        <v>242</v>
      </c>
      <c r="T13" s="61" t="s">
        <v>242</v>
      </c>
      <c r="U13" s="56">
        <v>220</v>
      </c>
      <c r="V13" s="62"/>
      <c r="W13" s="63" t="s">
        <v>262</v>
      </c>
      <c r="X13" s="64" t="s">
        <v>259</v>
      </c>
    </row>
    <row r="14" spans="1:24" ht="15" customHeight="1" x14ac:dyDescent="0.2">
      <c r="A14" s="54" t="s">
        <v>241</v>
      </c>
      <c r="B14" s="55" t="s">
        <v>242</v>
      </c>
      <c r="C14" s="55" t="s">
        <v>242</v>
      </c>
      <c r="D14" s="55" t="s">
        <v>242</v>
      </c>
      <c r="E14" s="56" t="s">
        <v>242</v>
      </c>
      <c r="F14" s="56" t="s">
        <v>242</v>
      </c>
      <c r="G14" s="56" t="s">
        <v>242</v>
      </c>
      <c r="H14" s="57" t="s">
        <v>243</v>
      </c>
      <c r="I14" s="57" t="s">
        <v>244</v>
      </c>
      <c r="J14" s="57" t="s">
        <v>257</v>
      </c>
      <c r="K14" s="57" t="s">
        <v>264</v>
      </c>
      <c r="L14" s="57" t="s">
        <v>264</v>
      </c>
      <c r="M14" s="58" t="s">
        <v>242</v>
      </c>
      <c r="N14" s="59" t="s">
        <v>242</v>
      </c>
      <c r="O14" s="59" t="s">
        <v>242</v>
      </c>
      <c r="P14" s="59" t="s">
        <v>242</v>
      </c>
      <c r="Q14" s="59" t="s">
        <v>242</v>
      </c>
      <c r="R14" s="59" t="s">
        <v>242</v>
      </c>
      <c r="S14" s="59" t="s">
        <v>242</v>
      </c>
      <c r="T14" s="61" t="s">
        <v>242</v>
      </c>
      <c r="U14" s="56" t="s">
        <v>242</v>
      </c>
      <c r="V14" s="62">
        <v>86.14</v>
      </c>
      <c r="W14" s="63" t="s">
        <v>99</v>
      </c>
      <c r="X14" s="64" t="s">
        <v>259</v>
      </c>
    </row>
    <row r="15" spans="1:24" ht="15" customHeight="1" x14ac:dyDescent="0.2">
      <c r="A15" s="54" t="s">
        <v>241</v>
      </c>
      <c r="B15" s="55" t="s">
        <v>248</v>
      </c>
      <c r="C15" s="55" t="s">
        <v>249</v>
      </c>
      <c r="D15" s="55" t="s">
        <v>242</v>
      </c>
      <c r="E15" s="56" t="s">
        <v>242</v>
      </c>
      <c r="F15" s="56" t="s">
        <v>242</v>
      </c>
      <c r="G15" s="56" t="s">
        <v>251</v>
      </c>
      <c r="H15" s="57" t="s">
        <v>243</v>
      </c>
      <c r="I15" s="57" t="s">
        <v>244</v>
      </c>
      <c r="J15" s="57" t="s">
        <v>257</v>
      </c>
      <c r="K15" s="57" t="s">
        <v>264</v>
      </c>
      <c r="L15" s="57" t="s">
        <v>264</v>
      </c>
      <c r="M15" s="58" t="s">
        <v>265</v>
      </c>
      <c r="N15" s="59">
        <v>86.14</v>
      </c>
      <c r="O15" s="59" t="s">
        <v>242</v>
      </c>
      <c r="P15" s="59" t="s">
        <v>242</v>
      </c>
      <c r="Q15" s="59" t="s">
        <v>242</v>
      </c>
      <c r="R15" s="59">
        <v>86.14</v>
      </c>
      <c r="S15" s="59" t="s">
        <v>242</v>
      </c>
      <c r="T15" s="61" t="s">
        <v>242</v>
      </c>
      <c r="U15" s="56">
        <v>86.14</v>
      </c>
      <c r="V15" s="62"/>
      <c r="W15" s="63" t="s">
        <v>99</v>
      </c>
      <c r="X15" s="64" t="s">
        <v>259</v>
      </c>
    </row>
    <row r="16" spans="1:24" ht="15" customHeight="1" x14ac:dyDescent="0.2">
      <c r="A16" s="54" t="s">
        <v>241</v>
      </c>
      <c r="B16" s="55" t="s">
        <v>242</v>
      </c>
      <c r="C16" s="55" t="s">
        <v>242</v>
      </c>
      <c r="D16" s="55" t="s">
        <v>242</v>
      </c>
      <c r="E16" s="56" t="s">
        <v>242</v>
      </c>
      <c r="F16" s="56" t="s">
        <v>242</v>
      </c>
      <c r="G16" s="56" t="s">
        <v>242</v>
      </c>
      <c r="H16" s="57" t="s">
        <v>243</v>
      </c>
      <c r="I16" s="57" t="s">
        <v>244</v>
      </c>
      <c r="J16" s="57" t="s">
        <v>257</v>
      </c>
      <c r="K16" s="57" t="s">
        <v>266</v>
      </c>
      <c r="L16" s="57" t="s">
        <v>266</v>
      </c>
      <c r="M16" s="58" t="s">
        <v>242</v>
      </c>
      <c r="N16" s="59" t="s">
        <v>242</v>
      </c>
      <c r="O16" s="59" t="s">
        <v>242</v>
      </c>
      <c r="P16" s="59" t="s">
        <v>242</v>
      </c>
      <c r="Q16" s="59" t="s">
        <v>242</v>
      </c>
      <c r="R16" s="59" t="s">
        <v>242</v>
      </c>
      <c r="S16" s="59" t="s">
        <v>242</v>
      </c>
      <c r="T16" s="61" t="s">
        <v>242</v>
      </c>
      <c r="U16" s="56" t="s">
        <v>242</v>
      </c>
      <c r="V16" s="62">
        <v>3</v>
      </c>
      <c r="W16" s="63" t="s">
        <v>179</v>
      </c>
      <c r="X16" s="64" t="s">
        <v>259</v>
      </c>
    </row>
    <row r="17" spans="1:24" ht="15" customHeight="1" x14ac:dyDescent="0.2">
      <c r="A17" s="54" t="s">
        <v>241</v>
      </c>
      <c r="B17" s="55" t="s">
        <v>248</v>
      </c>
      <c r="C17" s="55" t="s">
        <v>249</v>
      </c>
      <c r="D17" s="55" t="s">
        <v>242</v>
      </c>
      <c r="E17" s="56" t="s">
        <v>223</v>
      </c>
      <c r="F17" s="56" t="s">
        <v>42</v>
      </c>
      <c r="G17" s="56" t="s">
        <v>251</v>
      </c>
      <c r="H17" s="57" t="s">
        <v>243</v>
      </c>
      <c r="I17" s="57" t="s">
        <v>244</v>
      </c>
      <c r="J17" s="57" t="s">
        <v>257</v>
      </c>
      <c r="K17" s="57" t="s">
        <v>266</v>
      </c>
      <c r="L17" s="57" t="s">
        <v>266</v>
      </c>
      <c r="M17" s="58" t="s">
        <v>242</v>
      </c>
      <c r="N17" s="59">
        <v>1</v>
      </c>
      <c r="O17" s="59">
        <v>3</v>
      </c>
      <c r="P17" s="59" t="s">
        <v>242</v>
      </c>
      <c r="Q17" s="59" t="s">
        <v>242</v>
      </c>
      <c r="R17" s="59">
        <v>3</v>
      </c>
      <c r="S17" s="59" t="s">
        <v>242</v>
      </c>
      <c r="T17" s="61" t="s">
        <v>242</v>
      </c>
      <c r="U17" s="56">
        <v>3</v>
      </c>
      <c r="V17" s="62"/>
      <c r="W17" s="63" t="s">
        <v>179</v>
      </c>
      <c r="X17" s="64" t="s">
        <v>259</v>
      </c>
    </row>
    <row r="18" spans="1:24" ht="15" customHeight="1" x14ac:dyDescent="0.2">
      <c r="A18" s="54" t="s">
        <v>241</v>
      </c>
      <c r="B18" s="55" t="s">
        <v>242</v>
      </c>
      <c r="C18" s="55" t="s">
        <v>242</v>
      </c>
      <c r="D18" s="55" t="s">
        <v>242</v>
      </c>
      <c r="E18" s="56" t="s">
        <v>242</v>
      </c>
      <c r="F18" s="56" t="s">
        <v>242</v>
      </c>
      <c r="G18" s="56" t="s">
        <v>242</v>
      </c>
      <c r="H18" s="57" t="s">
        <v>243</v>
      </c>
      <c r="I18" s="57" t="s">
        <v>244</v>
      </c>
      <c r="J18" s="57" t="s">
        <v>257</v>
      </c>
      <c r="K18" s="57" t="s">
        <v>267</v>
      </c>
      <c r="L18" s="57" t="s">
        <v>267</v>
      </c>
      <c r="M18" s="58" t="s">
        <v>242</v>
      </c>
      <c r="N18" s="59" t="s">
        <v>242</v>
      </c>
      <c r="O18" s="59" t="s">
        <v>242</v>
      </c>
      <c r="P18" s="59" t="s">
        <v>242</v>
      </c>
      <c r="Q18" s="59" t="s">
        <v>242</v>
      </c>
      <c r="R18" s="59" t="s">
        <v>242</v>
      </c>
      <c r="S18" s="59" t="s">
        <v>242</v>
      </c>
      <c r="T18" s="61" t="s">
        <v>242</v>
      </c>
      <c r="U18" s="56" t="s">
        <v>242</v>
      </c>
      <c r="V18" s="62">
        <v>14</v>
      </c>
      <c r="W18" s="63" t="s">
        <v>74</v>
      </c>
      <c r="X18" s="64" t="s">
        <v>259</v>
      </c>
    </row>
    <row r="19" spans="1:24" ht="15" customHeight="1" x14ac:dyDescent="0.2">
      <c r="A19" s="54" t="s">
        <v>241</v>
      </c>
      <c r="B19" s="55" t="s">
        <v>248</v>
      </c>
      <c r="C19" s="55" t="s">
        <v>249</v>
      </c>
      <c r="D19" s="55" t="s">
        <v>254</v>
      </c>
      <c r="E19" s="56" t="s">
        <v>43</v>
      </c>
      <c r="F19" s="56" t="s">
        <v>47</v>
      </c>
      <c r="G19" s="56" t="s">
        <v>251</v>
      </c>
      <c r="H19" s="57" t="s">
        <v>243</v>
      </c>
      <c r="I19" s="57" t="s">
        <v>244</v>
      </c>
      <c r="J19" s="57" t="s">
        <v>257</v>
      </c>
      <c r="K19" s="57" t="s">
        <v>267</v>
      </c>
      <c r="L19" s="57" t="s">
        <v>267</v>
      </c>
      <c r="M19" s="58" t="s">
        <v>242</v>
      </c>
      <c r="N19" s="59">
        <v>8</v>
      </c>
      <c r="O19" s="59" t="s">
        <v>242</v>
      </c>
      <c r="P19" s="59" t="s">
        <v>242</v>
      </c>
      <c r="Q19" s="59" t="s">
        <v>242</v>
      </c>
      <c r="R19" s="59">
        <v>8</v>
      </c>
      <c r="S19" s="59" t="s">
        <v>242</v>
      </c>
      <c r="T19" s="61" t="s">
        <v>242</v>
      </c>
      <c r="U19" s="56">
        <v>8</v>
      </c>
      <c r="V19" s="62"/>
      <c r="W19" s="63" t="s">
        <v>74</v>
      </c>
      <c r="X19" s="64" t="s">
        <v>259</v>
      </c>
    </row>
    <row r="20" spans="1:24" ht="15" customHeight="1" x14ac:dyDescent="0.2">
      <c r="A20" s="54" t="s">
        <v>241</v>
      </c>
      <c r="B20" s="55" t="s">
        <v>248</v>
      </c>
      <c r="C20" s="55" t="s">
        <v>249</v>
      </c>
      <c r="D20" s="55" t="s">
        <v>254</v>
      </c>
      <c r="E20" s="56" t="s">
        <v>45</v>
      </c>
      <c r="F20" s="56" t="s">
        <v>46</v>
      </c>
      <c r="G20" s="56" t="s">
        <v>251</v>
      </c>
      <c r="H20" s="57" t="s">
        <v>243</v>
      </c>
      <c r="I20" s="57" t="s">
        <v>244</v>
      </c>
      <c r="J20" s="57" t="s">
        <v>257</v>
      </c>
      <c r="K20" s="57" t="s">
        <v>267</v>
      </c>
      <c r="L20" s="57" t="s">
        <v>267</v>
      </c>
      <c r="M20" s="58" t="s">
        <v>242</v>
      </c>
      <c r="N20" s="59">
        <v>6</v>
      </c>
      <c r="O20" s="59" t="s">
        <v>242</v>
      </c>
      <c r="P20" s="59" t="s">
        <v>242</v>
      </c>
      <c r="Q20" s="59" t="s">
        <v>242</v>
      </c>
      <c r="R20" s="59">
        <v>6</v>
      </c>
      <c r="S20" s="59" t="s">
        <v>242</v>
      </c>
      <c r="T20" s="61" t="s">
        <v>242</v>
      </c>
      <c r="U20" s="56">
        <v>6</v>
      </c>
      <c r="V20" s="62"/>
      <c r="W20" s="63" t="s">
        <v>74</v>
      </c>
      <c r="X20" s="64" t="s">
        <v>259</v>
      </c>
    </row>
    <row r="21" spans="1:24" ht="15" customHeight="1" x14ac:dyDescent="0.2">
      <c r="A21" s="54" t="s">
        <v>241</v>
      </c>
      <c r="B21" s="55" t="s">
        <v>242</v>
      </c>
      <c r="C21" s="55" t="s">
        <v>242</v>
      </c>
      <c r="D21" s="55" t="s">
        <v>242</v>
      </c>
      <c r="E21" s="56" t="s">
        <v>242</v>
      </c>
      <c r="F21" s="56" t="s">
        <v>242</v>
      </c>
      <c r="G21" s="56" t="s">
        <v>242</v>
      </c>
      <c r="H21" s="57" t="s">
        <v>243</v>
      </c>
      <c r="I21" s="57" t="s">
        <v>244</v>
      </c>
      <c r="J21" s="57" t="s">
        <v>257</v>
      </c>
      <c r="K21" s="57" t="s">
        <v>268</v>
      </c>
      <c r="L21" s="57" t="s">
        <v>268</v>
      </c>
      <c r="M21" s="58" t="s">
        <v>242</v>
      </c>
      <c r="N21" s="59" t="s">
        <v>242</v>
      </c>
      <c r="O21" s="59" t="s">
        <v>242</v>
      </c>
      <c r="P21" s="59" t="s">
        <v>242</v>
      </c>
      <c r="Q21" s="59" t="s">
        <v>242</v>
      </c>
      <c r="R21" s="59" t="s">
        <v>242</v>
      </c>
      <c r="S21" s="59" t="s">
        <v>242</v>
      </c>
      <c r="T21" s="61" t="s">
        <v>242</v>
      </c>
      <c r="U21" s="56" t="s">
        <v>242</v>
      </c>
      <c r="V21" s="62">
        <v>416</v>
      </c>
      <c r="W21" s="63" t="s">
        <v>74</v>
      </c>
      <c r="X21" s="64" t="s">
        <v>259</v>
      </c>
    </row>
    <row r="22" spans="1:24" ht="15" customHeight="1" x14ac:dyDescent="0.2">
      <c r="A22" s="54" t="s">
        <v>241</v>
      </c>
      <c r="B22" s="55" t="s">
        <v>248</v>
      </c>
      <c r="C22" s="55" t="s">
        <v>249</v>
      </c>
      <c r="D22" s="55" t="s">
        <v>242</v>
      </c>
      <c r="E22" s="56" t="s">
        <v>242</v>
      </c>
      <c r="F22" s="56" t="s">
        <v>242</v>
      </c>
      <c r="G22" s="56" t="s">
        <v>251</v>
      </c>
      <c r="H22" s="57" t="s">
        <v>243</v>
      </c>
      <c r="I22" s="57" t="s">
        <v>244</v>
      </c>
      <c r="J22" s="57" t="s">
        <v>257</v>
      </c>
      <c r="K22" s="57" t="s">
        <v>268</v>
      </c>
      <c r="L22" s="57" t="s">
        <v>268</v>
      </c>
      <c r="M22" s="58" t="s">
        <v>242</v>
      </c>
      <c r="N22" s="59">
        <v>416</v>
      </c>
      <c r="O22" s="59" t="s">
        <v>242</v>
      </c>
      <c r="P22" s="59" t="s">
        <v>242</v>
      </c>
      <c r="Q22" s="59" t="s">
        <v>242</v>
      </c>
      <c r="R22" s="59">
        <v>416</v>
      </c>
      <c r="S22" s="59" t="s">
        <v>242</v>
      </c>
      <c r="T22" s="61" t="s">
        <v>242</v>
      </c>
      <c r="U22" s="56">
        <v>416</v>
      </c>
      <c r="V22" s="62"/>
      <c r="W22" s="63" t="s">
        <v>74</v>
      </c>
      <c r="X22" s="64" t="s">
        <v>259</v>
      </c>
    </row>
    <row r="23" spans="1:24" ht="15" customHeight="1" x14ac:dyDescent="0.2">
      <c r="A23" s="54" t="s">
        <v>241</v>
      </c>
      <c r="B23" s="55" t="s">
        <v>242</v>
      </c>
      <c r="C23" s="55" t="s">
        <v>242</v>
      </c>
      <c r="D23" s="55" t="s">
        <v>242</v>
      </c>
      <c r="E23" s="56" t="s">
        <v>242</v>
      </c>
      <c r="F23" s="56" t="s">
        <v>242</v>
      </c>
      <c r="G23" s="56" t="s">
        <v>242</v>
      </c>
      <c r="H23" s="57" t="s">
        <v>243</v>
      </c>
      <c r="I23" s="57" t="s">
        <v>244</v>
      </c>
      <c r="J23" s="57" t="s">
        <v>257</v>
      </c>
      <c r="K23" s="57" t="s">
        <v>269</v>
      </c>
      <c r="L23" s="57" t="s">
        <v>269</v>
      </c>
      <c r="M23" s="58" t="s">
        <v>242</v>
      </c>
      <c r="N23" s="59" t="s">
        <v>242</v>
      </c>
      <c r="O23" s="59" t="s">
        <v>242</v>
      </c>
      <c r="P23" s="59" t="s">
        <v>242</v>
      </c>
      <c r="Q23" s="59" t="s">
        <v>242</v>
      </c>
      <c r="R23" s="59" t="s">
        <v>242</v>
      </c>
      <c r="S23" s="59" t="s">
        <v>242</v>
      </c>
      <c r="T23" s="61" t="s">
        <v>242</v>
      </c>
      <c r="U23" s="56" t="s">
        <v>242</v>
      </c>
      <c r="V23" s="62">
        <v>9.9989999999999988</v>
      </c>
      <c r="W23" s="63" t="s">
        <v>270</v>
      </c>
      <c r="X23" s="64" t="s">
        <v>259</v>
      </c>
    </row>
    <row r="24" spans="1:24" ht="15" customHeight="1" x14ac:dyDescent="0.2">
      <c r="A24" s="54" t="s">
        <v>241</v>
      </c>
      <c r="B24" s="55" t="s">
        <v>248</v>
      </c>
      <c r="C24" s="55" t="s">
        <v>249</v>
      </c>
      <c r="D24" s="55" t="s">
        <v>250</v>
      </c>
      <c r="E24" s="56" t="s">
        <v>41</v>
      </c>
      <c r="F24" s="56" t="s">
        <v>47</v>
      </c>
      <c r="G24" s="56" t="s">
        <v>251</v>
      </c>
      <c r="H24" s="57" t="s">
        <v>243</v>
      </c>
      <c r="I24" s="57" t="s">
        <v>244</v>
      </c>
      <c r="J24" s="57" t="s">
        <v>257</v>
      </c>
      <c r="K24" s="57" t="s">
        <v>269</v>
      </c>
      <c r="L24" s="57" t="s">
        <v>269</v>
      </c>
      <c r="M24" s="58" t="s">
        <v>242</v>
      </c>
      <c r="N24" s="59">
        <v>1</v>
      </c>
      <c r="O24" s="59">
        <v>1.9</v>
      </c>
      <c r="P24" s="59">
        <v>1.5</v>
      </c>
      <c r="Q24" s="59" t="s">
        <v>242</v>
      </c>
      <c r="R24" s="59">
        <v>2.8499999999999996</v>
      </c>
      <c r="S24" s="59">
        <v>3</v>
      </c>
      <c r="T24" s="61" t="s">
        <v>242</v>
      </c>
      <c r="U24" s="56">
        <v>8.5499999999999989</v>
      </c>
      <c r="V24" s="62"/>
      <c r="W24" s="63" t="s">
        <v>270</v>
      </c>
      <c r="X24" s="64" t="s">
        <v>259</v>
      </c>
    </row>
    <row r="25" spans="1:24" ht="15" customHeight="1" x14ac:dyDescent="0.2">
      <c r="A25" s="54" t="s">
        <v>241</v>
      </c>
      <c r="B25" s="55" t="s">
        <v>248</v>
      </c>
      <c r="C25" s="55" t="s">
        <v>249</v>
      </c>
      <c r="D25" s="55" t="s">
        <v>250</v>
      </c>
      <c r="E25" s="56" t="s">
        <v>41</v>
      </c>
      <c r="F25" s="56" t="s">
        <v>42</v>
      </c>
      <c r="G25" s="56" t="s">
        <v>251</v>
      </c>
      <c r="H25" s="57" t="s">
        <v>243</v>
      </c>
      <c r="I25" s="57" t="s">
        <v>244</v>
      </c>
      <c r="J25" s="57" t="s">
        <v>257</v>
      </c>
      <c r="K25" s="57" t="s">
        <v>269</v>
      </c>
      <c r="L25" s="57" t="s">
        <v>269</v>
      </c>
      <c r="M25" s="58" t="s">
        <v>242</v>
      </c>
      <c r="N25" s="59">
        <v>1</v>
      </c>
      <c r="O25" s="59">
        <v>1.1000000000000001</v>
      </c>
      <c r="P25" s="59">
        <v>1.0900000000000001</v>
      </c>
      <c r="Q25" s="59" t="s">
        <v>242</v>
      </c>
      <c r="R25" s="59">
        <v>1.1990000000000003</v>
      </c>
      <c r="S25" s="59" t="s">
        <v>242</v>
      </c>
      <c r="T25" s="61" t="s">
        <v>242</v>
      </c>
      <c r="U25" s="56">
        <v>1.1990000000000003</v>
      </c>
      <c r="V25" s="62"/>
      <c r="W25" s="63" t="s">
        <v>270</v>
      </c>
      <c r="X25" s="64" t="s">
        <v>259</v>
      </c>
    </row>
    <row r="26" spans="1:24" ht="15" customHeight="1" x14ac:dyDescent="0.2">
      <c r="A26" s="54" t="s">
        <v>241</v>
      </c>
      <c r="B26" s="55" t="s">
        <v>248</v>
      </c>
      <c r="C26" s="55" t="s">
        <v>249</v>
      </c>
      <c r="D26" s="55" t="s">
        <v>252</v>
      </c>
      <c r="E26" s="56" t="s">
        <v>54</v>
      </c>
      <c r="F26" s="56" t="s">
        <v>47</v>
      </c>
      <c r="G26" s="56" t="s">
        <v>251</v>
      </c>
      <c r="H26" s="57" t="s">
        <v>243</v>
      </c>
      <c r="I26" s="57" t="s">
        <v>244</v>
      </c>
      <c r="J26" s="57" t="s">
        <v>257</v>
      </c>
      <c r="K26" s="57" t="s">
        <v>269</v>
      </c>
      <c r="L26" s="57" t="s">
        <v>269</v>
      </c>
      <c r="M26" s="58" t="s">
        <v>242</v>
      </c>
      <c r="N26" s="59">
        <v>1</v>
      </c>
      <c r="O26" s="59">
        <v>0.5</v>
      </c>
      <c r="P26" s="59">
        <v>0.5</v>
      </c>
      <c r="Q26" s="59" t="s">
        <v>242</v>
      </c>
      <c r="R26" s="59">
        <v>0.25</v>
      </c>
      <c r="S26" s="59" t="s">
        <v>242</v>
      </c>
      <c r="T26" s="61" t="s">
        <v>242</v>
      </c>
      <c r="U26" s="56">
        <v>0.25</v>
      </c>
      <c r="V26" s="62"/>
      <c r="W26" s="63" t="s">
        <v>270</v>
      </c>
      <c r="X26" s="64" t="s">
        <v>259</v>
      </c>
    </row>
    <row r="27" spans="1:24" ht="15" customHeight="1" x14ac:dyDescent="0.2">
      <c r="A27" s="54" t="s">
        <v>241</v>
      </c>
      <c r="B27" s="55" t="s">
        <v>242</v>
      </c>
      <c r="C27" s="55" t="s">
        <v>242</v>
      </c>
      <c r="D27" s="55" t="s">
        <v>242</v>
      </c>
      <c r="E27" s="56" t="s">
        <v>242</v>
      </c>
      <c r="F27" s="56" t="s">
        <v>242</v>
      </c>
      <c r="G27" s="56" t="s">
        <v>242</v>
      </c>
      <c r="H27" s="57" t="s">
        <v>243</v>
      </c>
      <c r="I27" s="57" t="s">
        <v>244</v>
      </c>
      <c r="J27" s="57" t="s">
        <v>257</v>
      </c>
      <c r="K27" s="57" t="s">
        <v>271</v>
      </c>
      <c r="L27" s="57" t="s">
        <v>271</v>
      </c>
      <c r="M27" s="58" t="s">
        <v>242</v>
      </c>
      <c r="N27" s="59" t="s">
        <v>242</v>
      </c>
      <c r="O27" s="59" t="s">
        <v>242</v>
      </c>
      <c r="P27" s="59" t="s">
        <v>242</v>
      </c>
      <c r="Q27" s="59" t="s">
        <v>242</v>
      </c>
      <c r="R27" s="59" t="s">
        <v>242</v>
      </c>
      <c r="S27" s="59" t="s">
        <v>242</v>
      </c>
      <c r="T27" s="61" t="s">
        <v>242</v>
      </c>
      <c r="U27" s="56" t="s">
        <v>242</v>
      </c>
      <c r="V27" s="62">
        <v>259</v>
      </c>
      <c r="W27" s="63" t="s">
        <v>179</v>
      </c>
      <c r="X27" s="64" t="s">
        <v>259</v>
      </c>
    </row>
    <row r="28" spans="1:24" ht="15" customHeight="1" x14ac:dyDescent="0.2">
      <c r="A28" s="54" t="s">
        <v>241</v>
      </c>
      <c r="B28" s="55" t="s">
        <v>248</v>
      </c>
      <c r="C28" s="55" t="s">
        <v>249</v>
      </c>
      <c r="D28" s="55" t="s">
        <v>242</v>
      </c>
      <c r="E28" s="56" t="s">
        <v>242</v>
      </c>
      <c r="F28" s="56" t="s">
        <v>242</v>
      </c>
      <c r="G28" s="56" t="s">
        <v>251</v>
      </c>
      <c r="H28" s="57" t="s">
        <v>243</v>
      </c>
      <c r="I28" s="57" t="s">
        <v>244</v>
      </c>
      <c r="J28" s="57" t="s">
        <v>257</v>
      </c>
      <c r="K28" s="57" t="s">
        <v>271</v>
      </c>
      <c r="L28" s="57" t="s">
        <v>271</v>
      </c>
      <c r="M28" s="58" t="s">
        <v>51</v>
      </c>
      <c r="N28" s="59">
        <v>1</v>
      </c>
      <c r="O28" s="59" t="s">
        <v>272</v>
      </c>
      <c r="P28" s="59" t="s">
        <v>242</v>
      </c>
      <c r="Q28" s="59" t="s">
        <v>242</v>
      </c>
      <c r="R28" s="59">
        <v>103</v>
      </c>
      <c r="S28" s="59" t="s">
        <v>242</v>
      </c>
      <c r="T28" s="61" t="s">
        <v>242</v>
      </c>
      <c r="U28" s="56">
        <v>103</v>
      </c>
      <c r="V28" s="62"/>
      <c r="W28" s="63" t="s">
        <v>179</v>
      </c>
      <c r="X28" s="64" t="s">
        <v>259</v>
      </c>
    </row>
    <row r="29" spans="1:24" ht="15" customHeight="1" x14ac:dyDescent="0.2">
      <c r="A29" s="54" t="s">
        <v>241</v>
      </c>
      <c r="B29" s="55" t="s">
        <v>248</v>
      </c>
      <c r="C29" s="55" t="s">
        <v>249</v>
      </c>
      <c r="D29" s="55" t="s">
        <v>242</v>
      </c>
      <c r="E29" s="56" t="s">
        <v>242</v>
      </c>
      <c r="F29" s="56" t="s">
        <v>242</v>
      </c>
      <c r="G29" s="56" t="s">
        <v>251</v>
      </c>
      <c r="H29" s="57" t="s">
        <v>243</v>
      </c>
      <c r="I29" s="57" t="s">
        <v>244</v>
      </c>
      <c r="J29" s="57" t="s">
        <v>257</v>
      </c>
      <c r="K29" s="57" t="s">
        <v>271</v>
      </c>
      <c r="L29" s="57" t="s">
        <v>271</v>
      </c>
      <c r="M29" s="58" t="s">
        <v>49</v>
      </c>
      <c r="N29" s="59">
        <v>1</v>
      </c>
      <c r="O29" s="59">
        <v>8</v>
      </c>
      <c r="P29" s="59" t="s">
        <v>242</v>
      </c>
      <c r="Q29" s="59" t="s">
        <v>242</v>
      </c>
      <c r="R29" s="59">
        <v>8</v>
      </c>
      <c r="S29" s="59" t="s">
        <v>190</v>
      </c>
      <c r="T29" s="61" t="s">
        <v>242</v>
      </c>
      <c r="U29" s="56">
        <v>80</v>
      </c>
      <c r="V29" s="62"/>
      <c r="W29" s="63" t="s">
        <v>179</v>
      </c>
      <c r="X29" s="64" t="s">
        <v>259</v>
      </c>
    </row>
    <row r="30" spans="1:24" ht="15" customHeight="1" x14ac:dyDescent="0.2">
      <c r="A30" s="54" t="s">
        <v>241</v>
      </c>
      <c r="B30" s="55" t="s">
        <v>248</v>
      </c>
      <c r="C30" s="55" t="s">
        <v>249</v>
      </c>
      <c r="D30" s="55" t="s">
        <v>242</v>
      </c>
      <c r="E30" s="56" t="s">
        <v>242</v>
      </c>
      <c r="F30" s="56" t="s">
        <v>242</v>
      </c>
      <c r="G30" s="56" t="s">
        <v>251</v>
      </c>
      <c r="H30" s="57" t="s">
        <v>243</v>
      </c>
      <c r="I30" s="57" t="s">
        <v>244</v>
      </c>
      <c r="J30" s="57" t="s">
        <v>257</v>
      </c>
      <c r="K30" s="57" t="s">
        <v>271</v>
      </c>
      <c r="L30" s="57" t="s">
        <v>271</v>
      </c>
      <c r="M30" s="58" t="s">
        <v>52</v>
      </c>
      <c r="N30" s="59">
        <v>1</v>
      </c>
      <c r="O30" s="59" t="s">
        <v>273</v>
      </c>
      <c r="P30" s="59" t="s">
        <v>242</v>
      </c>
      <c r="Q30" s="59" t="s">
        <v>242</v>
      </c>
      <c r="R30" s="59">
        <v>51</v>
      </c>
      <c r="S30" s="59" t="s">
        <v>242</v>
      </c>
      <c r="T30" s="61" t="s">
        <v>242</v>
      </c>
      <c r="U30" s="56">
        <v>51</v>
      </c>
      <c r="V30" s="62"/>
      <c r="W30" s="63" t="s">
        <v>179</v>
      </c>
      <c r="X30" s="64" t="s">
        <v>259</v>
      </c>
    </row>
    <row r="31" spans="1:24" ht="15" customHeight="1" x14ac:dyDescent="0.2">
      <c r="A31" s="54" t="s">
        <v>241</v>
      </c>
      <c r="B31" s="55" t="s">
        <v>248</v>
      </c>
      <c r="C31" s="55" t="s">
        <v>249</v>
      </c>
      <c r="D31" s="55" t="s">
        <v>242</v>
      </c>
      <c r="E31" s="56" t="s">
        <v>242</v>
      </c>
      <c r="F31" s="56" t="s">
        <v>242</v>
      </c>
      <c r="G31" s="56" t="s">
        <v>251</v>
      </c>
      <c r="H31" s="57" t="s">
        <v>243</v>
      </c>
      <c r="I31" s="57" t="s">
        <v>244</v>
      </c>
      <c r="J31" s="57" t="s">
        <v>257</v>
      </c>
      <c r="K31" s="57" t="s">
        <v>271</v>
      </c>
      <c r="L31" s="57" t="s">
        <v>271</v>
      </c>
      <c r="M31" s="58" t="s">
        <v>50</v>
      </c>
      <c r="N31" s="59">
        <v>1</v>
      </c>
      <c r="O31" s="59" t="s">
        <v>274</v>
      </c>
      <c r="P31" s="59" t="s">
        <v>242</v>
      </c>
      <c r="Q31" s="59" t="s">
        <v>242</v>
      </c>
      <c r="R31" s="59">
        <v>25</v>
      </c>
      <c r="S31" s="59" t="s">
        <v>242</v>
      </c>
      <c r="T31" s="61" t="s">
        <v>242</v>
      </c>
      <c r="U31" s="56">
        <v>25</v>
      </c>
      <c r="V31" s="62"/>
      <c r="W31" s="63" t="s">
        <v>179</v>
      </c>
      <c r="X31" s="64" t="s">
        <v>259</v>
      </c>
    </row>
    <row r="32" spans="1:24" ht="15" customHeight="1" x14ac:dyDescent="0.2">
      <c r="A32" s="54" t="s">
        <v>241</v>
      </c>
      <c r="B32" s="55" t="s">
        <v>242</v>
      </c>
      <c r="C32" s="55" t="s">
        <v>242</v>
      </c>
      <c r="D32" s="55" t="s">
        <v>242</v>
      </c>
      <c r="E32" s="56" t="s">
        <v>242</v>
      </c>
      <c r="F32" s="56" t="s">
        <v>242</v>
      </c>
      <c r="G32" s="56" t="s">
        <v>242</v>
      </c>
      <c r="H32" s="57" t="s">
        <v>243</v>
      </c>
      <c r="I32" s="57" t="s">
        <v>244</v>
      </c>
      <c r="J32" s="57" t="s">
        <v>257</v>
      </c>
      <c r="K32" s="57" t="s">
        <v>275</v>
      </c>
      <c r="L32" s="57" t="s">
        <v>275</v>
      </c>
      <c r="M32" s="58" t="s">
        <v>242</v>
      </c>
      <c r="N32" s="59" t="s">
        <v>242</v>
      </c>
      <c r="O32" s="59" t="s">
        <v>242</v>
      </c>
      <c r="P32" s="59" t="s">
        <v>242</v>
      </c>
      <c r="Q32" s="59" t="s">
        <v>242</v>
      </c>
      <c r="R32" s="59" t="s">
        <v>242</v>
      </c>
      <c r="S32" s="59" t="s">
        <v>242</v>
      </c>
      <c r="T32" s="61" t="s">
        <v>242</v>
      </c>
      <c r="U32" s="56" t="s">
        <v>242</v>
      </c>
      <c r="V32" s="62">
        <v>9</v>
      </c>
      <c r="W32" s="63" t="s">
        <v>74</v>
      </c>
      <c r="X32" s="64" t="s">
        <v>259</v>
      </c>
    </row>
    <row r="33" spans="1:24" ht="15" customHeight="1" x14ac:dyDescent="0.2">
      <c r="A33" s="54" t="s">
        <v>241</v>
      </c>
      <c r="B33" s="55" t="s">
        <v>248</v>
      </c>
      <c r="C33" s="55" t="s">
        <v>249</v>
      </c>
      <c r="D33" s="55" t="s">
        <v>254</v>
      </c>
      <c r="E33" s="56" t="s">
        <v>53</v>
      </c>
      <c r="F33" s="56" t="s">
        <v>46</v>
      </c>
      <c r="G33" s="56" t="s">
        <v>251</v>
      </c>
      <c r="H33" s="57" t="s">
        <v>243</v>
      </c>
      <c r="I33" s="57" t="s">
        <v>244</v>
      </c>
      <c r="J33" s="57" t="s">
        <v>257</v>
      </c>
      <c r="K33" s="57" t="s">
        <v>275</v>
      </c>
      <c r="L33" s="57" t="s">
        <v>275</v>
      </c>
      <c r="M33" s="58" t="s">
        <v>242</v>
      </c>
      <c r="N33" s="59">
        <v>1</v>
      </c>
      <c r="O33" s="59" t="s">
        <v>242</v>
      </c>
      <c r="P33" s="59" t="s">
        <v>242</v>
      </c>
      <c r="Q33" s="59" t="s">
        <v>242</v>
      </c>
      <c r="R33" s="59">
        <v>1</v>
      </c>
      <c r="S33" s="59">
        <v>9</v>
      </c>
      <c r="T33" s="61" t="s">
        <v>242</v>
      </c>
      <c r="U33" s="56">
        <v>9</v>
      </c>
      <c r="V33" s="62"/>
      <c r="W33" s="63" t="s">
        <v>74</v>
      </c>
      <c r="X33" s="64" t="s">
        <v>259</v>
      </c>
    </row>
    <row r="34" spans="1:24" ht="15" customHeight="1" x14ac:dyDescent="0.2">
      <c r="A34" s="54" t="s">
        <v>241</v>
      </c>
      <c r="B34" s="55" t="s">
        <v>242</v>
      </c>
      <c r="C34" s="55" t="s">
        <v>242</v>
      </c>
      <c r="D34" s="55" t="s">
        <v>242</v>
      </c>
      <c r="E34" s="56" t="s">
        <v>242</v>
      </c>
      <c r="F34" s="56" t="s">
        <v>242</v>
      </c>
      <c r="G34" s="56" t="s">
        <v>242</v>
      </c>
      <c r="H34" s="57" t="s">
        <v>243</v>
      </c>
      <c r="I34" s="57" t="s">
        <v>244</v>
      </c>
      <c r="J34" s="57" t="s">
        <v>257</v>
      </c>
      <c r="K34" s="57" t="s">
        <v>276</v>
      </c>
      <c r="L34" s="57" t="s">
        <v>276</v>
      </c>
      <c r="M34" s="58" t="s">
        <v>242</v>
      </c>
      <c r="N34" s="59" t="s">
        <v>242</v>
      </c>
      <c r="O34" s="59" t="s">
        <v>242</v>
      </c>
      <c r="P34" s="59" t="s">
        <v>242</v>
      </c>
      <c r="Q34" s="59" t="s">
        <v>242</v>
      </c>
      <c r="R34" s="59" t="s">
        <v>242</v>
      </c>
      <c r="S34" s="59" t="s">
        <v>242</v>
      </c>
      <c r="T34" s="61" t="s">
        <v>242</v>
      </c>
      <c r="U34" s="56" t="s">
        <v>242</v>
      </c>
      <c r="V34" s="62">
        <v>0.24</v>
      </c>
      <c r="W34" s="63" t="s">
        <v>270</v>
      </c>
      <c r="X34" s="64" t="s">
        <v>259</v>
      </c>
    </row>
    <row r="35" spans="1:24" ht="15" customHeight="1" x14ac:dyDescent="0.2">
      <c r="A35" s="54" t="s">
        <v>241</v>
      </c>
      <c r="B35" s="55" t="s">
        <v>248</v>
      </c>
      <c r="C35" s="55" t="s">
        <v>249</v>
      </c>
      <c r="D35" s="55" t="s">
        <v>250</v>
      </c>
      <c r="E35" s="56" t="s">
        <v>41</v>
      </c>
      <c r="F35" s="56" t="s">
        <v>46</v>
      </c>
      <c r="G35" s="56" t="s">
        <v>251</v>
      </c>
      <c r="H35" s="57" t="s">
        <v>243</v>
      </c>
      <c r="I35" s="57" t="s">
        <v>244</v>
      </c>
      <c r="J35" s="57" t="s">
        <v>257</v>
      </c>
      <c r="K35" s="57" t="s">
        <v>276</v>
      </c>
      <c r="L35" s="57" t="s">
        <v>276</v>
      </c>
      <c r="M35" s="58" t="s">
        <v>242</v>
      </c>
      <c r="N35" s="59">
        <v>1</v>
      </c>
      <c r="O35" s="59">
        <v>1.2</v>
      </c>
      <c r="P35" s="59">
        <v>0.2</v>
      </c>
      <c r="Q35" s="59" t="s">
        <v>242</v>
      </c>
      <c r="R35" s="59">
        <v>0.24</v>
      </c>
      <c r="S35" s="59" t="s">
        <v>242</v>
      </c>
      <c r="T35" s="61" t="s">
        <v>242</v>
      </c>
      <c r="U35" s="56">
        <v>0.24</v>
      </c>
      <c r="V35" s="62"/>
      <c r="W35" s="63" t="s">
        <v>270</v>
      </c>
      <c r="X35" s="64" t="s">
        <v>259</v>
      </c>
    </row>
    <row r="36" spans="1:24" ht="15" customHeight="1" x14ac:dyDescent="0.2">
      <c r="A36" s="54"/>
      <c r="B36" s="55"/>
      <c r="C36" s="55"/>
      <c r="D36" s="83"/>
      <c r="E36" s="56"/>
      <c r="F36" s="56"/>
      <c r="G36" s="56"/>
      <c r="H36" s="57"/>
      <c r="I36" s="57"/>
      <c r="J36" s="57"/>
      <c r="K36" s="57"/>
      <c r="L36" s="57"/>
      <c r="M36" s="58"/>
      <c r="N36" s="59"/>
      <c r="O36" s="59"/>
      <c r="P36" s="59"/>
      <c r="Q36" s="59"/>
      <c r="R36" s="59"/>
      <c r="S36" s="59"/>
      <c r="T36" s="61"/>
      <c r="U36" s="56"/>
      <c r="V36" s="62"/>
      <c r="W36" s="63"/>
      <c r="X36" s="64"/>
    </row>
    <row r="37" spans="1:24" ht="15" customHeight="1" x14ac:dyDescent="0.2">
      <c r="A37" s="85"/>
      <c r="B37" s="86"/>
      <c r="C37" s="86"/>
      <c r="D37" s="87"/>
      <c r="E37" s="88"/>
      <c r="F37" s="16"/>
      <c r="G37" s="16"/>
      <c r="H37" s="16"/>
      <c r="I37" s="16"/>
      <c r="J37" s="16"/>
      <c r="K37" s="16"/>
      <c r="L37" s="17"/>
      <c r="M37" s="18"/>
      <c r="N37" s="18"/>
      <c r="O37" s="18"/>
      <c r="P37" s="18"/>
      <c r="Q37" s="18"/>
      <c r="R37" s="18"/>
      <c r="S37" s="16"/>
      <c r="T37" s="21"/>
      <c r="U37" s="22"/>
      <c r="V37" s="22"/>
      <c r="W37" s="22"/>
      <c r="X37" s="22"/>
    </row>
    <row r="38" spans="1:24" ht="15" customHeight="1" x14ac:dyDescent="0.2">
      <c r="A38" s="72" t="s">
        <v>241</v>
      </c>
      <c r="B38" s="73" t="s">
        <v>242</v>
      </c>
      <c r="C38" s="73" t="s">
        <v>242</v>
      </c>
      <c r="D38" s="73" t="s">
        <v>242</v>
      </c>
      <c r="E38" s="74" t="s">
        <v>242</v>
      </c>
      <c r="F38" s="74" t="s">
        <v>242</v>
      </c>
      <c r="G38" s="74" t="s">
        <v>242</v>
      </c>
      <c r="H38" s="75" t="s">
        <v>243</v>
      </c>
      <c r="I38" s="75" t="s">
        <v>244</v>
      </c>
      <c r="J38" s="75" t="s">
        <v>245</v>
      </c>
      <c r="K38" s="75" t="s">
        <v>246</v>
      </c>
      <c r="L38" s="75" t="s">
        <v>246</v>
      </c>
      <c r="M38" s="76" t="s">
        <v>242</v>
      </c>
      <c r="N38" s="77" t="s">
        <v>242</v>
      </c>
      <c r="O38" s="77" t="s">
        <v>242</v>
      </c>
      <c r="P38" s="77" t="s">
        <v>242</v>
      </c>
      <c r="Q38" s="77" t="s">
        <v>242</v>
      </c>
      <c r="R38" s="77" t="s">
        <v>242</v>
      </c>
      <c r="S38" s="78" t="s">
        <v>242</v>
      </c>
      <c r="T38" s="79" t="s">
        <v>242</v>
      </c>
      <c r="U38" s="74" t="s">
        <v>242</v>
      </c>
      <c r="V38" s="80">
        <v>1</v>
      </c>
      <c r="W38" s="81" t="s">
        <v>74</v>
      </c>
      <c r="X38" s="82" t="s">
        <v>247</v>
      </c>
    </row>
    <row r="39" spans="1:24" ht="15" customHeight="1" x14ac:dyDescent="0.2">
      <c r="A39" s="72" t="s">
        <v>241</v>
      </c>
      <c r="B39" s="73" t="s">
        <v>277</v>
      </c>
      <c r="C39" s="73" t="s">
        <v>249</v>
      </c>
      <c r="D39" s="73" t="s">
        <v>242</v>
      </c>
      <c r="E39" s="74" t="s">
        <v>223</v>
      </c>
      <c r="F39" s="74" t="s">
        <v>42</v>
      </c>
      <c r="G39" s="74" t="s">
        <v>251</v>
      </c>
      <c r="H39" s="75" t="s">
        <v>243</v>
      </c>
      <c r="I39" s="75" t="s">
        <v>244</v>
      </c>
      <c r="J39" s="75" t="s">
        <v>245</v>
      </c>
      <c r="K39" s="75" t="s">
        <v>246</v>
      </c>
      <c r="L39" s="75" t="s">
        <v>246</v>
      </c>
      <c r="M39" s="76" t="s">
        <v>242</v>
      </c>
      <c r="N39" s="77">
        <v>1</v>
      </c>
      <c r="O39" s="77" t="s">
        <v>242</v>
      </c>
      <c r="P39" s="77" t="s">
        <v>242</v>
      </c>
      <c r="Q39" s="77" t="s">
        <v>242</v>
      </c>
      <c r="R39" s="77">
        <v>1</v>
      </c>
      <c r="S39" s="77" t="s">
        <v>242</v>
      </c>
      <c r="T39" s="79" t="s">
        <v>242</v>
      </c>
      <c r="U39" s="74">
        <v>1</v>
      </c>
      <c r="V39" s="80"/>
      <c r="W39" s="81" t="s">
        <v>74</v>
      </c>
      <c r="X39" s="82" t="s">
        <v>247</v>
      </c>
    </row>
    <row r="40" spans="1:24" ht="15" customHeight="1" x14ac:dyDescent="0.2">
      <c r="A40" s="72" t="s">
        <v>241</v>
      </c>
      <c r="B40" s="73" t="s">
        <v>242</v>
      </c>
      <c r="C40" s="73" t="s">
        <v>242</v>
      </c>
      <c r="D40" s="73" t="s">
        <v>242</v>
      </c>
      <c r="E40" s="74" t="s">
        <v>242</v>
      </c>
      <c r="F40" s="74" t="s">
        <v>242</v>
      </c>
      <c r="G40" s="74" t="s">
        <v>242</v>
      </c>
      <c r="H40" s="75" t="s">
        <v>243</v>
      </c>
      <c r="I40" s="75" t="s">
        <v>244</v>
      </c>
      <c r="J40" s="75" t="s">
        <v>257</v>
      </c>
      <c r="K40" s="75" t="s">
        <v>278</v>
      </c>
      <c r="L40" s="75" t="s">
        <v>278</v>
      </c>
      <c r="M40" s="76"/>
      <c r="N40" s="77" t="s">
        <v>242</v>
      </c>
      <c r="O40" s="77" t="s">
        <v>242</v>
      </c>
      <c r="P40" s="77" t="s">
        <v>242</v>
      </c>
      <c r="Q40" s="77" t="s">
        <v>242</v>
      </c>
      <c r="R40" s="77" t="s">
        <v>242</v>
      </c>
      <c r="S40" s="77" t="s">
        <v>242</v>
      </c>
      <c r="T40" s="79" t="s">
        <v>242</v>
      </c>
      <c r="U40" s="74" t="s">
        <v>242</v>
      </c>
      <c r="V40" s="80">
        <v>9</v>
      </c>
      <c r="W40" s="81" t="s">
        <v>179</v>
      </c>
      <c r="X40" s="82" t="s">
        <v>259</v>
      </c>
    </row>
    <row r="41" spans="1:24" ht="15" customHeight="1" x14ac:dyDescent="0.2">
      <c r="A41" s="72" t="s">
        <v>241</v>
      </c>
      <c r="B41" s="73" t="s">
        <v>277</v>
      </c>
      <c r="C41" s="73" t="s">
        <v>249</v>
      </c>
      <c r="D41" s="73" t="s">
        <v>250</v>
      </c>
      <c r="E41" s="74" t="s">
        <v>43</v>
      </c>
      <c r="F41" s="74" t="s">
        <v>279</v>
      </c>
      <c r="G41" s="74" t="s">
        <v>251</v>
      </c>
      <c r="H41" s="75" t="s">
        <v>243</v>
      </c>
      <c r="I41" s="75" t="s">
        <v>244</v>
      </c>
      <c r="J41" s="75" t="s">
        <v>257</v>
      </c>
      <c r="K41" s="75" t="s">
        <v>278</v>
      </c>
      <c r="L41" s="75" t="s">
        <v>278</v>
      </c>
      <c r="M41" s="76" t="s">
        <v>242</v>
      </c>
      <c r="N41" s="77">
        <v>1</v>
      </c>
      <c r="O41" s="77">
        <v>9</v>
      </c>
      <c r="P41" s="77" t="s">
        <v>242</v>
      </c>
      <c r="Q41" s="77" t="s">
        <v>242</v>
      </c>
      <c r="R41" s="77">
        <v>9</v>
      </c>
      <c r="S41" s="77" t="s">
        <v>242</v>
      </c>
      <c r="T41" s="79" t="s">
        <v>242</v>
      </c>
      <c r="U41" s="74">
        <v>9</v>
      </c>
      <c r="V41" s="80"/>
      <c r="W41" s="81" t="s">
        <v>179</v>
      </c>
      <c r="X41" s="82" t="s">
        <v>259</v>
      </c>
    </row>
    <row r="42" spans="1:24" ht="15" customHeight="1" x14ac:dyDescent="0.2">
      <c r="A42" s="72" t="s">
        <v>241</v>
      </c>
      <c r="B42" s="73" t="s">
        <v>242</v>
      </c>
      <c r="C42" s="73" t="s">
        <v>242</v>
      </c>
      <c r="D42" s="73" t="s">
        <v>242</v>
      </c>
      <c r="E42" s="74" t="s">
        <v>242</v>
      </c>
      <c r="F42" s="74" t="s">
        <v>242</v>
      </c>
      <c r="G42" s="74" t="s">
        <v>242</v>
      </c>
      <c r="H42" s="75" t="s">
        <v>243</v>
      </c>
      <c r="I42" s="75" t="s">
        <v>244</v>
      </c>
      <c r="J42" s="75" t="s">
        <v>257</v>
      </c>
      <c r="K42" s="75" t="s">
        <v>258</v>
      </c>
      <c r="L42" s="75" t="s">
        <v>258</v>
      </c>
      <c r="M42" s="76" t="s">
        <v>242</v>
      </c>
      <c r="N42" s="77" t="s">
        <v>242</v>
      </c>
      <c r="O42" s="77" t="s">
        <v>242</v>
      </c>
      <c r="P42" s="77" t="s">
        <v>242</v>
      </c>
      <c r="Q42" s="77" t="s">
        <v>242</v>
      </c>
      <c r="R42" s="77" t="s">
        <v>242</v>
      </c>
      <c r="S42" s="77" t="s">
        <v>242</v>
      </c>
      <c r="T42" s="79" t="s">
        <v>242</v>
      </c>
      <c r="U42" s="74" t="s">
        <v>242</v>
      </c>
      <c r="V42" s="80">
        <v>40</v>
      </c>
      <c r="W42" s="81" t="s">
        <v>179</v>
      </c>
      <c r="X42" s="82" t="s">
        <v>259</v>
      </c>
    </row>
    <row r="43" spans="1:24" ht="15" customHeight="1" x14ac:dyDescent="0.2">
      <c r="A43" s="72" t="s">
        <v>241</v>
      </c>
      <c r="B43" s="73" t="s">
        <v>277</v>
      </c>
      <c r="C43" s="73" t="s">
        <v>249</v>
      </c>
      <c r="D43" s="73" t="s">
        <v>250</v>
      </c>
      <c r="E43" s="74" t="s">
        <v>41</v>
      </c>
      <c r="F43" s="74" t="s">
        <v>279</v>
      </c>
      <c r="G43" s="74" t="s">
        <v>251</v>
      </c>
      <c r="H43" s="75" t="s">
        <v>243</v>
      </c>
      <c r="I43" s="75" t="s">
        <v>244</v>
      </c>
      <c r="J43" s="75" t="s">
        <v>257</v>
      </c>
      <c r="K43" s="75" t="s">
        <v>258</v>
      </c>
      <c r="L43" s="75" t="s">
        <v>258</v>
      </c>
      <c r="M43" s="76" t="s">
        <v>242</v>
      </c>
      <c r="N43" s="77">
        <v>1</v>
      </c>
      <c r="O43" s="77">
        <v>15</v>
      </c>
      <c r="P43" s="77" t="s">
        <v>242</v>
      </c>
      <c r="Q43" s="77" t="s">
        <v>242</v>
      </c>
      <c r="R43" s="77">
        <v>15</v>
      </c>
      <c r="S43" s="77" t="s">
        <v>242</v>
      </c>
      <c r="T43" s="79" t="s">
        <v>242</v>
      </c>
      <c r="U43" s="74">
        <v>15</v>
      </c>
      <c r="V43" s="80"/>
      <c r="W43" s="81" t="s">
        <v>179</v>
      </c>
      <c r="X43" s="82" t="s">
        <v>259</v>
      </c>
    </row>
    <row r="44" spans="1:24" ht="15" customHeight="1" x14ac:dyDescent="0.2">
      <c r="A44" s="72" t="s">
        <v>241</v>
      </c>
      <c r="B44" s="73" t="s">
        <v>277</v>
      </c>
      <c r="C44" s="73" t="s">
        <v>249</v>
      </c>
      <c r="D44" s="73" t="s">
        <v>242</v>
      </c>
      <c r="E44" s="74" t="s">
        <v>223</v>
      </c>
      <c r="F44" s="74" t="s">
        <v>42</v>
      </c>
      <c r="G44" s="74" t="s">
        <v>251</v>
      </c>
      <c r="H44" s="75" t="s">
        <v>243</v>
      </c>
      <c r="I44" s="75" t="s">
        <v>244</v>
      </c>
      <c r="J44" s="75" t="s">
        <v>257</v>
      </c>
      <c r="K44" s="75" t="s">
        <v>258</v>
      </c>
      <c r="L44" s="75" t="s">
        <v>258</v>
      </c>
      <c r="M44" s="76" t="s">
        <v>242</v>
      </c>
      <c r="N44" s="77">
        <v>1</v>
      </c>
      <c r="O44" s="77">
        <v>25</v>
      </c>
      <c r="P44" s="77" t="s">
        <v>242</v>
      </c>
      <c r="Q44" s="77" t="s">
        <v>242</v>
      </c>
      <c r="R44" s="77">
        <v>25</v>
      </c>
      <c r="S44" s="77" t="s">
        <v>242</v>
      </c>
      <c r="T44" s="79" t="s">
        <v>242</v>
      </c>
      <c r="U44" s="74">
        <v>25</v>
      </c>
      <c r="V44" s="80"/>
      <c r="W44" s="81" t="s">
        <v>179</v>
      </c>
      <c r="X44" s="82" t="s">
        <v>259</v>
      </c>
    </row>
    <row r="45" spans="1:24" ht="15" customHeight="1" x14ac:dyDescent="0.2">
      <c r="A45" s="72" t="s">
        <v>241</v>
      </c>
      <c r="B45" s="73" t="s">
        <v>242</v>
      </c>
      <c r="C45" s="73" t="s">
        <v>242</v>
      </c>
      <c r="D45" s="73" t="s">
        <v>242</v>
      </c>
      <c r="E45" s="74" t="s">
        <v>242</v>
      </c>
      <c r="F45" s="74" t="s">
        <v>242</v>
      </c>
      <c r="G45" s="74" t="s">
        <v>242</v>
      </c>
      <c r="H45" s="75" t="s">
        <v>243</v>
      </c>
      <c r="I45" s="75" t="s">
        <v>244</v>
      </c>
      <c r="J45" s="75" t="s">
        <v>257</v>
      </c>
      <c r="K45" s="75" t="s">
        <v>261</v>
      </c>
      <c r="L45" s="75" t="s">
        <v>261</v>
      </c>
      <c r="M45" s="76" t="s">
        <v>242</v>
      </c>
      <c r="N45" s="77" t="s">
        <v>242</v>
      </c>
      <c r="O45" s="77" t="s">
        <v>242</v>
      </c>
      <c r="P45" s="77" t="s">
        <v>242</v>
      </c>
      <c r="Q45" s="77" t="s">
        <v>242</v>
      </c>
      <c r="R45" s="77" t="s">
        <v>242</v>
      </c>
      <c r="S45" s="77" t="s">
        <v>242</v>
      </c>
      <c r="T45" s="79" t="s">
        <v>242</v>
      </c>
      <c r="U45" s="74" t="s">
        <v>242</v>
      </c>
      <c r="V45" s="80">
        <v>200</v>
      </c>
      <c r="W45" s="81" t="s">
        <v>262</v>
      </c>
      <c r="X45" s="82" t="s">
        <v>259</v>
      </c>
    </row>
    <row r="46" spans="1:24" ht="15" customHeight="1" x14ac:dyDescent="0.2">
      <c r="A46" s="72" t="s">
        <v>241</v>
      </c>
      <c r="B46" s="73" t="s">
        <v>277</v>
      </c>
      <c r="C46" s="73" t="s">
        <v>249</v>
      </c>
      <c r="D46" s="73" t="s">
        <v>242</v>
      </c>
      <c r="E46" s="74" t="s">
        <v>242</v>
      </c>
      <c r="F46" s="74" t="s">
        <v>242</v>
      </c>
      <c r="G46" s="74" t="s">
        <v>251</v>
      </c>
      <c r="H46" s="75" t="s">
        <v>243</v>
      </c>
      <c r="I46" s="75" t="s">
        <v>244</v>
      </c>
      <c r="J46" s="75" t="s">
        <v>257</v>
      </c>
      <c r="K46" s="75" t="s">
        <v>261</v>
      </c>
      <c r="L46" s="75" t="s">
        <v>261</v>
      </c>
      <c r="M46" s="76" t="s">
        <v>263</v>
      </c>
      <c r="N46" s="77">
        <v>200</v>
      </c>
      <c r="O46" s="77" t="s">
        <v>242</v>
      </c>
      <c r="P46" s="77" t="s">
        <v>242</v>
      </c>
      <c r="Q46" s="77" t="s">
        <v>242</v>
      </c>
      <c r="R46" s="77">
        <v>200</v>
      </c>
      <c r="S46" s="77" t="s">
        <v>242</v>
      </c>
      <c r="T46" s="79" t="s">
        <v>242</v>
      </c>
      <c r="U46" s="74">
        <v>200</v>
      </c>
      <c r="V46" s="80"/>
      <c r="W46" s="81" t="s">
        <v>262</v>
      </c>
      <c r="X46" s="82" t="s">
        <v>259</v>
      </c>
    </row>
    <row r="47" spans="1:24" ht="15" customHeight="1" x14ac:dyDescent="0.2">
      <c r="A47" s="72" t="s">
        <v>241</v>
      </c>
      <c r="B47" s="73" t="s">
        <v>242</v>
      </c>
      <c r="C47" s="73" t="s">
        <v>242</v>
      </c>
      <c r="D47" s="73" t="s">
        <v>242</v>
      </c>
      <c r="E47" s="74" t="s">
        <v>242</v>
      </c>
      <c r="F47" s="74" t="s">
        <v>242</v>
      </c>
      <c r="G47" s="74" t="s">
        <v>242</v>
      </c>
      <c r="H47" s="75" t="s">
        <v>243</v>
      </c>
      <c r="I47" s="75" t="s">
        <v>244</v>
      </c>
      <c r="J47" s="75" t="s">
        <v>257</v>
      </c>
      <c r="K47" s="75" t="s">
        <v>280</v>
      </c>
      <c r="L47" s="75" t="s">
        <v>280</v>
      </c>
      <c r="M47" s="76" t="s">
        <v>242</v>
      </c>
      <c r="N47" s="77" t="s">
        <v>242</v>
      </c>
      <c r="O47" s="77" t="s">
        <v>242</v>
      </c>
      <c r="P47" s="77" t="s">
        <v>242</v>
      </c>
      <c r="Q47" s="77" t="s">
        <v>242</v>
      </c>
      <c r="R47" s="77" t="s">
        <v>242</v>
      </c>
      <c r="S47" s="77" t="s">
        <v>242</v>
      </c>
      <c r="T47" s="79" t="s">
        <v>242</v>
      </c>
      <c r="U47" s="74" t="s">
        <v>242</v>
      </c>
      <c r="V47" s="80">
        <v>50</v>
      </c>
      <c r="W47" s="81" t="s">
        <v>262</v>
      </c>
      <c r="X47" s="82" t="s">
        <v>259</v>
      </c>
    </row>
    <row r="48" spans="1:24" ht="15" customHeight="1" x14ac:dyDescent="0.2">
      <c r="A48" s="72" t="s">
        <v>241</v>
      </c>
      <c r="B48" s="73" t="s">
        <v>277</v>
      </c>
      <c r="C48" s="73" t="s">
        <v>249</v>
      </c>
      <c r="D48" s="73" t="s">
        <v>242</v>
      </c>
      <c r="E48" s="74" t="s">
        <v>242</v>
      </c>
      <c r="F48" s="74" t="s">
        <v>242</v>
      </c>
      <c r="G48" s="74" t="s">
        <v>251</v>
      </c>
      <c r="H48" s="75" t="s">
        <v>243</v>
      </c>
      <c r="I48" s="75" t="s">
        <v>244</v>
      </c>
      <c r="J48" s="75" t="s">
        <v>257</v>
      </c>
      <c r="K48" s="75" t="s">
        <v>280</v>
      </c>
      <c r="L48" s="75" t="s">
        <v>280</v>
      </c>
      <c r="M48" s="76" t="s">
        <v>284</v>
      </c>
      <c r="N48" s="77">
        <v>50</v>
      </c>
      <c r="O48" s="77" t="s">
        <v>242</v>
      </c>
      <c r="P48" s="77" t="s">
        <v>242</v>
      </c>
      <c r="Q48" s="77" t="s">
        <v>242</v>
      </c>
      <c r="R48" s="77">
        <v>50</v>
      </c>
      <c r="S48" s="77" t="s">
        <v>242</v>
      </c>
      <c r="T48" s="79" t="s">
        <v>242</v>
      </c>
      <c r="U48" s="74">
        <v>50</v>
      </c>
      <c r="V48" s="80"/>
      <c r="W48" s="81" t="s">
        <v>262</v>
      </c>
      <c r="X48" s="82" t="s">
        <v>259</v>
      </c>
    </row>
    <row r="49" spans="1:24" ht="15" customHeight="1" x14ac:dyDescent="0.2">
      <c r="A49" s="72" t="s">
        <v>241</v>
      </c>
      <c r="B49" s="73" t="s">
        <v>242</v>
      </c>
      <c r="C49" s="73" t="s">
        <v>242</v>
      </c>
      <c r="D49" s="73" t="s">
        <v>242</v>
      </c>
      <c r="E49" s="74" t="s">
        <v>242</v>
      </c>
      <c r="F49" s="74" t="s">
        <v>242</v>
      </c>
      <c r="G49" s="74" t="s">
        <v>242</v>
      </c>
      <c r="H49" s="75" t="s">
        <v>243</v>
      </c>
      <c r="I49" s="75" t="s">
        <v>244</v>
      </c>
      <c r="J49" s="75" t="s">
        <v>257</v>
      </c>
      <c r="K49" s="75" t="s">
        <v>264</v>
      </c>
      <c r="L49" s="75" t="s">
        <v>264</v>
      </c>
      <c r="M49" s="76" t="s">
        <v>242</v>
      </c>
      <c r="N49" s="77" t="s">
        <v>242</v>
      </c>
      <c r="O49" s="77" t="s">
        <v>242</v>
      </c>
      <c r="P49" s="77" t="s">
        <v>242</v>
      </c>
      <c r="Q49" s="77" t="s">
        <v>242</v>
      </c>
      <c r="R49" s="77" t="s">
        <v>242</v>
      </c>
      <c r="S49" s="77" t="s">
        <v>242</v>
      </c>
      <c r="T49" s="79" t="s">
        <v>242</v>
      </c>
      <c r="U49" s="74" t="s">
        <v>242</v>
      </c>
      <c r="V49" s="80">
        <v>154.34</v>
      </c>
      <c r="W49" s="81" t="s">
        <v>99</v>
      </c>
      <c r="X49" s="82" t="s">
        <v>259</v>
      </c>
    </row>
    <row r="50" spans="1:24" ht="15" customHeight="1" x14ac:dyDescent="0.2">
      <c r="A50" s="72" t="s">
        <v>241</v>
      </c>
      <c r="B50" s="73" t="s">
        <v>277</v>
      </c>
      <c r="C50" s="73" t="s">
        <v>249</v>
      </c>
      <c r="D50" s="73" t="s">
        <v>242</v>
      </c>
      <c r="E50" s="74" t="s">
        <v>242</v>
      </c>
      <c r="F50" s="74" t="s">
        <v>242</v>
      </c>
      <c r="G50" s="74" t="s">
        <v>251</v>
      </c>
      <c r="H50" s="75" t="s">
        <v>243</v>
      </c>
      <c r="I50" s="75" t="s">
        <v>244</v>
      </c>
      <c r="J50" s="75" t="s">
        <v>257</v>
      </c>
      <c r="K50" s="75" t="s">
        <v>264</v>
      </c>
      <c r="L50" s="75" t="s">
        <v>264</v>
      </c>
      <c r="M50" s="76" t="s">
        <v>265</v>
      </c>
      <c r="N50" s="77">
        <v>154.34</v>
      </c>
      <c r="O50" s="77" t="s">
        <v>242</v>
      </c>
      <c r="P50" s="77" t="s">
        <v>242</v>
      </c>
      <c r="Q50" s="77" t="s">
        <v>242</v>
      </c>
      <c r="R50" s="77">
        <v>154.34</v>
      </c>
      <c r="S50" s="77" t="s">
        <v>242</v>
      </c>
      <c r="T50" s="79" t="s">
        <v>242</v>
      </c>
      <c r="U50" s="74">
        <v>154.34</v>
      </c>
      <c r="V50" s="80"/>
      <c r="W50" s="81" t="s">
        <v>99</v>
      </c>
      <c r="X50" s="82" t="s">
        <v>259</v>
      </c>
    </row>
    <row r="51" spans="1:24" ht="15" customHeight="1" x14ac:dyDescent="0.2">
      <c r="A51" s="72" t="s">
        <v>241</v>
      </c>
      <c r="B51" s="73" t="s">
        <v>242</v>
      </c>
      <c r="C51" s="73" t="s">
        <v>242</v>
      </c>
      <c r="D51" s="73" t="s">
        <v>242</v>
      </c>
      <c r="E51" s="74" t="s">
        <v>242</v>
      </c>
      <c r="F51" s="74" t="s">
        <v>242</v>
      </c>
      <c r="G51" s="74" t="s">
        <v>242</v>
      </c>
      <c r="H51" s="75" t="s">
        <v>243</v>
      </c>
      <c r="I51" s="75" t="s">
        <v>244</v>
      </c>
      <c r="J51" s="75" t="s">
        <v>257</v>
      </c>
      <c r="K51" s="75" t="s">
        <v>266</v>
      </c>
      <c r="L51" s="75" t="s">
        <v>266</v>
      </c>
      <c r="M51" s="76" t="s">
        <v>242</v>
      </c>
      <c r="N51" s="77" t="s">
        <v>242</v>
      </c>
      <c r="O51" s="77" t="s">
        <v>242</v>
      </c>
      <c r="P51" s="77" t="s">
        <v>242</v>
      </c>
      <c r="Q51" s="77" t="s">
        <v>242</v>
      </c>
      <c r="R51" s="77" t="s">
        <v>242</v>
      </c>
      <c r="S51" s="77" t="s">
        <v>242</v>
      </c>
      <c r="T51" s="79" t="s">
        <v>242</v>
      </c>
      <c r="U51" s="74" t="s">
        <v>242</v>
      </c>
      <c r="V51" s="80">
        <v>6</v>
      </c>
      <c r="W51" s="81" t="s">
        <v>179</v>
      </c>
      <c r="X51" s="82" t="s">
        <v>259</v>
      </c>
    </row>
    <row r="52" spans="1:24" ht="15" customHeight="1" x14ac:dyDescent="0.2">
      <c r="A52" s="72" t="s">
        <v>241</v>
      </c>
      <c r="B52" s="73" t="s">
        <v>277</v>
      </c>
      <c r="C52" s="73" t="s">
        <v>249</v>
      </c>
      <c r="D52" s="73" t="s">
        <v>242</v>
      </c>
      <c r="E52" s="74" t="s">
        <v>223</v>
      </c>
      <c r="F52" s="74" t="s">
        <v>42</v>
      </c>
      <c r="G52" s="74" t="s">
        <v>251</v>
      </c>
      <c r="H52" s="75" t="s">
        <v>243</v>
      </c>
      <c r="I52" s="75" t="s">
        <v>244</v>
      </c>
      <c r="J52" s="75" t="s">
        <v>257</v>
      </c>
      <c r="K52" s="75" t="s">
        <v>266</v>
      </c>
      <c r="L52" s="75" t="s">
        <v>266</v>
      </c>
      <c r="M52" s="76" t="s">
        <v>242</v>
      </c>
      <c r="N52" s="77">
        <v>1</v>
      </c>
      <c r="O52" s="77">
        <v>6</v>
      </c>
      <c r="P52" s="77" t="s">
        <v>242</v>
      </c>
      <c r="Q52" s="77" t="s">
        <v>242</v>
      </c>
      <c r="R52" s="77">
        <v>6</v>
      </c>
      <c r="S52" s="77" t="s">
        <v>242</v>
      </c>
      <c r="T52" s="79" t="s">
        <v>242</v>
      </c>
      <c r="U52" s="74">
        <v>6</v>
      </c>
      <c r="V52" s="80"/>
      <c r="W52" s="81" t="s">
        <v>179</v>
      </c>
      <c r="X52" s="82" t="s">
        <v>259</v>
      </c>
    </row>
    <row r="53" spans="1:24" ht="15" customHeight="1" x14ac:dyDescent="0.2">
      <c r="A53" s="72" t="s">
        <v>241</v>
      </c>
      <c r="B53" s="73" t="s">
        <v>242</v>
      </c>
      <c r="C53" s="73" t="s">
        <v>242</v>
      </c>
      <c r="D53" s="73" t="s">
        <v>242</v>
      </c>
      <c r="E53" s="74" t="s">
        <v>242</v>
      </c>
      <c r="F53" s="74" t="s">
        <v>242</v>
      </c>
      <c r="G53" s="74" t="s">
        <v>242</v>
      </c>
      <c r="H53" s="75" t="s">
        <v>243</v>
      </c>
      <c r="I53" s="75" t="s">
        <v>244</v>
      </c>
      <c r="J53" s="75" t="s">
        <v>257</v>
      </c>
      <c r="K53" s="75" t="s">
        <v>268</v>
      </c>
      <c r="L53" s="75" t="s">
        <v>268</v>
      </c>
      <c r="M53" s="76" t="s">
        <v>242</v>
      </c>
      <c r="N53" s="77" t="s">
        <v>242</v>
      </c>
      <c r="O53" s="77" t="s">
        <v>242</v>
      </c>
      <c r="P53" s="77" t="s">
        <v>242</v>
      </c>
      <c r="Q53" s="77" t="s">
        <v>242</v>
      </c>
      <c r="R53" s="77" t="s">
        <v>242</v>
      </c>
      <c r="S53" s="77" t="s">
        <v>242</v>
      </c>
      <c r="T53" s="79" t="s">
        <v>242</v>
      </c>
      <c r="U53" s="74" t="s">
        <v>242</v>
      </c>
      <c r="V53" s="80">
        <v>190</v>
      </c>
      <c r="W53" s="81" t="s">
        <v>74</v>
      </c>
      <c r="X53" s="82" t="s">
        <v>259</v>
      </c>
    </row>
    <row r="54" spans="1:24" ht="15" customHeight="1" x14ac:dyDescent="0.2">
      <c r="A54" s="72" t="s">
        <v>241</v>
      </c>
      <c r="B54" s="73" t="s">
        <v>277</v>
      </c>
      <c r="C54" s="73" t="s">
        <v>249</v>
      </c>
      <c r="D54" s="73" t="s">
        <v>242</v>
      </c>
      <c r="E54" s="74" t="s">
        <v>242</v>
      </c>
      <c r="F54" s="74" t="s">
        <v>242</v>
      </c>
      <c r="G54" s="74" t="s">
        <v>251</v>
      </c>
      <c r="H54" s="75" t="s">
        <v>243</v>
      </c>
      <c r="I54" s="75" t="s">
        <v>244</v>
      </c>
      <c r="J54" s="75" t="s">
        <v>257</v>
      </c>
      <c r="K54" s="75" t="s">
        <v>268</v>
      </c>
      <c r="L54" s="75" t="s">
        <v>268</v>
      </c>
      <c r="M54" s="76" t="s">
        <v>242</v>
      </c>
      <c r="N54" s="77">
        <v>190</v>
      </c>
      <c r="O54" s="77" t="s">
        <v>242</v>
      </c>
      <c r="P54" s="77" t="s">
        <v>242</v>
      </c>
      <c r="Q54" s="77" t="s">
        <v>242</v>
      </c>
      <c r="R54" s="77">
        <v>190</v>
      </c>
      <c r="S54" s="77" t="s">
        <v>242</v>
      </c>
      <c r="T54" s="79" t="s">
        <v>242</v>
      </c>
      <c r="U54" s="74">
        <v>190</v>
      </c>
      <c r="V54" s="80"/>
      <c r="W54" s="81" t="s">
        <v>74</v>
      </c>
      <c r="X54" s="82" t="s">
        <v>259</v>
      </c>
    </row>
    <row r="55" spans="1:24" ht="15" customHeight="1" x14ac:dyDescent="0.2">
      <c r="A55" s="72" t="s">
        <v>241</v>
      </c>
      <c r="B55" s="73" t="s">
        <v>242</v>
      </c>
      <c r="C55" s="73" t="s">
        <v>242</v>
      </c>
      <c r="D55" s="73" t="s">
        <v>242</v>
      </c>
      <c r="E55" s="74" t="s">
        <v>242</v>
      </c>
      <c r="F55" s="74" t="s">
        <v>242</v>
      </c>
      <c r="G55" s="74" t="s">
        <v>242</v>
      </c>
      <c r="H55" s="75" t="s">
        <v>243</v>
      </c>
      <c r="I55" s="75" t="s">
        <v>244</v>
      </c>
      <c r="J55" s="75" t="s">
        <v>257</v>
      </c>
      <c r="K55" s="75" t="s">
        <v>269</v>
      </c>
      <c r="L55" s="75" t="s">
        <v>269</v>
      </c>
      <c r="M55" s="76" t="s">
        <v>242</v>
      </c>
      <c r="N55" s="77" t="s">
        <v>242</v>
      </c>
      <c r="O55" s="77" t="s">
        <v>242</v>
      </c>
      <c r="P55" s="77" t="s">
        <v>242</v>
      </c>
      <c r="Q55" s="77" t="s">
        <v>242</v>
      </c>
      <c r="R55" s="77" t="s">
        <v>242</v>
      </c>
      <c r="S55" s="77" t="s">
        <v>242</v>
      </c>
      <c r="T55" s="79" t="s">
        <v>242</v>
      </c>
      <c r="U55" s="74" t="s">
        <v>242</v>
      </c>
      <c r="V55" s="80">
        <v>1.8</v>
      </c>
      <c r="W55" s="81" t="s">
        <v>270</v>
      </c>
      <c r="X55" s="82" t="s">
        <v>259</v>
      </c>
    </row>
    <row r="56" spans="1:24" ht="15" customHeight="1" x14ac:dyDescent="0.2">
      <c r="A56" s="72" t="s">
        <v>241</v>
      </c>
      <c r="B56" s="73" t="s">
        <v>277</v>
      </c>
      <c r="C56" s="73" t="s">
        <v>249</v>
      </c>
      <c r="D56" s="73" t="s">
        <v>242</v>
      </c>
      <c r="E56" s="74" t="s">
        <v>242</v>
      </c>
      <c r="F56" s="74" t="s">
        <v>242</v>
      </c>
      <c r="G56" s="74" t="s">
        <v>251</v>
      </c>
      <c r="H56" s="75" t="s">
        <v>243</v>
      </c>
      <c r="I56" s="75" t="s">
        <v>244</v>
      </c>
      <c r="J56" s="75" t="s">
        <v>257</v>
      </c>
      <c r="K56" s="75" t="s">
        <v>269</v>
      </c>
      <c r="L56" s="75" t="s">
        <v>269</v>
      </c>
      <c r="M56" s="76" t="s">
        <v>242</v>
      </c>
      <c r="N56" s="77">
        <v>1</v>
      </c>
      <c r="O56" s="77">
        <v>1.8</v>
      </c>
      <c r="P56" s="77">
        <v>1</v>
      </c>
      <c r="Q56" s="77" t="s">
        <v>242</v>
      </c>
      <c r="R56" s="77">
        <v>1.8</v>
      </c>
      <c r="S56" s="77" t="s">
        <v>242</v>
      </c>
      <c r="T56" s="79" t="s">
        <v>242</v>
      </c>
      <c r="U56" s="74">
        <v>1.8</v>
      </c>
      <c r="V56" s="80"/>
      <c r="W56" s="81" t="s">
        <v>270</v>
      </c>
      <c r="X56" s="82" t="s">
        <v>259</v>
      </c>
    </row>
    <row r="57" spans="1:24" ht="15" customHeight="1" x14ac:dyDescent="0.2">
      <c r="A57" s="72" t="s">
        <v>241</v>
      </c>
      <c r="B57" s="73" t="s">
        <v>242</v>
      </c>
      <c r="C57" s="73" t="s">
        <v>242</v>
      </c>
      <c r="D57" s="73" t="s">
        <v>242</v>
      </c>
      <c r="E57" s="74" t="s">
        <v>242</v>
      </c>
      <c r="F57" s="74" t="s">
        <v>242</v>
      </c>
      <c r="G57" s="74" t="s">
        <v>242</v>
      </c>
      <c r="H57" s="75" t="s">
        <v>243</v>
      </c>
      <c r="I57" s="75" t="s">
        <v>244</v>
      </c>
      <c r="J57" s="75" t="s">
        <v>257</v>
      </c>
      <c r="K57" s="75" t="s">
        <v>271</v>
      </c>
      <c r="L57" s="75" t="s">
        <v>271</v>
      </c>
      <c r="M57" s="76" t="s">
        <v>242</v>
      </c>
      <c r="N57" s="77" t="s">
        <v>242</v>
      </c>
      <c r="O57" s="77" t="s">
        <v>242</v>
      </c>
      <c r="P57" s="77" t="s">
        <v>242</v>
      </c>
      <c r="Q57" s="77" t="s">
        <v>242</v>
      </c>
      <c r="R57" s="77" t="s">
        <v>242</v>
      </c>
      <c r="S57" s="77" t="s">
        <v>242</v>
      </c>
      <c r="T57" s="79" t="s">
        <v>242</v>
      </c>
      <c r="U57" s="74" t="s">
        <v>242</v>
      </c>
      <c r="V57" s="80">
        <v>426</v>
      </c>
      <c r="W57" s="81" t="s">
        <v>179</v>
      </c>
      <c r="X57" s="82" t="s">
        <v>259</v>
      </c>
    </row>
    <row r="58" spans="1:24" ht="15" customHeight="1" x14ac:dyDescent="0.2">
      <c r="A58" s="72" t="s">
        <v>241</v>
      </c>
      <c r="B58" s="73" t="s">
        <v>277</v>
      </c>
      <c r="C58" s="73" t="s">
        <v>249</v>
      </c>
      <c r="D58" s="73" t="s">
        <v>242</v>
      </c>
      <c r="E58" s="74" t="s">
        <v>242</v>
      </c>
      <c r="F58" s="74" t="s">
        <v>242</v>
      </c>
      <c r="G58" s="74" t="s">
        <v>251</v>
      </c>
      <c r="H58" s="75" t="s">
        <v>243</v>
      </c>
      <c r="I58" s="75" t="s">
        <v>244</v>
      </c>
      <c r="J58" s="75" t="s">
        <v>257</v>
      </c>
      <c r="K58" s="75" t="s">
        <v>271</v>
      </c>
      <c r="L58" s="75" t="s">
        <v>271</v>
      </c>
      <c r="M58" s="76" t="s">
        <v>51</v>
      </c>
      <c r="N58" s="77" t="s">
        <v>281</v>
      </c>
      <c r="O58" s="77" t="s">
        <v>282</v>
      </c>
      <c r="P58" s="77" t="s">
        <v>242</v>
      </c>
      <c r="Q58" s="77" t="s">
        <v>242</v>
      </c>
      <c r="R58" s="77">
        <v>170</v>
      </c>
      <c r="S58" s="77" t="s">
        <v>242</v>
      </c>
      <c r="T58" s="79" t="s">
        <v>242</v>
      </c>
      <c r="U58" s="74">
        <v>170</v>
      </c>
      <c r="V58" s="80"/>
      <c r="W58" s="81" t="s">
        <v>179</v>
      </c>
      <c r="X58" s="82" t="s">
        <v>259</v>
      </c>
    </row>
    <row r="59" spans="1:24" ht="15" customHeight="1" x14ac:dyDescent="0.2">
      <c r="A59" s="72" t="s">
        <v>241</v>
      </c>
      <c r="B59" s="73" t="s">
        <v>277</v>
      </c>
      <c r="C59" s="73" t="s">
        <v>249</v>
      </c>
      <c r="D59" s="73" t="s">
        <v>242</v>
      </c>
      <c r="E59" s="74" t="s">
        <v>242</v>
      </c>
      <c r="F59" s="74" t="s">
        <v>242</v>
      </c>
      <c r="G59" s="74" t="s">
        <v>251</v>
      </c>
      <c r="H59" s="75" t="s">
        <v>243</v>
      </c>
      <c r="I59" s="75" t="s">
        <v>244</v>
      </c>
      <c r="J59" s="75" t="s">
        <v>257</v>
      </c>
      <c r="K59" s="75" t="s">
        <v>271</v>
      </c>
      <c r="L59" s="75" t="s">
        <v>271</v>
      </c>
      <c r="M59" s="76" t="s">
        <v>49</v>
      </c>
      <c r="N59" s="77">
        <v>1</v>
      </c>
      <c r="O59" s="77">
        <v>8</v>
      </c>
      <c r="P59" s="77" t="s">
        <v>242</v>
      </c>
      <c r="Q59" s="77" t="s">
        <v>242</v>
      </c>
      <c r="R59" s="77">
        <v>8</v>
      </c>
      <c r="S59" s="77">
        <v>16</v>
      </c>
      <c r="T59" s="79" t="s">
        <v>242</v>
      </c>
      <c r="U59" s="74">
        <v>128</v>
      </c>
      <c r="V59" s="80"/>
      <c r="W59" s="81" t="s">
        <v>179</v>
      </c>
      <c r="X59" s="82" t="s">
        <v>259</v>
      </c>
    </row>
    <row r="60" spans="1:24" ht="15" customHeight="1" x14ac:dyDescent="0.2">
      <c r="A60" s="72" t="s">
        <v>241</v>
      </c>
      <c r="B60" s="73" t="s">
        <v>277</v>
      </c>
      <c r="C60" s="73" t="s">
        <v>249</v>
      </c>
      <c r="D60" s="73" t="s">
        <v>242</v>
      </c>
      <c r="E60" s="74" t="s">
        <v>242</v>
      </c>
      <c r="F60" s="74" t="s">
        <v>242</v>
      </c>
      <c r="G60" s="74" t="s">
        <v>251</v>
      </c>
      <c r="H60" s="75" t="s">
        <v>243</v>
      </c>
      <c r="I60" s="75" t="s">
        <v>244</v>
      </c>
      <c r="J60" s="75" t="s">
        <v>257</v>
      </c>
      <c r="K60" s="75" t="s">
        <v>271</v>
      </c>
      <c r="L60" s="75" t="s">
        <v>271</v>
      </c>
      <c r="M60" s="76" t="s">
        <v>52</v>
      </c>
      <c r="N60" s="77">
        <v>1</v>
      </c>
      <c r="O60" s="77">
        <v>85</v>
      </c>
      <c r="P60" s="77" t="s">
        <v>242</v>
      </c>
      <c r="Q60" s="77" t="s">
        <v>242</v>
      </c>
      <c r="R60" s="77">
        <v>85</v>
      </c>
      <c r="S60" s="77" t="s">
        <v>242</v>
      </c>
      <c r="T60" s="79" t="s">
        <v>242</v>
      </c>
      <c r="U60" s="74">
        <v>85</v>
      </c>
      <c r="V60" s="80"/>
      <c r="W60" s="81" t="s">
        <v>179</v>
      </c>
      <c r="X60" s="82" t="s">
        <v>259</v>
      </c>
    </row>
    <row r="61" spans="1:24" ht="15" customHeight="1" x14ac:dyDescent="0.2">
      <c r="A61" s="72" t="s">
        <v>241</v>
      </c>
      <c r="B61" s="73" t="s">
        <v>277</v>
      </c>
      <c r="C61" s="73" t="s">
        <v>249</v>
      </c>
      <c r="D61" s="73" t="s">
        <v>242</v>
      </c>
      <c r="E61" s="74" t="s">
        <v>242</v>
      </c>
      <c r="F61" s="74" t="s">
        <v>242</v>
      </c>
      <c r="G61" s="74" t="s">
        <v>251</v>
      </c>
      <c r="H61" s="75" t="s">
        <v>243</v>
      </c>
      <c r="I61" s="75" t="s">
        <v>244</v>
      </c>
      <c r="J61" s="75" t="s">
        <v>257</v>
      </c>
      <c r="K61" s="75" t="s">
        <v>271</v>
      </c>
      <c r="L61" s="75" t="s">
        <v>271</v>
      </c>
      <c r="M61" s="76" t="s">
        <v>50</v>
      </c>
      <c r="N61" s="77">
        <v>1</v>
      </c>
      <c r="O61" s="77" t="s">
        <v>283</v>
      </c>
      <c r="P61" s="77" t="s">
        <v>242</v>
      </c>
      <c r="Q61" s="77" t="s">
        <v>242</v>
      </c>
      <c r="R61" s="77">
        <v>43</v>
      </c>
      <c r="S61" s="77" t="s">
        <v>242</v>
      </c>
      <c r="T61" s="79" t="s">
        <v>242</v>
      </c>
      <c r="U61" s="74">
        <v>43</v>
      </c>
      <c r="V61" s="80"/>
      <c r="W61" s="81" t="s">
        <v>179</v>
      </c>
      <c r="X61" s="82" t="s">
        <v>259</v>
      </c>
    </row>
    <row r="62" spans="1:24" ht="15" customHeight="1" x14ac:dyDescent="0.2">
      <c r="A62" s="72" t="s">
        <v>241</v>
      </c>
      <c r="B62" s="73" t="s">
        <v>242</v>
      </c>
      <c r="C62" s="73" t="s">
        <v>242</v>
      </c>
      <c r="D62" s="73" t="s">
        <v>242</v>
      </c>
      <c r="E62" s="74" t="s">
        <v>242</v>
      </c>
      <c r="F62" s="74" t="s">
        <v>242</v>
      </c>
      <c r="G62" s="74" t="s">
        <v>242</v>
      </c>
      <c r="H62" s="75" t="s">
        <v>243</v>
      </c>
      <c r="I62" s="75" t="s">
        <v>244</v>
      </c>
      <c r="J62" s="75" t="s">
        <v>257</v>
      </c>
      <c r="K62" s="75" t="s">
        <v>276</v>
      </c>
      <c r="L62" s="75" t="s">
        <v>276</v>
      </c>
      <c r="M62" s="76" t="s">
        <v>242</v>
      </c>
      <c r="N62" s="77" t="s">
        <v>242</v>
      </c>
      <c r="O62" s="77" t="s">
        <v>242</v>
      </c>
      <c r="P62" s="77" t="s">
        <v>242</v>
      </c>
      <c r="Q62" s="77" t="s">
        <v>242</v>
      </c>
      <c r="R62" s="77" t="s">
        <v>242</v>
      </c>
      <c r="S62" s="77" t="s">
        <v>242</v>
      </c>
      <c r="T62" s="79" t="s">
        <v>242</v>
      </c>
      <c r="U62" s="74" t="s">
        <v>242</v>
      </c>
      <c r="V62" s="80">
        <v>1.8</v>
      </c>
      <c r="W62" s="81" t="s">
        <v>270</v>
      </c>
      <c r="X62" s="82" t="s">
        <v>259</v>
      </c>
    </row>
    <row r="63" spans="1:24" ht="15" customHeight="1" x14ac:dyDescent="0.2">
      <c r="A63" s="72" t="s">
        <v>241</v>
      </c>
      <c r="B63" s="73" t="s">
        <v>277</v>
      </c>
      <c r="C63" s="73" t="s">
        <v>249</v>
      </c>
      <c r="D63" s="73" t="s">
        <v>250</v>
      </c>
      <c r="E63" s="74" t="s">
        <v>41</v>
      </c>
      <c r="F63" s="74" t="s">
        <v>279</v>
      </c>
      <c r="G63" s="74" t="s">
        <v>251</v>
      </c>
      <c r="H63" s="75" t="s">
        <v>243</v>
      </c>
      <c r="I63" s="75" t="s">
        <v>244</v>
      </c>
      <c r="J63" s="75" t="s">
        <v>257</v>
      </c>
      <c r="K63" s="75" t="s">
        <v>276</v>
      </c>
      <c r="L63" s="75" t="s">
        <v>276</v>
      </c>
      <c r="M63" s="76" t="s">
        <v>242</v>
      </c>
      <c r="N63" s="77">
        <v>1</v>
      </c>
      <c r="O63" s="77">
        <v>9</v>
      </c>
      <c r="P63" s="77">
        <v>0.2</v>
      </c>
      <c r="Q63" s="77" t="s">
        <v>242</v>
      </c>
      <c r="R63" s="77">
        <v>1.8</v>
      </c>
      <c r="S63" s="77" t="s">
        <v>242</v>
      </c>
      <c r="T63" s="79" t="s">
        <v>242</v>
      </c>
      <c r="U63" s="74">
        <v>1.8</v>
      </c>
      <c r="V63" s="80"/>
      <c r="W63" s="81" t="s">
        <v>270</v>
      </c>
      <c r="X63" s="82" t="s">
        <v>259</v>
      </c>
    </row>
    <row r="64" spans="1:24" ht="15" customHeight="1" x14ac:dyDescent="0.2">
      <c r="A64" s="72"/>
      <c r="B64" s="73"/>
      <c r="C64" s="73"/>
      <c r="D64" s="84"/>
      <c r="E64" s="74"/>
      <c r="F64" s="74"/>
      <c r="G64" s="74"/>
      <c r="H64" s="75"/>
      <c r="I64" s="75"/>
      <c r="J64" s="75"/>
      <c r="K64" s="75"/>
      <c r="L64" s="75"/>
      <c r="M64" s="76"/>
      <c r="N64" s="77"/>
      <c r="O64" s="77"/>
      <c r="P64" s="77"/>
      <c r="Q64" s="77"/>
      <c r="R64" s="77"/>
      <c r="S64" s="77"/>
      <c r="T64" s="79"/>
      <c r="U64" s="74"/>
      <c r="V64" s="80"/>
      <c r="W64" s="81"/>
      <c r="X64" s="82"/>
    </row>
    <row r="65" spans="1:24" ht="15" customHeight="1" x14ac:dyDescent="0.2">
      <c r="A65" s="85"/>
      <c r="B65" s="86"/>
      <c r="C65" s="86"/>
      <c r="D65" s="87"/>
      <c r="E65" s="88"/>
      <c r="F65" s="16"/>
      <c r="G65" s="16"/>
      <c r="H65" s="16"/>
      <c r="I65" s="16"/>
      <c r="J65" s="16"/>
      <c r="K65" s="16"/>
      <c r="L65" s="17"/>
      <c r="M65" s="18"/>
      <c r="N65" s="18"/>
      <c r="O65" s="18"/>
      <c r="P65" s="18"/>
      <c r="Q65" s="18"/>
      <c r="R65" s="18"/>
      <c r="S65" s="16"/>
      <c r="T65" s="21"/>
      <c r="U65" s="22"/>
      <c r="V65" s="22"/>
      <c r="W65" s="22"/>
      <c r="X65" s="22"/>
    </row>
    <row r="66" spans="1:24" ht="15" customHeight="1" x14ac:dyDescent="0.2">
      <c r="A66" s="54" t="s">
        <v>241</v>
      </c>
      <c r="B66" s="55" t="s">
        <v>242</v>
      </c>
      <c r="C66" s="55" t="s">
        <v>242</v>
      </c>
      <c r="D66" s="55" t="s">
        <v>242</v>
      </c>
      <c r="E66" s="56" t="s">
        <v>242</v>
      </c>
      <c r="F66" s="56" t="s">
        <v>242</v>
      </c>
      <c r="G66" s="56" t="s">
        <v>242</v>
      </c>
      <c r="H66" s="57" t="s">
        <v>243</v>
      </c>
      <c r="I66" s="57" t="s">
        <v>244</v>
      </c>
      <c r="J66" s="57" t="s">
        <v>245</v>
      </c>
      <c r="K66" s="57" t="s">
        <v>246</v>
      </c>
      <c r="L66" s="57" t="s">
        <v>246</v>
      </c>
      <c r="M66" s="58" t="s">
        <v>242</v>
      </c>
      <c r="N66" s="59" t="s">
        <v>242</v>
      </c>
      <c r="O66" s="59" t="s">
        <v>242</v>
      </c>
      <c r="P66" s="59" t="s">
        <v>242</v>
      </c>
      <c r="Q66" s="59" t="s">
        <v>242</v>
      </c>
      <c r="R66" s="59" t="s">
        <v>242</v>
      </c>
      <c r="S66" s="60" t="s">
        <v>242</v>
      </c>
      <c r="T66" s="61" t="s">
        <v>242</v>
      </c>
      <c r="U66" s="56" t="s">
        <v>242</v>
      </c>
      <c r="V66" s="62">
        <v>2</v>
      </c>
      <c r="W66" s="63" t="s">
        <v>74</v>
      </c>
      <c r="X66" s="64" t="s">
        <v>247</v>
      </c>
    </row>
    <row r="67" spans="1:24" ht="15" customHeight="1" x14ac:dyDescent="0.2">
      <c r="A67" s="54" t="s">
        <v>241</v>
      </c>
      <c r="B67" s="55" t="s">
        <v>285</v>
      </c>
      <c r="C67" s="55" t="s">
        <v>249</v>
      </c>
      <c r="D67" s="55" t="s">
        <v>254</v>
      </c>
      <c r="E67" s="56" t="s">
        <v>45</v>
      </c>
      <c r="F67" s="56" t="s">
        <v>42</v>
      </c>
      <c r="G67" s="56" t="s">
        <v>251</v>
      </c>
      <c r="H67" s="57" t="s">
        <v>243</v>
      </c>
      <c r="I67" s="57" t="s">
        <v>244</v>
      </c>
      <c r="J67" s="57" t="s">
        <v>245</v>
      </c>
      <c r="K67" s="57" t="s">
        <v>246</v>
      </c>
      <c r="L67" s="57" t="s">
        <v>246</v>
      </c>
      <c r="M67" s="58" t="s">
        <v>242</v>
      </c>
      <c r="N67" s="59">
        <v>2</v>
      </c>
      <c r="O67" s="59" t="s">
        <v>242</v>
      </c>
      <c r="P67" s="59" t="s">
        <v>242</v>
      </c>
      <c r="Q67" s="59" t="s">
        <v>242</v>
      </c>
      <c r="R67" s="59">
        <v>2</v>
      </c>
      <c r="S67" s="59" t="s">
        <v>242</v>
      </c>
      <c r="T67" s="61" t="s">
        <v>242</v>
      </c>
      <c r="U67" s="56">
        <v>2</v>
      </c>
      <c r="V67" s="62"/>
      <c r="W67" s="63" t="s">
        <v>74</v>
      </c>
      <c r="X67" s="64" t="s">
        <v>247</v>
      </c>
    </row>
    <row r="68" spans="1:24" ht="15" customHeight="1" x14ac:dyDescent="0.2">
      <c r="A68" s="54" t="s">
        <v>241</v>
      </c>
      <c r="B68" s="55" t="s">
        <v>242</v>
      </c>
      <c r="C68" s="55" t="s">
        <v>242</v>
      </c>
      <c r="D68" s="55" t="s">
        <v>242</v>
      </c>
      <c r="E68" s="56" t="s">
        <v>242</v>
      </c>
      <c r="F68" s="56" t="s">
        <v>242</v>
      </c>
      <c r="G68" s="56" t="s">
        <v>242</v>
      </c>
      <c r="H68" s="57" t="s">
        <v>243</v>
      </c>
      <c r="I68" s="57" t="s">
        <v>244</v>
      </c>
      <c r="J68" s="57" t="s">
        <v>257</v>
      </c>
      <c r="K68" s="57" t="s">
        <v>278</v>
      </c>
      <c r="L68" s="57" t="s">
        <v>278</v>
      </c>
      <c r="M68" s="58" t="s">
        <v>242</v>
      </c>
      <c r="N68" s="59" t="s">
        <v>242</v>
      </c>
      <c r="O68" s="59" t="s">
        <v>242</v>
      </c>
      <c r="P68" s="59" t="s">
        <v>242</v>
      </c>
      <c r="Q68" s="59" t="s">
        <v>242</v>
      </c>
      <c r="R68" s="59" t="s">
        <v>242</v>
      </c>
      <c r="S68" s="59" t="s">
        <v>242</v>
      </c>
      <c r="T68" s="61" t="s">
        <v>242</v>
      </c>
      <c r="U68" s="56" t="s">
        <v>242</v>
      </c>
      <c r="V68" s="62">
        <v>11</v>
      </c>
      <c r="W68" s="63" t="s">
        <v>179</v>
      </c>
      <c r="X68" s="64" t="s">
        <v>259</v>
      </c>
    </row>
    <row r="69" spans="1:24" ht="15" customHeight="1" x14ac:dyDescent="0.2">
      <c r="A69" s="54" t="s">
        <v>241</v>
      </c>
      <c r="B69" s="55" t="s">
        <v>285</v>
      </c>
      <c r="C69" s="55" t="s">
        <v>249</v>
      </c>
      <c r="D69" s="55" t="s">
        <v>254</v>
      </c>
      <c r="E69" s="56" t="s">
        <v>53</v>
      </c>
      <c r="F69" s="56" t="s">
        <v>46</v>
      </c>
      <c r="G69" s="56" t="s">
        <v>251</v>
      </c>
      <c r="H69" s="57" t="s">
        <v>243</v>
      </c>
      <c r="I69" s="57" t="s">
        <v>244</v>
      </c>
      <c r="J69" s="57" t="s">
        <v>257</v>
      </c>
      <c r="K69" s="57" t="s">
        <v>278</v>
      </c>
      <c r="L69" s="57" t="s">
        <v>278</v>
      </c>
      <c r="M69" s="58" t="s">
        <v>242</v>
      </c>
      <c r="N69" s="59">
        <v>1</v>
      </c>
      <c r="O69" s="59">
        <v>5</v>
      </c>
      <c r="P69" s="59" t="s">
        <v>242</v>
      </c>
      <c r="Q69" s="59" t="s">
        <v>242</v>
      </c>
      <c r="R69" s="59">
        <v>5</v>
      </c>
      <c r="S69" s="59" t="s">
        <v>242</v>
      </c>
      <c r="T69" s="61" t="s">
        <v>242</v>
      </c>
      <c r="U69" s="56">
        <v>5</v>
      </c>
      <c r="V69" s="62"/>
      <c r="W69" s="63" t="s">
        <v>179</v>
      </c>
      <c r="X69" s="64" t="s">
        <v>259</v>
      </c>
    </row>
    <row r="70" spans="1:24" ht="15" customHeight="1" x14ac:dyDescent="0.2">
      <c r="A70" s="54" t="s">
        <v>241</v>
      </c>
      <c r="B70" s="55" t="s">
        <v>285</v>
      </c>
      <c r="C70" s="55" t="s">
        <v>249</v>
      </c>
      <c r="D70" s="55" t="s">
        <v>250</v>
      </c>
      <c r="E70" s="56" t="s">
        <v>41</v>
      </c>
      <c r="F70" s="56" t="s">
        <v>44</v>
      </c>
      <c r="G70" s="56" t="s">
        <v>251</v>
      </c>
      <c r="H70" s="57" t="s">
        <v>243</v>
      </c>
      <c r="I70" s="57" t="s">
        <v>244</v>
      </c>
      <c r="J70" s="57" t="s">
        <v>257</v>
      </c>
      <c r="K70" s="57" t="s">
        <v>278</v>
      </c>
      <c r="L70" s="57" t="s">
        <v>278</v>
      </c>
      <c r="M70" s="58" t="s">
        <v>242</v>
      </c>
      <c r="N70" s="59">
        <v>1</v>
      </c>
      <c r="O70" s="59">
        <v>6</v>
      </c>
      <c r="P70" s="59" t="s">
        <v>242</v>
      </c>
      <c r="Q70" s="59" t="s">
        <v>242</v>
      </c>
      <c r="R70" s="59">
        <v>6</v>
      </c>
      <c r="S70" s="59" t="s">
        <v>242</v>
      </c>
      <c r="T70" s="61" t="s">
        <v>242</v>
      </c>
      <c r="U70" s="56">
        <v>6</v>
      </c>
      <c r="V70" s="62"/>
      <c r="W70" s="63" t="s">
        <v>179</v>
      </c>
      <c r="X70" s="64" t="s">
        <v>259</v>
      </c>
    </row>
    <row r="71" spans="1:24" ht="15" customHeight="1" x14ac:dyDescent="0.2">
      <c r="A71" s="54" t="s">
        <v>241</v>
      </c>
      <c r="B71" s="55" t="s">
        <v>242</v>
      </c>
      <c r="C71" s="55" t="s">
        <v>242</v>
      </c>
      <c r="D71" s="55" t="s">
        <v>242</v>
      </c>
      <c r="E71" s="56" t="s">
        <v>242</v>
      </c>
      <c r="F71" s="56" t="s">
        <v>242</v>
      </c>
      <c r="G71" s="56" t="s">
        <v>242</v>
      </c>
      <c r="H71" s="57" t="s">
        <v>243</v>
      </c>
      <c r="I71" s="57" t="s">
        <v>244</v>
      </c>
      <c r="J71" s="57" t="s">
        <v>257</v>
      </c>
      <c r="K71" s="57" t="s">
        <v>261</v>
      </c>
      <c r="L71" s="57" t="s">
        <v>261</v>
      </c>
      <c r="M71" s="58" t="s">
        <v>242</v>
      </c>
      <c r="N71" s="59" t="s">
        <v>242</v>
      </c>
      <c r="O71" s="59" t="s">
        <v>242</v>
      </c>
      <c r="P71" s="59" t="s">
        <v>242</v>
      </c>
      <c r="Q71" s="59" t="s">
        <v>242</v>
      </c>
      <c r="R71" s="59" t="s">
        <v>242</v>
      </c>
      <c r="S71" s="59" t="s">
        <v>242</v>
      </c>
      <c r="T71" s="61" t="s">
        <v>242</v>
      </c>
      <c r="U71" s="56" t="s">
        <v>242</v>
      </c>
      <c r="V71" s="62">
        <v>200</v>
      </c>
      <c r="W71" s="63" t="s">
        <v>262</v>
      </c>
      <c r="X71" s="64" t="s">
        <v>259</v>
      </c>
    </row>
    <row r="72" spans="1:24" ht="15" customHeight="1" x14ac:dyDescent="0.2">
      <c r="A72" s="54" t="s">
        <v>241</v>
      </c>
      <c r="B72" s="55" t="s">
        <v>285</v>
      </c>
      <c r="C72" s="55" t="s">
        <v>249</v>
      </c>
      <c r="D72" s="55" t="s">
        <v>242</v>
      </c>
      <c r="E72" s="56" t="s">
        <v>242</v>
      </c>
      <c r="F72" s="56" t="s">
        <v>242</v>
      </c>
      <c r="G72" s="56" t="s">
        <v>251</v>
      </c>
      <c r="H72" s="57" t="s">
        <v>243</v>
      </c>
      <c r="I72" s="57" t="s">
        <v>244</v>
      </c>
      <c r="J72" s="57" t="s">
        <v>257</v>
      </c>
      <c r="K72" s="57" t="s">
        <v>261</v>
      </c>
      <c r="L72" s="57" t="s">
        <v>261</v>
      </c>
      <c r="M72" s="58" t="s">
        <v>242</v>
      </c>
      <c r="N72" s="59">
        <v>200</v>
      </c>
      <c r="O72" s="59" t="s">
        <v>242</v>
      </c>
      <c r="P72" s="59" t="s">
        <v>242</v>
      </c>
      <c r="Q72" s="59" t="s">
        <v>242</v>
      </c>
      <c r="R72" s="59">
        <v>200</v>
      </c>
      <c r="S72" s="59" t="s">
        <v>242</v>
      </c>
      <c r="T72" s="61" t="s">
        <v>242</v>
      </c>
      <c r="U72" s="56">
        <v>200</v>
      </c>
      <c r="V72" s="62"/>
      <c r="W72" s="63" t="s">
        <v>262</v>
      </c>
      <c r="X72" s="64" t="s">
        <v>259</v>
      </c>
    </row>
    <row r="73" spans="1:24" ht="15" customHeight="1" x14ac:dyDescent="0.2">
      <c r="A73" s="54" t="s">
        <v>241</v>
      </c>
      <c r="B73" s="55" t="s">
        <v>242</v>
      </c>
      <c r="C73" s="55" t="s">
        <v>242</v>
      </c>
      <c r="D73" s="55" t="s">
        <v>242</v>
      </c>
      <c r="E73" s="56" t="s">
        <v>242</v>
      </c>
      <c r="F73" s="56" t="s">
        <v>242</v>
      </c>
      <c r="G73" s="56" t="s">
        <v>242</v>
      </c>
      <c r="H73" s="57" t="s">
        <v>243</v>
      </c>
      <c r="I73" s="57" t="s">
        <v>244</v>
      </c>
      <c r="J73" s="57" t="s">
        <v>257</v>
      </c>
      <c r="K73" s="57" t="s">
        <v>264</v>
      </c>
      <c r="L73" s="57" t="s">
        <v>264</v>
      </c>
      <c r="M73" s="58" t="s">
        <v>242</v>
      </c>
      <c r="N73" s="59" t="s">
        <v>242</v>
      </c>
      <c r="O73" s="59" t="s">
        <v>242</v>
      </c>
      <c r="P73" s="59" t="s">
        <v>242</v>
      </c>
      <c r="Q73" s="59" t="s">
        <v>242</v>
      </c>
      <c r="R73" s="59" t="s">
        <v>242</v>
      </c>
      <c r="S73" s="59" t="s">
        <v>242</v>
      </c>
      <c r="T73" s="61" t="s">
        <v>242</v>
      </c>
      <c r="U73" s="56" t="s">
        <v>242</v>
      </c>
      <c r="V73" s="62">
        <v>73.849999999999994</v>
      </c>
      <c r="W73" s="63" t="s">
        <v>99</v>
      </c>
      <c r="X73" s="64" t="s">
        <v>259</v>
      </c>
    </row>
    <row r="74" spans="1:24" ht="15" customHeight="1" x14ac:dyDescent="0.2">
      <c r="A74" s="54" t="s">
        <v>241</v>
      </c>
      <c r="B74" s="55" t="s">
        <v>285</v>
      </c>
      <c r="C74" s="55" t="s">
        <v>249</v>
      </c>
      <c r="D74" s="55" t="s">
        <v>242</v>
      </c>
      <c r="E74" s="56" t="s">
        <v>242</v>
      </c>
      <c r="F74" s="56" t="s">
        <v>242</v>
      </c>
      <c r="G74" s="56" t="s">
        <v>251</v>
      </c>
      <c r="H74" s="57" t="s">
        <v>243</v>
      </c>
      <c r="I74" s="57" t="s">
        <v>244</v>
      </c>
      <c r="J74" s="57" t="s">
        <v>257</v>
      </c>
      <c r="K74" s="57" t="s">
        <v>264</v>
      </c>
      <c r="L74" s="57" t="s">
        <v>264</v>
      </c>
      <c r="M74" s="58" t="s">
        <v>242</v>
      </c>
      <c r="N74" s="59">
        <v>73.849999999999994</v>
      </c>
      <c r="O74" s="59" t="s">
        <v>242</v>
      </c>
      <c r="P74" s="59" t="s">
        <v>242</v>
      </c>
      <c r="Q74" s="59" t="s">
        <v>242</v>
      </c>
      <c r="R74" s="59">
        <v>73.849999999999994</v>
      </c>
      <c r="S74" s="59" t="s">
        <v>242</v>
      </c>
      <c r="T74" s="61" t="s">
        <v>242</v>
      </c>
      <c r="U74" s="56">
        <v>73.849999999999994</v>
      </c>
      <c r="V74" s="62"/>
      <c r="W74" s="63" t="s">
        <v>99</v>
      </c>
      <c r="X74" s="64" t="s">
        <v>259</v>
      </c>
    </row>
    <row r="75" spans="1:24" ht="15" customHeight="1" x14ac:dyDescent="0.2">
      <c r="A75" s="54" t="s">
        <v>241</v>
      </c>
      <c r="B75" s="55" t="s">
        <v>242</v>
      </c>
      <c r="C75" s="55" t="s">
        <v>242</v>
      </c>
      <c r="D75" s="55" t="s">
        <v>242</v>
      </c>
      <c r="E75" s="56" t="s">
        <v>242</v>
      </c>
      <c r="F75" s="56" t="s">
        <v>242</v>
      </c>
      <c r="G75" s="56" t="s">
        <v>242</v>
      </c>
      <c r="H75" s="57" t="s">
        <v>243</v>
      </c>
      <c r="I75" s="57" t="s">
        <v>244</v>
      </c>
      <c r="J75" s="57" t="s">
        <v>257</v>
      </c>
      <c r="K75" s="57" t="s">
        <v>266</v>
      </c>
      <c r="L75" s="57" t="s">
        <v>266</v>
      </c>
      <c r="M75" s="58" t="s">
        <v>242</v>
      </c>
      <c r="N75" s="59" t="s">
        <v>242</v>
      </c>
      <c r="O75" s="59" t="s">
        <v>242</v>
      </c>
      <c r="P75" s="59" t="s">
        <v>242</v>
      </c>
      <c r="Q75" s="59" t="s">
        <v>242</v>
      </c>
      <c r="R75" s="59" t="s">
        <v>242</v>
      </c>
      <c r="S75" s="59" t="s">
        <v>242</v>
      </c>
      <c r="T75" s="61" t="s">
        <v>242</v>
      </c>
      <c r="U75" s="56" t="s">
        <v>242</v>
      </c>
      <c r="V75" s="62">
        <v>3</v>
      </c>
      <c r="W75" s="63" t="s">
        <v>179</v>
      </c>
      <c r="X75" s="64" t="s">
        <v>259</v>
      </c>
    </row>
    <row r="76" spans="1:24" ht="15" customHeight="1" x14ac:dyDescent="0.2">
      <c r="A76" s="54" t="s">
        <v>241</v>
      </c>
      <c r="B76" s="55" t="s">
        <v>285</v>
      </c>
      <c r="C76" s="55" t="s">
        <v>249</v>
      </c>
      <c r="D76" s="55" t="s">
        <v>254</v>
      </c>
      <c r="E76" s="56" t="s">
        <v>45</v>
      </c>
      <c r="F76" s="56" t="s">
        <v>42</v>
      </c>
      <c r="G76" s="56" t="s">
        <v>251</v>
      </c>
      <c r="H76" s="57" t="s">
        <v>243</v>
      </c>
      <c r="I76" s="57" t="s">
        <v>244</v>
      </c>
      <c r="J76" s="57" t="s">
        <v>257</v>
      </c>
      <c r="K76" s="57" t="s">
        <v>266</v>
      </c>
      <c r="L76" s="57" t="s">
        <v>266</v>
      </c>
      <c r="M76" s="58" t="s">
        <v>242</v>
      </c>
      <c r="N76" s="59">
        <v>1</v>
      </c>
      <c r="O76" s="59">
        <v>3</v>
      </c>
      <c r="P76" s="59" t="s">
        <v>242</v>
      </c>
      <c r="Q76" s="59" t="s">
        <v>242</v>
      </c>
      <c r="R76" s="59">
        <v>3</v>
      </c>
      <c r="S76" s="59" t="s">
        <v>242</v>
      </c>
      <c r="T76" s="61" t="s">
        <v>242</v>
      </c>
      <c r="U76" s="56">
        <v>3</v>
      </c>
      <c r="V76" s="62"/>
      <c r="W76" s="63" t="s">
        <v>179</v>
      </c>
      <c r="X76" s="64" t="s">
        <v>259</v>
      </c>
    </row>
    <row r="77" spans="1:24" ht="15" customHeight="1" x14ac:dyDescent="0.2">
      <c r="A77" s="54" t="s">
        <v>241</v>
      </c>
      <c r="B77" s="55" t="s">
        <v>242</v>
      </c>
      <c r="C77" s="55" t="s">
        <v>242</v>
      </c>
      <c r="D77" s="55" t="s">
        <v>242</v>
      </c>
      <c r="E77" s="56" t="s">
        <v>242</v>
      </c>
      <c r="F77" s="56" t="s">
        <v>242</v>
      </c>
      <c r="G77" s="56" t="s">
        <v>242</v>
      </c>
      <c r="H77" s="57" t="s">
        <v>243</v>
      </c>
      <c r="I77" s="57" t="s">
        <v>244</v>
      </c>
      <c r="J77" s="57" t="s">
        <v>257</v>
      </c>
      <c r="K77" s="57" t="s">
        <v>267</v>
      </c>
      <c r="L77" s="57" t="s">
        <v>267</v>
      </c>
      <c r="M77" s="58" t="s">
        <v>242</v>
      </c>
      <c r="N77" s="59" t="s">
        <v>242</v>
      </c>
      <c r="O77" s="59" t="s">
        <v>242</v>
      </c>
      <c r="P77" s="59" t="s">
        <v>242</v>
      </c>
      <c r="Q77" s="59" t="s">
        <v>242</v>
      </c>
      <c r="R77" s="59" t="s">
        <v>242</v>
      </c>
      <c r="S77" s="59" t="s">
        <v>242</v>
      </c>
      <c r="T77" s="61" t="s">
        <v>242</v>
      </c>
      <c r="U77" s="56" t="s">
        <v>242</v>
      </c>
      <c r="V77" s="62">
        <v>6</v>
      </c>
      <c r="W77" s="63" t="s">
        <v>74</v>
      </c>
      <c r="X77" s="64" t="s">
        <v>259</v>
      </c>
    </row>
    <row r="78" spans="1:24" ht="15" customHeight="1" x14ac:dyDescent="0.2">
      <c r="A78" s="54" t="s">
        <v>241</v>
      </c>
      <c r="B78" s="55" t="s">
        <v>285</v>
      </c>
      <c r="C78" s="55" t="s">
        <v>249</v>
      </c>
      <c r="D78" s="55" t="s">
        <v>260</v>
      </c>
      <c r="E78" s="56" t="s">
        <v>54</v>
      </c>
      <c r="F78" s="56" t="s">
        <v>42</v>
      </c>
      <c r="G78" s="56" t="s">
        <v>251</v>
      </c>
      <c r="H78" s="57" t="s">
        <v>243</v>
      </c>
      <c r="I78" s="57" t="s">
        <v>244</v>
      </c>
      <c r="J78" s="57" t="s">
        <v>257</v>
      </c>
      <c r="K78" s="57" t="s">
        <v>267</v>
      </c>
      <c r="L78" s="57" t="s">
        <v>267</v>
      </c>
      <c r="M78" s="58" t="s">
        <v>242</v>
      </c>
      <c r="N78" s="59">
        <v>6</v>
      </c>
      <c r="O78" s="59" t="s">
        <v>242</v>
      </c>
      <c r="P78" s="59" t="s">
        <v>242</v>
      </c>
      <c r="Q78" s="59" t="s">
        <v>242</v>
      </c>
      <c r="R78" s="59">
        <v>6</v>
      </c>
      <c r="S78" s="59" t="s">
        <v>242</v>
      </c>
      <c r="T78" s="61" t="s">
        <v>242</v>
      </c>
      <c r="U78" s="56">
        <v>6</v>
      </c>
      <c r="V78" s="62"/>
      <c r="W78" s="63" t="s">
        <v>74</v>
      </c>
      <c r="X78" s="64" t="s">
        <v>259</v>
      </c>
    </row>
    <row r="79" spans="1:24" ht="15" customHeight="1" x14ac:dyDescent="0.2">
      <c r="A79" s="54" t="s">
        <v>241</v>
      </c>
      <c r="B79" s="55" t="s">
        <v>242</v>
      </c>
      <c r="C79" s="55" t="s">
        <v>242</v>
      </c>
      <c r="D79" s="55" t="s">
        <v>242</v>
      </c>
      <c r="E79" s="56" t="s">
        <v>242</v>
      </c>
      <c r="F79" s="56" t="s">
        <v>242</v>
      </c>
      <c r="G79" s="56" t="s">
        <v>242</v>
      </c>
      <c r="H79" s="57" t="s">
        <v>243</v>
      </c>
      <c r="I79" s="57" t="s">
        <v>244</v>
      </c>
      <c r="J79" s="57" t="s">
        <v>257</v>
      </c>
      <c r="K79" s="57" t="s">
        <v>268</v>
      </c>
      <c r="L79" s="57" t="s">
        <v>268</v>
      </c>
      <c r="M79" s="58" t="s">
        <v>242</v>
      </c>
      <c r="N79" s="59" t="s">
        <v>242</v>
      </c>
      <c r="O79" s="59" t="s">
        <v>242</v>
      </c>
      <c r="P79" s="59" t="s">
        <v>242</v>
      </c>
      <c r="Q79" s="59" t="s">
        <v>242</v>
      </c>
      <c r="R79" s="59" t="s">
        <v>242</v>
      </c>
      <c r="S79" s="59" t="s">
        <v>242</v>
      </c>
      <c r="T79" s="61" t="s">
        <v>242</v>
      </c>
      <c r="U79" s="56" t="s">
        <v>242</v>
      </c>
      <c r="V79" s="62">
        <v>101</v>
      </c>
      <c r="W79" s="63" t="s">
        <v>74</v>
      </c>
      <c r="X79" s="64" t="s">
        <v>259</v>
      </c>
    </row>
    <row r="80" spans="1:24" ht="15" customHeight="1" x14ac:dyDescent="0.2">
      <c r="A80" s="54" t="s">
        <v>241</v>
      </c>
      <c r="B80" s="55" t="s">
        <v>285</v>
      </c>
      <c r="C80" s="55" t="s">
        <v>249</v>
      </c>
      <c r="D80" s="55" t="s">
        <v>242</v>
      </c>
      <c r="E80" s="56" t="s">
        <v>242</v>
      </c>
      <c r="F80" s="56" t="s">
        <v>242</v>
      </c>
      <c r="G80" s="56" t="s">
        <v>251</v>
      </c>
      <c r="H80" s="57" t="s">
        <v>243</v>
      </c>
      <c r="I80" s="57" t="s">
        <v>244</v>
      </c>
      <c r="J80" s="57" t="s">
        <v>257</v>
      </c>
      <c r="K80" s="57" t="s">
        <v>268</v>
      </c>
      <c r="L80" s="57" t="s">
        <v>268</v>
      </c>
      <c r="M80" s="58" t="s">
        <v>242</v>
      </c>
      <c r="N80" s="59">
        <v>101</v>
      </c>
      <c r="O80" s="59" t="s">
        <v>242</v>
      </c>
      <c r="P80" s="59" t="s">
        <v>242</v>
      </c>
      <c r="Q80" s="59" t="s">
        <v>242</v>
      </c>
      <c r="R80" s="59">
        <v>101</v>
      </c>
      <c r="S80" s="59" t="s">
        <v>242</v>
      </c>
      <c r="T80" s="61" t="s">
        <v>242</v>
      </c>
      <c r="U80" s="56">
        <v>101</v>
      </c>
      <c r="V80" s="62"/>
      <c r="W80" s="63" t="s">
        <v>74</v>
      </c>
      <c r="X80" s="64" t="s">
        <v>259</v>
      </c>
    </row>
    <row r="81" spans="1:24" ht="15" customHeight="1" x14ac:dyDescent="0.2">
      <c r="A81" s="54" t="s">
        <v>241</v>
      </c>
      <c r="B81" s="55" t="s">
        <v>242</v>
      </c>
      <c r="C81" s="55" t="s">
        <v>242</v>
      </c>
      <c r="D81" s="55" t="s">
        <v>242</v>
      </c>
      <c r="E81" s="56" t="s">
        <v>242</v>
      </c>
      <c r="F81" s="56" t="s">
        <v>242</v>
      </c>
      <c r="G81" s="56" t="s">
        <v>242</v>
      </c>
      <c r="H81" s="57" t="s">
        <v>243</v>
      </c>
      <c r="I81" s="57" t="s">
        <v>244</v>
      </c>
      <c r="J81" s="57" t="s">
        <v>257</v>
      </c>
      <c r="K81" s="57" t="s">
        <v>269</v>
      </c>
      <c r="L81" s="57" t="s">
        <v>269</v>
      </c>
      <c r="M81" s="58" t="s">
        <v>242</v>
      </c>
      <c r="N81" s="59" t="s">
        <v>242</v>
      </c>
      <c r="O81" s="59" t="s">
        <v>242</v>
      </c>
      <c r="P81" s="59" t="s">
        <v>242</v>
      </c>
      <c r="Q81" s="59" t="s">
        <v>242</v>
      </c>
      <c r="R81" s="59" t="s">
        <v>242</v>
      </c>
      <c r="S81" s="59" t="s">
        <v>242</v>
      </c>
      <c r="T81" s="61" t="s">
        <v>242</v>
      </c>
      <c r="U81" s="56" t="s">
        <v>242</v>
      </c>
      <c r="V81" s="62">
        <v>1.61</v>
      </c>
      <c r="W81" s="63" t="s">
        <v>270</v>
      </c>
      <c r="X81" s="64" t="s">
        <v>259</v>
      </c>
    </row>
    <row r="82" spans="1:24" ht="15" customHeight="1" x14ac:dyDescent="0.2">
      <c r="A82" s="54" t="s">
        <v>241</v>
      </c>
      <c r="B82" s="55" t="s">
        <v>285</v>
      </c>
      <c r="C82" s="55" t="s">
        <v>249</v>
      </c>
      <c r="D82" s="55" t="s">
        <v>250</v>
      </c>
      <c r="E82" s="56" t="s">
        <v>41</v>
      </c>
      <c r="F82" s="56" t="s">
        <v>47</v>
      </c>
      <c r="G82" s="56" t="s">
        <v>251</v>
      </c>
      <c r="H82" s="57" t="s">
        <v>243</v>
      </c>
      <c r="I82" s="57" t="s">
        <v>244</v>
      </c>
      <c r="J82" s="57" t="s">
        <v>257</v>
      </c>
      <c r="K82" s="57" t="s">
        <v>269</v>
      </c>
      <c r="L82" s="57" t="s">
        <v>269</v>
      </c>
      <c r="M82" s="58" t="s">
        <v>242</v>
      </c>
      <c r="N82" s="59">
        <v>1</v>
      </c>
      <c r="O82" s="59">
        <v>1.7</v>
      </c>
      <c r="P82" s="59">
        <v>0.8</v>
      </c>
      <c r="Q82" s="59" t="s">
        <v>242</v>
      </c>
      <c r="R82" s="59">
        <v>1.36</v>
      </c>
      <c r="S82" s="59" t="s">
        <v>242</v>
      </c>
      <c r="T82" s="61" t="s">
        <v>242</v>
      </c>
      <c r="U82" s="56">
        <v>1.36</v>
      </c>
      <c r="V82" s="62"/>
      <c r="W82" s="63" t="s">
        <v>270</v>
      </c>
      <c r="X82" s="64" t="s">
        <v>259</v>
      </c>
    </row>
    <row r="83" spans="1:24" ht="15" customHeight="1" x14ac:dyDescent="0.2">
      <c r="A83" s="54" t="s">
        <v>241</v>
      </c>
      <c r="B83" s="55" t="s">
        <v>285</v>
      </c>
      <c r="C83" s="55" t="s">
        <v>249</v>
      </c>
      <c r="D83" s="55" t="s">
        <v>250</v>
      </c>
      <c r="E83" s="56" t="s">
        <v>41</v>
      </c>
      <c r="F83" s="56" t="s">
        <v>47</v>
      </c>
      <c r="G83" s="56" t="s">
        <v>251</v>
      </c>
      <c r="H83" s="57" t="s">
        <v>243</v>
      </c>
      <c r="I83" s="57" t="s">
        <v>244</v>
      </c>
      <c r="J83" s="57" t="s">
        <v>257</v>
      </c>
      <c r="K83" s="57" t="s">
        <v>269</v>
      </c>
      <c r="L83" s="57" t="s">
        <v>269</v>
      </c>
      <c r="M83" s="58" t="s">
        <v>242</v>
      </c>
      <c r="N83" s="59">
        <v>1</v>
      </c>
      <c r="O83" s="59">
        <v>0.5</v>
      </c>
      <c r="P83" s="59">
        <v>0.5</v>
      </c>
      <c r="Q83" s="59" t="s">
        <v>242</v>
      </c>
      <c r="R83" s="59">
        <v>0.25</v>
      </c>
      <c r="S83" s="59" t="s">
        <v>242</v>
      </c>
      <c r="T83" s="61" t="s">
        <v>242</v>
      </c>
      <c r="U83" s="56">
        <v>0.25</v>
      </c>
      <c r="V83" s="62"/>
      <c r="W83" s="63" t="s">
        <v>270</v>
      </c>
      <c r="X83" s="64" t="s">
        <v>259</v>
      </c>
    </row>
    <row r="84" spans="1:24" ht="15" customHeight="1" x14ac:dyDescent="0.2">
      <c r="A84" s="54" t="s">
        <v>241</v>
      </c>
      <c r="B84" s="55" t="s">
        <v>242</v>
      </c>
      <c r="C84" s="55" t="s">
        <v>242</v>
      </c>
      <c r="D84" s="55" t="s">
        <v>242</v>
      </c>
      <c r="E84" s="56" t="s">
        <v>242</v>
      </c>
      <c r="F84" s="56" t="s">
        <v>242</v>
      </c>
      <c r="G84" s="56" t="s">
        <v>242</v>
      </c>
      <c r="H84" s="57" t="s">
        <v>243</v>
      </c>
      <c r="I84" s="57" t="s">
        <v>244</v>
      </c>
      <c r="J84" s="57" t="s">
        <v>257</v>
      </c>
      <c r="K84" s="57" t="s">
        <v>271</v>
      </c>
      <c r="L84" s="57" t="s">
        <v>271</v>
      </c>
      <c r="M84" s="58" t="s">
        <v>242</v>
      </c>
      <c r="N84" s="59" t="s">
        <v>242</v>
      </c>
      <c r="O84" s="59" t="s">
        <v>242</v>
      </c>
      <c r="P84" s="59" t="s">
        <v>242</v>
      </c>
      <c r="Q84" s="59" t="s">
        <v>242</v>
      </c>
      <c r="R84" s="59" t="s">
        <v>242</v>
      </c>
      <c r="S84" s="59" t="s">
        <v>242</v>
      </c>
      <c r="T84" s="61" t="s">
        <v>242</v>
      </c>
      <c r="U84" s="56" t="s">
        <v>242</v>
      </c>
      <c r="V84" s="62">
        <v>130</v>
      </c>
      <c r="W84" s="63" t="s">
        <v>179</v>
      </c>
      <c r="X84" s="64" t="s">
        <v>259</v>
      </c>
    </row>
    <row r="85" spans="1:24" ht="15" customHeight="1" x14ac:dyDescent="0.2">
      <c r="A85" s="54" t="s">
        <v>241</v>
      </c>
      <c r="B85" s="55" t="s">
        <v>285</v>
      </c>
      <c r="C85" s="55" t="s">
        <v>249</v>
      </c>
      <c r="D85" s="55" t="s">
        <v>242</v>
      </c>
      <c r="E85" s="56" t="s">
        <v>242</v>
      </c>
      <c r="F85" s="56" t="s">
        <v>242</v>
      </c>
      <c r="G85" s="56" t="s">
        <v>251</v>
      </c>
      <c r="H85" s="57" t="s">
        <v>243</v>
      </c>
      <c r="I85" s="57" t="s">
        <v>244</v>
      </c>
      <c r="J85" s="57" t="s">
        <v>257</v>
      </c>
      <c r="K85" s="57" t="s">
        <v>271</v>
      </c>
      <c r="L85" s="57" t="s">
        <v>271</v>
      </c>
      <c r="M85" s="58" t="s">
        <v>51</v>
      </c>
      <c r="N85" s="59">
        <v>1</v>
      </c>
      <c r="O85" s="59">
        <v>52</v>
      </c>
      <c r="P85" s="59" t="s">
        <v>242</v>
      </c>
      <c r="Q85" s="59" t="s">
        <v>242</v>
      </c>
      <c r="R85" s="59">
        <v>52</v>
      </c>
      <c r="S85" s="59" t="s">
        <v>242</v>
      </c>
      <c r="T85" s="61" t="s">
        <v>242</v>
      </c>
      <c r="U85" s="56">
        <v>52</v>
      </c>
      <c r="V85" s="62"/>
      <c r="W85" s="63" t="s">
        <v>179</v>
      </c>
      <c r="X85" s="64" t="s">
        <v>259</v>
      </c>
    </row>
    <row r="86" spans="1:24" ht="15" customHeight="1" x14ac:dyDescent="0.2">
      <c r="A86" s="54" t="s">
        <v>241</v>
      </c>
      <c r="B86" s="55" t="s">
        <v>285</v>
      </c>
      <c r="C86" s="55" t="s">
        <v>249</v>
      </c>
      <c r="D86" s="55" t="s">
        <v>242</v>
      </c>
      <c r="E86" s="56" t="s">
        <v>242</v>
      </c>
      <c r="F86" s="56" t="s">
        <v>242</v>
      </c>
      <c r="G86" s="56" t="s">
        <v>251</v>
      </c>
      <c r="H86" s="57" t="s">
        <v>243</v>
      </c>
      <c r="I86" s="57" t="s">
        <v>244</v>
      </c>
      <c r="J86" s="57" t="s">
        <v>257</v>
      </c>
      <c r="K86" s="57" t="s">
        <v>271</v>
      </c>
      <c r="L86" s="57" t="s">
        <v>271</v>
      </c>
      <c r="M86" s="58" t="s">
        <v>49</v>
      </c>
      <c r="N86" s="59">
        <v>1</v>
      </c>
      <c r="O86" s="59" t="s">
        <v>286</v>
      </c>
      <c r="P86" s="59" t="s">
        <v>242</v>
      </c>
      <c r="Q86" s="59" t="s">
        <v>242</v>
      </c>
      <c r="R86" s="59">
        <v>8</v>
      </c>
      <c r="S86" s="59" t="s">
        <v>241</v>
      </c>
      <c r="T86" s="61" t="s">
        <v>242</v>
      </c>
      <c r="U86" s="56">
        <v>40</v>
      </c>
      <c r="V86" s="62"/>
      <c r="W86" s="63" t="s">
        <v>179</v>
      </c>
      <c r="X86" s="64" t="s">
        <v>259</v>
      </c>
    </row>
    <row r="87" spans="1:24" ht="15" customHeight="1" x14ac:dyDescent="0.2">
      <c r="A87" s="54" t="s">
        <v>241</v>
      </c>
      <c r="B87" s="55" t="s">
        <v>285</v>
      </c>
      <c r="C87" s="55" t="s">
        <v>249</v>
      </c>
      <c r="D87" s="55" t="s">
        <v>250</v>
      </c>
      <c r="E87" s="56" t="s">
        <v>41</v>
      </c>
      <c r="F87" s="56" t="s">
        <v>47</v>
      </c>
      <c r="G87" s="56" t="s">
        <v>251</v>
      </c>
      <c r="H87" s="57" t="s">
        <v>243</v>
      </c>
      <c r="I87" s="57" t="s">
        <v>244</v>
      </c>
      <c r="J87" s="57" t="s">
        <v>257</v>
      </c>
      <c r="K87" s="57" t="s">
        <v>271</v>
      </c>
      <c r="L87" s="57" t="s">
        <v>271</v>
      </c>
      <c r="M87" s="58" t="s">
        <v>52</v>
      </c>
      <c r="N87" s="59">
        <v>1</v>
      </c>
      <c r="O87" s="59">
        <v>25</v>
      </c>
      <c r="P87" s="59" t="s">
        <v>242</v>
      </c>
      <c r="Q87" s="59" t="s">
        <v>242</v>
      </c>
      <c r="R87" s="59">
        <v>25</v>
      </c>
      <c r="S87" s="59" t="s">
        <v>242</v>
      </c>
      <c r="T87" s="61" t="s">
        <v>242</v>
      </c>
      <c r="U87" s="56">
        <v>25</v>
      </c>
      <c r="V87" s="62"/>
      <c r="W87" s="63" t="s">
        <v>179</v>
      </c>
      <c r="X87" s="64" t="s">
        <v>259</v>
      </c>
    </row>
    <row r="88" spans="1:24" ht="15" customHeight="1" x14ac:dyDescent="0.2">
      <c r="A88" s="54" t="s">
        <v>241</v>
      </c>
      <c r="B88" s="55" t="s">
        <v>285</v>
      </c>
      <c r="C88" s="55" t="s">
        <v>249</v>
      </c>
      <c r="D88" s="55" t="s">
        <v>250</v>
      </c>
      <c r="E88" s="56" t="s">
        <v>41</v>
      </c>
      <c r="F88" s="56" t="s">
        <v>47</v>
      </c>
      <c r="G88" s="56" t="s">
        <v>251</v>
      </c>
      <c r="H88" s="57" t="s">
        <v>243</v>
      </c>
      <c r="I88" s="57" t="s">
        <v>244</v>
      </c>
      <c r="J88" s="57" t="s">
        <v>257</v>
      </c>
      <c r="K88" s="57" t="s">
        <v>271</v>
      </c>
      <c r="L88" s="57" t="s">
        <v>271</v>
      </c>
      <c r="M88" s="58" t="s">
        <v>50</v>
      </c>
      <c r="N88" s="59">
        <v>1</v>
      </c>
      <c r="O88" s="59">
        <v>13</v>
      </c>
      <c r="P88" s="59" t="s">
        <v>242</v>
      </c>
      <c r="Q88" s="59" t="s">
        <v>242</v>
      </c>
      <c r="R88" s="59">
        <v>13</v>
      </c>
      <c r="S88" s="59" t="s">
        <v>242</v>
      </c>
      <c r="T88" s="61" t="s">
        <v>242</v>
      </c>
      <c r="U88" s="56">
        <v>13</v>
      </c>
      <c r="V88" s="62"/>
      <c r="W88" s="63" t="s">
        <v>179</v>
      </c>
      <c r="X88" s="64" t="s">
        <v>259</v>
      </c>
    </row>
    <row r="89" spans="1:24" ht="15" customHeight="1" x14ac:dyDescent="0.25">
      <c r="A89" s="48"/>
      <c r="B89" s="49"/>
      <c r="C89" s="48"/>
      <c r="D89" s="48"/>
      <c r="E89" s="53"/>
      <c r="F89" s="46"/>
      <c r="G89" s="46"/>
      <c r="H89" s="46"/>
      <c r="I89" s="46"/>
      <c r="J89" s="46"/>
      <c r="K89" s="46"/>
      <c r="L89" s="46"/>
      <c r="M89" s="48"/>
      <c r="N89" s="48"/>
      <c r="O89" s="49"/>
      <c r="P89" s="48"/>
      <c r="Q89" s="48"/>
      <c r="R89" s="48"/>
      <c r="S89" s="46"/>
      <c r="T89" s="48"/>
      <c r="U89" s="48"/>
      <c r="V89" s="25"/>
      <c r="W89" s="25"/>
      <c r="X89" s="25"/>
    </row>
    <row r="90" spans="1:24" ht="15" customHeight="1" x14ac:dyDescent="0.25">
      <c r="A90" s="48"/>
      <c r="B90" s="49"/>
      <c r="C90" s="48"/>
      <c r="D90" s="48"/>
      <c r="E90" s="53"/>
      <c r="F90" s="46"/>
      <c r="G90" s="46"/>
      <c r="H90" s="46"/>
      <c r="I90" s="46"/>
      <c r="J90" s="46"/>
      <c r="K90" s="46"/>
      <c r="L90" s="46"/>
      <c r="M90" s="48"/>
      <c r="N90" s="48"/>
      <c r="O90" s="49"/>
      <c r="P90" s="48"/>
      <c r="Q90" s="48"/>
      <c r="R90" s="48"/>
      <c r="S90" s="46"/>
      <c r="T90" s="48"/>
      <c r="U90" s="48"/>
      <c r="V90" s="25"/>
      <c r="W90" s="25"/>
      <c r="X90" s="25"/>
    </row>
    <row r="91" spans="1:24" ht="15" customHeight="1" x14ac:dyDescent="0.2">
      <c r="A91" s="54" t="s">
        <v>241</v>
      </c>
      <c r="B91" s="55" t="s">
        <v>242</v>
      </c>
      <c r="C91" s="55" t="s">
        <v>242</v>
      </c>
      <c r="D91" s="55" t="s">
        <v>242</v>
      </c>
      <c r="E91" s="56" t="s">
        <v>242</v>
      </c>
      <c r="F91" s="56" t="s">
        <v>242</v>
      </c>
      <c r="G91" s="56" t="s">
        <v>242</v>
      </c>
      <c r="H91" s="57" t="s">
        <v>243</v>
      </c>
      <c r="I91" s="57" t="s">
        <v>244</v>
      </c>
      <c r="J91" s="57" t="s">
        <v>245</v>
      </c>
      <c r="K91" s="57" t="s">
        <v>253</v>
      </c>
      <c r="L91" s="57" t="s">
        <v>253</v>
      </c>
      <c r="M91" s="58" t="s">
        <v>242</v>
      </c>
      <c r="N91" s="59" t="s">
        <v>242</v>
      </c>
      <c r="O91" s="59" t="s">
        <v>242</v>
      </c>
      <c r="P91" s="59" t="s">
        <v>242</v>
      </c>
      <c r="Q91" s="59" t="s">
        <v>242</v>
      </c>
      <c r="R91" s="59" t="s">
        <v>242</v>
      </c>
      <c r="S91" s="60" t="s">
        <v>242</v>
      </c>
      <c r="T91" s="61" t="s">
        <v>242</v>
      </c>
      <c r="U91" s="56" t="s">
        <v>242</v>
      </c>
      <c r="V91" s="62">
        <v>3</v>
      </c>
      <c r="W91" s="63" t="s">
        <v>179</v>
      </c>
      <c r="X91" s="64" t="s">
        <v>247</v>
      </c>
    </row>
    <row r="92" spans="1:24" ht="15" customHeight="1" x14ac:dyDescent="0.2">
      <c r="A92" s="54" t="s">
        <v>241</v>
      </c>
      <c r="B92" s="55" t="s">
        <v>287</v>
      </c>
      <c r="C92" s="55" t="s">
        <v>249</v>
      </c>
      <c r="D92" s="55" t="s">
        <v>242</v>
      </c>
      <c r="E92" s="56" t="s">
        <v>223</v>
      </c>
      <c r="F92" s="56" t="s">
        <v>44</v>
      </c>
      <c r="G92" s="56" t="s">
        <v>251</v>
      </c>
      <c r="H92" s="57" t="s">
        <v>243</v>
      </c>
      <c r="I92" s="57" t="s">
        <v>244</v>
      </c>
      <c r="J92" s="57" t="s">
        <v>245</v>
      </c>
      <c r="K92" s="57" t="s">
        <v>253</v>
      </c>
      <c r="L92" s="57" t="s">
        <v>253</v>
      </c>
      <c r="M92" s="58" t="s">
        <v>242</v>
      </c>
      <c r="N92" s="59">
        <v>1</v>
      </c>
      <c r="O92" s="59">
        <v>3</v>
      </c>
      <c r="P92" s="59" t="s">
        <v>242</v>
      </c>
      <c r="Q92" s="59" t="s">
        <v>242</v>
      </c>
      <c r="R92" s="59">
        <v>3</v>
      </c>
      <c r="S92" s="59" t="s">
        <v>242</v>
      </c>
      <c r="T92" s="61" t="s">
        <v>242</v>
      </c>
      <c r="U92" s="56">
        <v>3</v>
      </c>
      <c r="V92" s="62"/>
      <c r="W92" s="63" t="s">
        <v>179</v>
      </c>
      <c r="X92" s="64" t="s">
        <v>247</v>
      </c>
    </row>
    <row r="93" spans="1:24" ht="15" customHeight="1" x14ac:dyDescent="0.2">
      <c r="A93" s="54" t="s">
        <v>241</v>
      </c>
      <c r="B93" s="55" t="s">
        <v>242</v>
      </c>
      <c r="C93" s="55" t="s">
        <v>242</v>
      </c>
      <c r="D93" s="55" t="s">
        <v>242</v>
      </c>
      <c r="E93" s="56" t="s">
        <v>242</v>
      </c>
      <c r="F93" s="56" t="s">
        <v>242</v>
      </c>
      <c r="G93" s="56" t="s">
        <v>242</v>
      </c>
      <c r="H93" s="57" t="s">
        <v>243</v>
      </c>
      <c r="I93" s="57" t="s">
        <v>244</v>
      </c>
      <c r="J93" s="57" t="s">
        <v>245</v>
      </c>
      <c r="K93" s="57" t="s">
        <v>255</v>
      </c>
      <c r="L93" s="57" t="s">
        <v>255</v>
      </c>
      <c r="M93" s="58" t="s">
        <v>242</v>
      </c>
      <c r="N93" s="59" t="s">
        <v>242</v>
      </c>
      <c r="O93" s="59" t="s">
        <v>242</v>
      </c>
      <c r="P93" s="59" t="s">
        <v>242</v>
      </c>
      <c r="Q93" s="59" t="s">
        <v>242</v>
      </c>
      <c r="R93" s="59" t="s">
        <v>242</v>
      </c>
      <c r="S93" s="59" t="s">
        <v>242</v>
      </c>
      <c r="T93" s="61" t="s">
        <v>242</v>
      </c>
      <c r="U93" s="56" t="s">
        <v>242</v>
      </c>
      <c r="V93" s="62">
        <v>13</v>
      </c>
      <c r="W93" s="63" t="s">
        <v>179</v>
      </c>
      <c r="X93" s="64" t="s">
        <v>247</v>
      </c>
    </row>
    <row r="94" spans="1:24" ht="15" customHeight="1" x14ac:dyDescent="0.2">
      <c r="A94" s="54" t="s">
        <v>241</v>
      </c>
      <c r="B94" s="55" t="s">
        <v>287</v>
      </c>
      <c r="C94" s="55" t="s">
        <v>249</v>
      </c>
      <c r="D94" s="55" t="s">
        <v>254</v>
      </c>
      <c r="E94" s="56" t="s">
        <v>45</v>
      </c>
      <c r="F94" s="56" t="s">
        <v>47</v>
      </c>
      <c r="G94" s="56" t="s">
        <v>251</v>
      </c>
      <c r="H94" s="57" t="s">
        <v>243</v>
      </c>
      <c r="I94" s="57" t="s">
        <v>244</v>
      </c>
      <c r="J94" s="57" t="s">
        <v>245</v>
      </c>
      <c r="K94" s="57" t="s">
        <v>255</v>
      </c>
      <c r="L94" s="57" t="s">
        <v>255</v>
      </c>
      <c r="M94" s="58" t="s">
        <v>242</v>
      </c>
      <c r="N94" s="59">
        <v>1</v>
      </c>
      <c r="O94" s="59">
        <v>13</v>
      </c>
      <c r="P94" s="59" t="s">
        <v>242</v>
      </c>
      <c r="Q94" s="59" t="s">
        <v>242</v>
      </c>
      <c r="R94" s="59">
        <v>13</v>
      </c>
      <c r="S94" s="59" t="s">
        <v>242</v>
      </c>
      <c r="T94" s="61" t="s">
        <v>242</v>
      </c>
      <c r="U94" s="56">
        <v>13</v>
      </c>
      <c r="V94" s="62"/>
      <c r="W94" s="63" t="s">
        <v>179</v>
      </c>
      <c r="X94" s="64" t="s">
        <v>247</v>
      </c>
    </row>
    <row r="95" spans="1:24" ht="15" customHeight="1" x14ac:dyDescent="0.2">
      <c r="A95" s="54" t="s">
        <v>241</v>
      </c>
      <c r="B95" s="55" t="s">
        <v>242</v>
      </c>
      <c r="C95" s="55" t="s">
        <v>242</v>
      </c>
      <c r="D95" s="55" t="s">
        <v>242</v>
      </c>
      <c r="E95" s="56" t="s">
        <v>242</v>
      </c>
      <c r="F95" s="56" t="s">
        <v>242</v>
      </c>
      <c r="G95" s="56" t="s">
        <v>242</v>
      </c>
      <c r="H95" s="57" t="s">
        <v>243</v>
      </c>
      <c r="I95" s="57" t="s">
        <v>244</v>
      </c>
      <c r="J95" s="57" t="s">
        <v>257</v>
      </c>
      <c r="K95" s="57" t="s">
        <v>278</v>
      </c>
      <c r="L95" s="57" t="s">
        <v>278</v>
      </c>
      <c r="M95" s="58" t="s">
        <v>242</v>
      </c>
      <c r="N95" s="59" t="s">
        <v>242</v>
      </c>
      <c r="O95" s="59" t="s">
        <v>242</v>
      </c>
      <c r="P95" s="59" t="s">
        <v>242</v>
      </c>
      <c r="Q95" s="59" t="s">
        <v>242</v>
      </c>
      <c r="R95" s="59" t="s">
        <v>242</v>
      </c>
      <c r="S95" s="59" t="s">
        <v>242</v>
      </c>
      <c r="T95" s="61" t="s">
        <v>242</v>
      </c>
      <c r="U95" s="56" t="s">
        <v>242</v>
      </c>
      <c r="V95" s="62">
        <v>8</v>
      </c>
      <c r="W95" s="63" t="s">
        <v>179</v>
      </c>
      <c r="X95" s="64" t="s">
        <v>259</v>
      </c>
    </row>
    <row r="96" spans="1:24" ht="15" customHeight="1" x14ac:dyDescent="0.2">
      <c r="A96" s="54" t="s">
        <v>241</v>
      </c>
      <c r="B96" s="55" t="s">
        <v>287</v>
      </c>
      <c r="C96" s="55" t="s">
        <v>249</v>
      </c>
      <c r="D96" s="55" t="s">
        <v>250</v>
      </c>
      <c r="E96" s="56" t="s">
        <v>41</v>
      </c>
      <c r="F96" s="56" t="s">
        <v>44</v>
      </c>
      <c r="G96" s="56" t="s">
        <v>251</v>
      </c>
      <c r="H96" s="57" t="s">
        <v>243</v>
      </c>
      <c r="I96" s="57" t="s">
        <v>244</v>
      </c>
      <c r="J96" s="57" t="s">
        <v>257</v>
      </c>
      <c r="K96" s="57" t="s">
        <v>278</v>
      </c>
      <c r="L96" s="57" t="s">
        <v>278</v>
      </c>
      <c r="M96" s="58" t="s">
        <v>242</v>
      </c>
      <c r="N96" s="59">
        <v>1</v>
      </c>
      <c r="O96" s="59">
        <v>8</v>
      </c>
      <c r="P96" s="59" t="s">
        <v>242</v>
      </c>
      <c r="Q96" s="59" t="s">
        <v>242</v>
      </c>
      <c r="R96" s="59">
        <v>8</v>
      </c>
      <c r="S96" s="59" t="s">
        <v>242</v>
      </c>
      <c r="T96" s="61" t="s">
        <v>242</v>
      </c>
      <c r="U96" s="56">
        <v>8</v>
      </c>
      <c r="V96" s="62"/>
      <c r="W96" s="63" t="s">
        <v>179</v>
      </c>
      <c r="X96" s="64" t="s">
        <v>259</v>
      </c>
    </row>
    <row r="97" spans="1:24" ht="15" customHeight="1" x14ac:dyDescent="0.2">
      <c r="A97" s="54" t="s">
        <v>241</v>
      </c>
      <c r="B97" s="55" t="s">
        <v>242</v>
      </c>
      <c r="C97" s="55" t="s">
        <v>242</v>
      </c>
      <c r="D97" s="55" t="s">
        <v>242</v>
      </c>
      <c r="E97" s="56" t="s">
        <v>242</v>
      </c>
      <c r="F97" s="56" t="s">
        <v>242</v>
      </c>
      <c r="G97" s="56" t="s">
        <v>242</v>
      </c>
      <c r="H97" s="57" t="s">
        <v>243</v>
      </c>
      <c r="I97" s="57" t="s">
        <v>244</v>
      </c>
      <c r="J97" s="57" t="s">
        <v>257</v>
      </c>
      <c r="K97" s="57" t="s">
        <v>258</v>
      </c>
      <c r="L97" s="57" t="s">
        <v>258</v>
      </c>
      <c r="M97" s="58" t="s">
        <v>242</v>
      </c>
      <c r="N97" s="59" t="s">
        <v>242</v>
      </c>
      <c r="O97" s="59" t="s">
        <v>242</v>
      </c>
      <c r="P97" s="59" t="s">
        <v>242</v>
      </c>
      <c r="Q97" s="59" t="s">
        <v>242</v>
      </c>
      <c r="R97" s="59" t="s">
        <v>242</v>
      </c>
      <c r="S97" s="59" t="s">
        <v>242</v>
      </c>
      <c r="T97" s="61" t="s">
        <v>242</v>
      </c>
      <c r="U97" s="56" t="s">
        <v>242</v>
      </c>
      <c r="V97" s="62">
        <v>55</v>
      </c>
      <c r="W97" s="63" t="s">
        <v>179</v>
      </c>
      <c r="X97" s="64" t="s">
        <v>259</v>
      </c>
    </row>
    <row r="98" spans="1:24" ht="15" customHeight="1" x14ac:dyDescent="0.2">
      <c r="A98" s="54" t="s">
        <v>241</v>
      </c>
      <c r="B98" s="55" t="s">
        <v>287</v>
      </c>
      <c r="C98" s="55" t="s">
        <v>249</v>
      </c>
      <c r="D98" s="55" t="s">
        <v>250</v>
      </c>
      <c r="E98" s="56" t="s">
        <v>41</v>
      </c>
      <c r="F98" s="56" t="s">
        <v>279</v>
      </c>
      <c r="G98" s="56" t="s">
        <v>251</v>
      </c>
      <c r="H98" s="57" t="s">
        <v>243</v>
      </c>
      <c r="I98" s="57" t="s">
        <v>244</v>
      </c>
      <c r="J98" s="57" t="s">
        <v>257</v>
      </c>
      <c r="K98" s="57" t="s">
        <v>258</v>
      </c>
      <c r="L98" s="57" t="s">
        <v>258</v>
      </c>
      <c r="M98" s="58" t="s">
        <v>242</v>
      </c>
      <c r="N98" s="59">
        <v>1</v>
      </c>
      <c r="O98" s="59">
        <v>55</v>
      </c>
      <c r="P98" s="59" t="s">
        <v>242</v>
      </c>
      <c r="Q98" s="59" t="s">
        <v>242</v>
      </c>
      <c r="R98" s="59">
        <v>55</v>
      </c>
      <c r="S98" s="59" t="s">
        <v>242</v>
      </c>
      <c r="T98" s="61" t="s">
        <v>242</v>
      </c>
      <c r="U98" s="56">
        <v>55</v>
      </c>
      <c r="V98" s="62"/>
      <c r="W98" s="63" t="s">
        <v>179</v>
      </c>
      <c r="X98" s="64" t="s">
        <v>259</v>
      </c>
    </row>
    <row r="99" spans="1:24" ht="15" customHeight="1" x14ac:dyDescent="0.2">
      <c r="A99" s="54" t="s">
        <v>241</v>
      </c>
      <c r="B99" s="55" t="s">
        <v>242</v>
      </c>
      <c r="C99" s="55" t="s">
        <v>242</v>
      </c>
      <c r="D99" s="55" t="s">
        <v>242</v>
      </c>
      <c r="E99" s="56" t="s">
        <v>242</v>
      </c>
      <c r="F99" s="56" t="s">
        <v>242</v>
      </c>
      <c r="G99" s="56" t="s">
        <v>242</v>
      </c>
      <c r="H99" s="57" t="s">
        <v>243</v>
      </c>
      <c r="I99" s="57" t="s">
        <v>244</v>
      </c>
      <c r="J99" s="57" t="s">
        <v>257</v>
      </c>
      <c r="K99" s="57" t="s">
        <v>261</v>
      </c>
      <c r="L99" s="57" t="s">
        <v>261</v>
      </c>
      <c r="M99" s="58" t="s">
        <v>242</v>
      </c>
      <c r="N99" s="59" t="s">
        <v>242</v>
      </c>
      <c r="O99" s="59" t="s">
        <v>242</v>
      </c>
      <c r="P99" s="59" t="s">
        <v>242</v>
      </c>
      <c r="Q99" s="59" t="s">
        <v>242</v>
      </c>
      <c r="R99" s="59" t="s">
        <v>242</v>
      </c>
      <c r="S99" s="59" t="s">
        <v>242</v>
      </c>
      <c r="T99" s="61" t="s">
        <v>242</v>
      </c>
      <c r="U99" s="56" t="s">
        <v>242</v>
      </c>
      <c r="V99" s="62">
        <v>200</v>
      </c>
      <c r="W99" s="63" t="s">
        <v>262</v>
      </c>
      <c r="X99" s="64" t="s">
        <v>259</v>
      </c>
    </row>
    <row r="100" spans="1:24" ht="15" customHeight="1" x14ac:dyDescent="0.2">
      <c r="A100" s="54" t="s">
        <v>241</v>
      </c>
      <c r="B100" s="55" t="s">
        <v>287</v>
      </c>
      <c r="C100" s="55" t="s">
        <v>249</v>
      </c>
      <c r="D100" s="55" t="s">
        <v>242</v>
      </c>
      <c r="E100" s="56" t="s">
        <v>242</v>
      </c>
      <c r="F100" s="56" t="s">
        <v>242</v>
      </c>
      <c r="G100" s="56" t="s">
        <v>251</v>
      </c>
      <c r="H100" s="57" t="s">
        <v>243</v>
      </c>
      <c r="I100" s="57" t="s">
        <v>244</v>
      </c>
      <c r="J100" s="57" t="s">
        <v>257</v>
      </c>
      <c r="K100" s="57" t="s">
        <v>261</v>
      </c>
      <c r="L100" s="57" t="s">
        <v>261</v>
      </c>
      <c r="M100" s="58" t="s">
        <v>288</v>
      </c>
      <c r="N100" s="59">
        <v>200</v>
      </c>
      <c r="O100" s="59" t="s">
        <v>242</v>
      </c>
      <c r="P100" s="59" t="s">
        <v>242</v>
      </c>
      <c r="Q100" s="59" t="s">
        <v>242</v>
      </c>
      <c r="R100" s="59">
        <v>200</v>
      </c>
      <c r="S100" s="59" t="s">
        <v>242</v>
      </c>
      <c r="T100" s="61" t="s">
        <v>242</v>
      </c>
      <c r="U100" s="56">
        <v>200</v>
      </c>
      <c r="V100" s="62"/>
      <c r="W100" s="63" t="s">
        <v>262</v>
      </c>
      <c r="X100" s="64" t="s">
        <v>259</v>
      </c>
    </row>
    <row r="101" spans="1:24" ht="15" customHeight="1" x14ac:dyDescent="0.2">
      <c r="A101" s="54" t="s">
        <v>241</v>
      </c>
      <c r="B101" s="55" t="s">
        <v>242</v>
      </c>
      <c r="C101" s="55" t="s">
        <v>242</v>
      </c>
      <c r="D101" s="55" t="s">
        <v>242</v>
      </c>
      <c r="E101" s="56" t="s">
        <v>242</v>
      </c>
      <c r="F101" s="56" t="s">
        <v>242</v>
      </c>
      <c r="G101" s="56" t="s">
        <v>242</v>
      </c>
      <c r="H101" s="57" t="s">
        <v>243</v>
      </c>
      <c r="I101" s="57" t="s">
        <v>244</v>
      </c>
      <c r="J101" s="57" t="s">
        <v>257</v>
      </c>
      <c r="K101" s="57" t="s">
        <v>280</v>
      </c>
      <c r="L101" s="57" t="s">
        <v>280</v>
      </c>
      <c r="M101" s="58" t="s">
        <v>242</v>
      </c>
      <c r="N101" s="59" t="s">
        <v>242</v>
      </c>
      <c r="O101" s="59" t="s">
        <v>242</v>
      </c>
      <c r="P101" s="59" t="s">
        <v>242</v>
      </c>
      <c r="Q101" s="59" t="s">
        <v>242</v>
      </c>
      <c r="R101" s="59" t="s">
        <v>242</v>
      </c>
      <c r="S101" s="59" t="s">
        <v>242</v>
      </c>
      <c r="T101" s="61" t="s">
        <v>242</v>
      </c>
      <c r="U101" s="56" t="s">
        <v>242</v>
      </c>
      <c r="V101" s="62">
        <v>100</v>
      </c>
      <c r="W101" s="63" t="s">
        <v>262</v>
      </c>
      <c r="X101" s="64" t="s">
        <v>259</v>
      </c>
    </row>
    <row r="102" spans="1:24" ht="15" customHeight="1" x14ac:dyDescent="0.2">
      <c r="A102" s="54" t="s">
        <v>241</v>
      </c>
      <c r="B102" s="55" t="s">
        <v>287</v>
      </c>
      <c r="C102" s="55" t="s">
        <v>249</v>
      </c>
      <c r="D102" s="55" t="s">
        <v>242</v>
      </c>
      <c r="E102" s="56" t="s">
        <v>242</v>
      </c>
      <c r="F102" s="56" t="s">
        <v>242</v>
      </c>
      <c r="G102" s="56" t="s">
        <v>251</v>
      </c>
      <c r="H102" s="57" t="s">
        <v>243</v>
      </c>
      <c r="I102" s="57" t="s">
        <v>244</v>
      </c>
      <c r="J102" s="57" t="s">
        <v>257</v>
      </c>
      <c r="K102" s="57" t="s">
        <v>280</v>
      </c>
      <c r="L102" s="57" t="s">
        <v>280</v>
      </c>
      <c r="M102" s="58" t="s">
        <v>289</v>
      </c>
      <c r="N102" s="59">
        <v>100</v>
      </c>
      <c r="O102" s="59" t="s">
        <v>242</v>
      </c>
      <c r="P102" s="59" t="s">
        <v>242</v>
      </c>
      <c r="Q102" s="59" t="s">
        <v>242</v>
      </c>
      <c r="R102" s="59">
        <v>100</v>
      </c>
      <c r="S102" s="59" t="s">
        <v>242</v>
      </c>
      <c r="T102" s="61" t="s">
        <v>242</v>
      </c>
      <c r="U102" s="56">
        <v>100</v>
      </c>
      <c r="V102" s="62"/>
      <c r="W102" s="63" t="s">
        <v>262</v>
      </c>
      <c r="X102" s="64" t="s">
        <v>259</v>
      </c>
    </row>
    <row r="103" spans="1:24" ht="15" customHeight="1" x14ac:dyDescent="0.2">
      <c r="A103" s="54" t="s">
        <v>241</v>
      </c>
      <c r="B103" s="55" t="s">
        <v>242</v>
      </c>
      <c r="C103" s="55" t="s">
        <v>242</v>
      </c>
      <c r="D103" s="55" t="s">
        <v>242</v>
      </c>
      <c r="E103" s="56" t="s">
        <v>242</v>
      </c>
      <c r="F103" s="56" t="s">
        <v>242</v>
      </c>
      <c r="G103" s="56" t="s">
        <v>242</v>
      </c>
      <c r="H103" s="57" t="s">
        <v>243</v>
      </c>
      <c r="I103" s="57" t="s">
        <v>244</v>
      </c>
      <c r="J103" s="57" t="s">
        <v>257</v>
      </c>
      <c r="K103" s="57" t="s">
        <v>264</v>
      </c>
      <c r="L103" s="57" t="s">
        <v>264</v>
      </c>
      <c r="M103" s="58" t="s">
        <v>242</v>
      </c>
      <c r="N103" s="59" t="s">
        <v>242</v>
      </c>
      <c r="O103" s="59" t="s">
        <v>242</v>
      </c>
      <c r="P103" s="59" t="s">
        <v>242</v>
      </c>
      <c r="Q103" s="59" t="s">
        <v>242</v>
      </c>
      <c r="R103" s="59" t="s">
        <v>242</v>
      </c>
      <c r="S103" s="59" t="s">
        <v>242</v>
      </c>
      <c r="T103" s="61" t="s">
        <v>242</v>
      </c>
      <c r="U103" s="56" t="s">
        <v>242</v>
      </c>
      <c r="V103" s="62">
        <v>124.84</v>
      </c>
      <c r="W103" s="63" t="s">
        <v>99</v>
      </c>
      <c r="X103" s="64" t="s">
        <v>259</v>
      </c>
    </row>
    <row r="104" spans="1:24" ht="15" customHeight="1" x14ac:dyDescent="0.2">
      <c r="A104" s="54" t="s">
        <v>241</v>
      </c>
      <c r="B104" s="55" t="s">
        <v>287</v>
      </c>
      <c r="C104" s="55" t="s">
        <v>249</v>
      </c>
      <c r="D104" s="55" t="s">
        <v>242</v>
      </c>
      <c r="E104" s="56" t="s">
        <v>242</v>
      </c>
      <c r="F104" s="56" t="s">
        <v>242</v>
      </c>
      <c r="G104" s="56" t="s">
        <v>251</v>
      </c>
      <c r="H104" s="57" t="s">
        <v>243</v>
      </c>
      <c r="I104" s="57" t="s">
        <v>244</v>
      </c>
      <c r="J104" s="57" t="s">
        <v>257</v>
      </c>
      <c r="K104" s="57" t="s">
        <v>264</v>
      </c>
      <c r="L104" s="57" t="s">
        <v>264</v>
      </c>
      <c r="M104" s="58" t="s">
        <v>242</v>
      </c>
      <c r="N104" s="59">
        <v>124.84</v>
      </c>
      <c r="O104" s="59" t="s">
        <v>242</v>
      </c>
      <c r="P104" s="59" t="s">
        <v>242</v>
      </c>
      <c r="Q104" s="59" t="s">
        <v>242</v>
      </c>
      <c r="R104" s="59">
        <v>124.84</v>
      </c>
      <c r="S104" s="59" t="s">
        <v>242</v>
      </c>
      <c r="T104" s="61" t="s">
        <v>242</v>
      </c>
      <c r="U104" s="56">
        <v>124.84</v>
      </c>
      <c r="V104" s="62"/>
      <c r="W104" s="63" t="s">
        <v>99</v>
      </c>
      <c r="X104" s="64" t="s">
        <v>259</v>
      </c>
    </row>
    <row r="105" spans="1:24" ht="15" customHeight="1" x14ac:dyDescent="0.2">
      <c r="A105" s="54" t="s">
        <v>241</v>
      </c>
      <c r="B105" s="55" t="s">
        <v>242</v>
      </c>
      <c r="C105" s="55" t="s">
        <v>242</v>
      </c>
      <c r="D105" s="55" t="s">
        <v>242</v>
      </c>
      <c r="E105" s="56" t="s">
        <v>242</v>
      </c>
      <c r="F105" s="56" t="s">
        <v>242</v>
      </c>
      <c r="G105" s="56" t="s">
        <v>242</v>
      </c>
      <c r="H105" s="57" t="s">
        <v>243</v>
      </c>
      <c r="I105" s="57" t="s">
        <v>244</v>
      </c>
      <c r="J105" s="57" t="s">
        <v>257</v>
      </c>
      <c r="K105" s="57" t="s">
        <v>266</v>
      </c>
      <c r="L105" s="57" t="s">
        <v>266</v>
      </c>
      <c r="M105" s="58" t="s">
        <v>242</v>
      </c>
      <c r="N105" s="59" t="s">
        <v>242</v>
      </c>
      <c r="O105" s="59" t="s">
        <v>242</v>
      </c>
      <c r="P105" s="59" t="s">
        <v>242</v>
      </c>
      <c r="Q105" s="59" t="s">
        <v>242</v>
      </c>
      <c r="R105" s="59" t="s">
        <v>242</v>
      </c>
      <c r="S105" s="59" t="s">
        <v>242</v>
      </c>
      <c r="T105" s="61" t="s">
        <v>242</v>
      </c>
      <c r="U105" s="56" t="s">
        <v>242</v>
      </c>
      <c r="V105" s="62">
        <v>3</v>
      </c>
      <c r="W105" s="63" t="s">
        <v>179</v>
      </c>
      <c r="X105" s="64" t="s">
        <v>259</v>
      </c>
    </row>
    <row r="106" spans="1:24" ht="15" customHeight="1" x14ac:dyDescent="0.2">
      <c r="A106" s="54" t="s">
        <v>241</v>
      </c>
      <c r="B106" s="55" t="s">
        <v>287</v>
      </c>
      <c r="C106" s="55" t="s">
        <v>249</v>
      </c>
      <c r="D106" s="55" t="s">
        <v>254</v>
      </c>
      <c r="E106" s="56" t="s">
        <v>53</v>
      </c>
      <c r="F106" s="56" t="s">
        <v>44</v>
      </c>
      <c r="G106" s="56" t="s">
        <v>251</v>
      </c>
      <c r="H106" s="57" t="s">
        <v>243</v>
      </c>
      <c r="I106" s="57" t="s">
        <v>244</v>
      </c>
      <c r="J106" s="57" t="s">
        <v>257</v>
      </c>
      <c r="K106" s="57" t="s">
        <v>266</v>
      </c>
      <c r="L106" s="57" t="s">
        <v>266</v>
      </c>
      <c r="M106" s="58" t="s">
        <v>242</v>
      </c>
      <c r="N106" s="59">
        <v>1</v>
      </c>
      <c r="O106" s="59">
        <v>3</v>
      </c>
      <c r="P106" s="59" t="s">
        <v>242</v>
      </c>
      <c r="Q106" s="59" t="s">
        <v>242</v>
      </c>
      <c r="R106" s="59">
        <v>3</v>
      </c>
      <c r="S106" s="59" t="s">
        <v>242</v>
      </c>
      <c r="T106" s="61" t="s">
        <v>242</v>
      </c>
      <c r="U106" s="56">
        <v>3</v>
      </c>
      <c r="V106" s="62"/>
      <c r="W106" s="63" t="s">
        <v>179</v>
      </c>
      <c r="X106" s="64" t="s">
        <v>259</v>
      </c>
    </row>
    <row r="107" spans="1:24" ht="15" customHeight="1" x14ac:dyDescent="0.2">
      <c r="A107" s="54" t="s">
        <v>241</v>
      </c>
      <c r="B107" s="55" t="s">
        <v>242</v>
      </c>
      <c r="C107" s="55" t="s">
        <v>242</v>
      </c>
      <c r="D107" s="55" t="s">
        <v>242</v>
      </c>
      <c r="E107" s="56" t="s">
        <v>242</v>
      </c>
      <c r="F107" s="56" t="s">
        <v>242</v>
      </c>
      <c r="G107" s="56" t="s">
        <v>242</v>
      </c>
      <c r="H107" s="57" t="s">
        <v>243</v>
      </c>
      <c r="I107" s="57" t="s">
        <v>244</v>
      </c>
      <c r="J107" s="57" t="s">
        <v>257</v>
      </c>
      <c r="K107" s="57" t="s">
        <v>268</v>
      </c>
      <c r="L107" s="57" t="s">
        <v>268</v>
      </c>
      <c r="M107" s="58" t="s">
        <v>242</v>
      </c>
      <c r="N107" s="59" t="s">
        <v>242</v>
      </c>
      <c r="O107" s="59" t="s">
        <v>242</v>
      </c>
      <c r="P107" s="59" t="s">
        <v>242</v>
      </c>
      <c r="Q107" s="59" t="s">
        <v>242</v>
      </c>
      <c r="R107" s="59" t="s">
        <v>242</v>
      </c>
      <c r="S107" s="59" t="s">
        <v>242</v>
      </c>
      <c r="T107" s="61" t="s">
        <v>242</v>
      </c>
      <c r="U107" s="56" t="s">
        <v>242</v>
      </c>
      <c r="V107" s="62">
        <v>100</v>
      </c>
      <c r="W107" s="63" t="s">
        <v>74</v>
      </c>
      <c r="X107" s="64" t="s">
        <v>259</v>
      </c>
    </row>
    <row r="108" spans="1:24" ht="15" customHeight="1" x14ac:dyDescent="0.2">
      <c r="A108" s="54" t="s">
        <v>241</v>
      </c>
      <c r="B108" s="55" t="s">
        <v>287</v>
      </c>
      <c r="C108" s="55" t="s">
        <v>249</v>
      </c>
      <c r="D108" s="55" t="s">
        <v>242</v>
      </c>
      <c r="E108" s="56" t="s">
        <v>242</v>
      </c>
      <c r="F108" s="56" t="s">
        <v>242</v>
      </c>
      <c r="G108" s="56" t="s">
        <v>251</v>
      </c>
      <c r="H108" s="57" t="s">
        <v>243</v>
      </c>
      <c r="I108" s="57" t="s">
        <v>244</v>
      </c>
      <c r="J108" s="57" t="s">
        <v>257</v>
      </c>
      <c r="K108" s="57" t="s">
        <v>268</v>
      </c>
      <c r="L108" s="57" t="s">
        <v>268</v>
      </c>
      <c r="M108" s="58" t="s">
        <v>242</v>
      </c>
      <c r="N108" s="59">
        <v>100</v>
      </c>
      <c r="O108" s="59" t="s">
        <v>242</v>
      </c>
      <c r="P108" s="59" t="s">
        <v>242</v>
      </c>
      <c r="Q108" s="59" t="s">
        <v>242</v>
      </c>
      <c r="R108" s="59">
        <v>100</v>
      </c>
      <c r="S108" s="59" t="s">
        <v>242</v>
      </c>
      <c r="T108" s="61" t="s">
        <v>242</v>
      </c>
      <c r="U108" s="56">
        <v>100</v>
      </c>
      <c r="V108" s="62"/>
      <c r="W108" s="63" t="s">
        <v>74</v>
      </c>
      <c r="X108" s="64" t="s">
        <v>259</v>
      </c>
    </row>
    <row r="109" spans="1:24" ht="15" customHeight="1" x14ac:dyDescent="0.2">
      <c r="A109" s="54" t="s">
        <v>241</v>
      </c>
      <c r="B109" s="55" t="s">
        <v>242</v>
      </c>
      <c r="C109" s="55" t="s">
        <v>242</v>
      </c>
      <c r="D109" s="55" t="s">
        <v>242</v>
      </c>
      <c r="E109" s="56" t="s">
        <v>242</v>
      </c>
      <c r="F109" s="56" t="s">
        <v>242</v>
      </c>
      <c r="G109" s="56" t="s">
        <v>242</v>
      </c>
      <c r="H109" s="57" t="s">
        <v>243</v>
      </c>
      <c r="I109" s="57" t="s">
        <v>244</v>
      </c>
      <c r="J109" s="57" t="s">
        <v>257</v>
      </c>
      <c r="K109" s="57" t="s">
        <v>269</v>
      </c>
      <c r="L109" s="57" t="s">
        <v>269</v>
      </c>
      <c r="M109" s="58" t="s">
        <v>242</v>
      </c>
      <c r="N109" s="59" t="s">
        <v>242</v>
      </c>
      <c r="O109" s="59" t="s">
        <v>242</v>
      </c>
      <c r="P109" s="59" t="s">
        <v>242</v>
      </c>
      <c r="Q109" s="59" t="s">
        <v>242</v>
      </c>
      <c r="R109" s="59" t="s">
        <v>242</v>
      </c>
      <c r="S109" s="59" t="s">
        <v>242</v>
      </c>
      <c r="T109" s="61" t="s">
        <v>242</v>
      </c>
      <c r="U109" s="56" t="s">
        <v>242</v>
      </c>
      <c r="V109" s="62">
        <v>4.59</v>
      </c>
      <c r="W109" s="63" t="s">
        <v>270</v>
      </c>
      <c r="X109" s="64" t="s">
        <v>259</v>
      </c>
    </row>
    <row r="110" spans="1:24" ht="15" customHeight="1" x14ac:dyDescent="0.2">
      <c r="A110" s="54" t="s">
        <v>241</v>
      </c>
      <c r="B110" s="55" t="s">
        <v>287</v>
      </c>
      <c r="C110" s="55" t="s">
        <v>249</v>
      </c>
      <c r="D110" s="55" t="s">
        <v>250</v>
      </c>
      <c r="E110" s="56" t="s">
        <v>41</v>
      </c>
      <c r="F110" s="56" t="s">
        <v>47</v>
      </c>
      <c r="G110" s="56" t="s">
        <v>251</v>
      </c>
      <c r="H110" s="57" t="s">
        <v>243</v>
      </c>
      <c r="I110" s="57" t="s">
        <v>244</v>
      </c>
      <c r="J110" s="57" t="s">
        <v>257</v>
      </c>
      <c r="K110" s="57" t="s">
        <v>269</v>
      </c>
      <c r="L110" s="57" t="s">
        <v>269</v>
      </c>
      <c r="M110" s="58" t="s">
        <v>242</v>
      </c>
      <c r="N110" s="59">
        <v>1</v>
      </c>
      <c r="O110" s="59">
        <v>1.7</v>
      </c>
      <c r="P110" s="59">
        <v>0.9</v>
      </c>
      <c r="Q110" s="59" t="s">
        <v>242</v>
      </c>
      <c r="R110" s="59">
        <v>1.53</v>
      </c>
      <c r="S110" s="59">
        <v>3</v>
      </c>
      <c r="T110" s="61" t="s">
        <v>242</v>
      </c>
      <c r="U110" s="56">
        <v>4.59</v>
      </c>
      <c r="V110" s="62"/>
      <c r="W110" s="63" t="s">
        <v>270</v>
      </c>
      <c r="X110" s="64" t="s">
        <v>259</v>
      </c>
    </row>
    <row r="111" spans="1:24" ht="15" customHeight="1" x14ac:dyDescent="0.2">
      <c r="A111" s="54" t="s">
        <v>241</v>
      </c>
      <c r="B111" s="55" t="s">
        <v>242</v>
      </c>
      <c r="C111" s="55" t="s">
        <v>242</v>
      </c>
      <c r="D111" s="55" t="s">
        <v>242</v>
      </c>
      <c r="E111" s="56" t="s">
        <v>242</v>
      </c>
      <c r="F111" s="56" t="s">
        <v>242</v>
      </c>
      <c r="G111" s="56" t="s">
        <v>242</v>
      </c>
      <c r="H111" s="57" t="s">
        <v>243</v>
      </c>
      <c r="I111" s="57" t="s">
        <v>244</v>
      </c>
      <c r="J111" s="57" t="s">
        <v>257</v>
      </c>
      <c r="K111" s="57" t="s">
        <v>271</v>
      </c>
      <c r="L111" s="57" t="s">
        <v>271</v>
      </c>
      <c r="M111" s="58" t="s">
        <v>242</v>
      </c>
      <c r="N111" s="59" t="s">
        <v>242</v>
      </c>
      <c r="O111" s="59" t="s">
        <v>242</v>
      </c>
      <c r="P111" s="59" t="s">
        <v>242</v>
      </c>
      <c r="Q111" s="59" t="s">
        <v>242</v>
      </c>
      <c r="R111" s="59" t="s">
        <v>242</v>
      </c>
      <c r="S111" s="59" t="s">
        <v>242</v>
      </c>
      <c r="T111" s="61" t="s">
        <v>242</v>
      </c>
      <c r="U111" s="56" t="s">
        <v>242</v>
      </c>
      <c r="V111" s="62">
        <v>295</v>
      </c>
      <c r="W111" s="63" t="s">
        <v>179</v>
      </c>
      <c r="X111" s="64" t="s">
        <v>259</v>
      </c>
    </row>
    <row r="112" spans="1:24" ht="15" customHeight="1" x14ac:dyDescent="0.2">
      <c r="A112" s="54" t="s">
        <v>241</v>
      </c>
      <c r="B112" s="55" t="s">
        <v>287</v>
      </c>
      <c r="C112" s="55" t="s">
        <v>249</v>
      </c>
      <c r="D112" s="55" t="s">
        <v>242</v>
      </c>
      <c r="E112" s="56" t="s">
        <v>242</v>
      </c>
      <c r="F112" s="56" t="s">
        <v>242</v>
      </c>
      <c r="G112" s="56" t="s">
        <v>251</v>
      </c>
      <c r="H112" s="57" t="s">
        <v>243</v>
      </c>
      <c r="I112" s="57" t="s">
        <v>244</v>
      </c>
      <c r="J112" s="57" t="s">
        <v>257</v>
      </c>
      <c r="K112" s="57" t="s">
        <v>271</v>
      </c>
      <c r="L112" s="57" t="s">
        <v>271</v>
      </c>
      <c r="M112" s="58" t="s">
        <v>51</v>
      </c>
      <c r="N112" s="59">
        <v>1</v>
      </c>
      <c r="O112" s="59">
        <v>118</v>
      </c>
      <c r="P112" s="59" t="s">
        <v>242</v>
      </c>
      <c r="Q112" s="59" t="s">
        <v>242</v>
      </c>
      <c r="R112" s="59">
        <v>118</v>
      </c>
      <c r="S112" s="59">
        <v>1</v>
      </c>
      <c r="T112" s="61" t="s">
        <v>242</v>
      </c>
      <c r="U112" s="56">
        <v>118</v>
      </c>
      <c r="V112" s="62"/>
      <c r="W112" s="63" t="s">
        <v>179</v>
      </c>
      <c r="X112" s="64" t="s">
        <v>259</v>
      </c>
    </row>
    <row r="113" spans="1:24" ht="15" customHeight="1" x14ac:dyDescent="0.2">
      <c r="A113" s="54" t="s">
        <v>241</v>
      </c>
      <c r="B113" s="55" t="s">
        <v>287</v>
      </c>
      <c r="C113" s="55" t="s">
        <v>249</v>
      </c>
      <c r="D113" s="55" t="s">
        <v>242</v>
      </c>
      <c r="E113" s="56" t="s">
        <v>242</v>
      </c>
      <c r="F113" s="56" t="s">
        <v>242</v>
      </c>
      <c r="G113" s="56" t="s">
        <v>251</v>
      </c>
      <c r="H113" s="57" t="s">
        <v>243</v>
      </c>
      <c r="I113" s="57" t="s">
        <v>244</v>
      </c>
      <c r="J113" s="57" t="s">
        <v>257</v>
      </c>
      <c r="K113" s="57" t="s">
        <v>271</v>
      </c>
      <c r="L113" s="57" t="s">
        <v>271</v>
      </c>
      <c r="M113" s="58" t="s">
        <v>49</v>
      </c>
      <c r="N113" s="59">
        <v>1</v>
      </c>
      <c r="O113" s="59" t="s">
        <v>286</v>
      </c>
      <c r="P113" s="59" t="s">
        <v>242</v>
      </c>
      <c r="Q113" s="59" t="s">
        <v>242</v>
      </c>
      <c r="R113" s="59">
        <v>8</v>
      </c>
      <c r="S113" s="59" t="s">
        <v>202</v>
      </c>
      <c r="T113" s="61" t="s">
        <v>242</v>
      </c>
      <c r="U113" s="56">
        <v>88</v>
      </c>
      <c r="V113" s="62"/>
      <c r="W113" s="63" t="s">
        <v>179</v>
      </c>
      <c r="X113" s="64" t="s">
        <v>259</v>
      </c>
    </row>
    <row r="114" spans="1:24" ht="15" customHeight="1" x14ac:dyDescent="0.2">
      <c r="A114" s="54" t="s">
        <v>241</v>
      </c>
      <c r="B114" s="55" t="s">
        <v>287</v>
      </c>
      <c r="C114" s="55" t="s">
        <v>249</v>
      </c>
      <c r="D114" s="55" t="s">
        <v>242</v>
      </c>
      <c r="E114" s="56" t="s">
        <v>242</v>
      </c>
      <c r="F114" s="56" t="s">
        <v>242</v>
      </c>
      <c r="G114" s="56" t="s">
        <v>251</v>
      </c>
      <c r="H114" s="57" t="s">
        <v>243</v>
      </c>
      <c r="I114" s="57" t="s">
        <v>244</v>
      </c>
      <c r="J114" s="57" t="s">
        <v>257</v>
      </c>
      <c r="K114" s="57" t="s">
        <v>271</v>
      </c>
      <c r="L114" s="57" t="s">
        <v>271</v>
      </c>
      <c r="M114" s="58" t="s">
        <v>52</v>
      </c>
      <c r="N114" s="59">
        <v>1</v>
      </c>
      <c r="O114" s="59" t="s">
        <v>290</v>
      </c>
      <c r="P114" s="59" t="s">
        <v>242</v>
      </c>
      <c r="Q114" s="59" t="s">
        <v>242</v>
      </c>
      <c r="R114" s="59">
        <v>59</v>
      </c>
      <c r="S114" s="59">
        <v>1</v>
      </c>
      <c r="T114" s="61" t="s">
        <v>242</v>
      </c>
      <c r="U114" s="56">
        <v>59</v>
      </c>
      <c r="V114" s="62"/>
      <c r="W114" s="63" t="s">
        <v>179</v>
      </c>
      <c r="X114" s="64" t="s">
        <v>259</v>
      </c>
    </row>
    <row r="115" spans="1:24" ht="15" customHeight="1" x14ac:dyDescent="0.2">
      <c r="A115" s="54" t="s">
        <v>241</v>
      </c>
      <c r="B115" s="55" t="s">
        <v>287</v>
      </c>
      <c r="C115" s="55" t="s">
        <v>249</v>
      </c>
      <c r="D115" s="55" t="s">
        <v>242</v>
      </c>
      <c r="E115" s="56" t="s">
        <v>242</v>
      </c>
      <c r="F115" s="56" t="s">
        <v>242</v>
      </c>
      <c r="G115" s="56" t="s">
        <v>251</v>
      </c>
      <c r="H115" s="57" t="s">
        <v>243</v>
      </c>
      <c r="I115" s="57" t="s">
        <v>244</v>
      </c>
      <c r="J115" s="57" t="s">
        <v>257</v>
      </c>
      <c r="K115" s="57" t="s">
        <v>271</v>
      </c>
      <c r="L115" s="57" t="s">
        <v>271</v>
      </c>
      <c r="M115" s="58" t="s">
        <v>50</v>
      </c>
      <c r="N115" s="59">
        <v>1</v>
      </c>
      <c r="O115" s="59" t="s">
        <v>291</v>
      </c>
      <c r="P115" s="59" t="s">
        <v>242</v>
      </c>
      <c r="Q115" s="59" t="s">
        <v>242</v>
      </c>
      <c r="R115" s="59">
        <v>30</v>
      </c>
      <c r="S115" s="59">
        <v>1</v>
      </c>
      <c r="T115" s="61" t="s">
        <v>242</v>
      </c>
      <c r="U115" s="56">
        <v>30</v>
      </c>
      <c r="V115" s="62"/>
      <c r="W115" s="63" t="s">
        <v>179</v>
      </c>
      <c r="X115" s="64" t="s">
        <v>259</v>
      </c>
    </row>
    <row r="116" spans="1:24" ht="15" customHeight="1" x14ac:dyDescent="0.2">
      <c r="A116" s="54" t="s">
        <v>241</v>
      </c>
      <c r="B116" s="55" t="s">
        <v>242</v>
      </c>
      <c r="C116" s="55" t="s">
        <v>242</v>
      </c>
      <c r="D116" s="55" t="s">
        <v>242</v>
      </c>
      <c r="E116" s="56" t="s">
        <v>242</v>
      </c>
      <c r="F116" s="56" t="s">
        <v>242</v>
      </c>
      <c r="G116" s="56" t="s">
        <v>242</v>
      </c>
      <c r="H116" s="57" t="s">
        <v>243</v>
      </c>
      <c r="I116" s="57" t="s">
        <v>244</v>
      </c>
      <c r="J116" s="57" t="s">
        <v>257</v>
      </c>
      <c r="K116" s="57" t="s">
        <v>275</v>
      </c>
      <c r="L116" s="57" t="s">
        <v>275</v>
      </c>
      <c r="M116" s="58" t="s">
        <v>242</v>
      </c>
      <c r="N116" s="59" t="s">
        <v>242</v>
      </c>
      <c r="O116" s="59" t="s">
        <v>242</v>
      </c>
      <c r="P116" s="59" t="s">
        <v>242</v>
      </c>
      <c r="Q116" s="59" t="s">
        <v>242</v>
      </c>
      <c r="R116" s="59" t="s">
        <v>242</v>
      </c>
      <c r="S116" s="59" t="s">
        <v>242</v>
      </c>
      <c r="T116" s="61" t="s">
        <v>242</v>
      </c>
      <c r="U116" s="56" t="s">
        <v>242</v>
      </c>
      <c r="V116" s="62">
        <v>10</v>
      </c>
      <c r="W116" s="63" t="s">
        <v>74</v>
      </c>
      <c r="X116" s="64" t="s">
        <v>259</v>
      </c>
    </row>
    <row r="117" spans="1:24" ht="15" customHeight="1" x14ac:dyDescent="0.2">
      <c r="A117" s="54" t="s">
        <v>241</v>
      </c>
      <c r="B117" s="55" t="s">
        <v>287</v>
      </c>
      <c r="C117" s="55" t="s">
        <v>249</v>
      </c>
      <c r="D117" s="55" t="s">
        <v>242</v>
      </c>
      <c r="E117" s="56" t="s">
        <v>223</v>
      </c>
      <c r="F117" s="56" t="s">
        <v>42</v>
      </c>
      <c r="G117" s="56" t="s">
        <v>251</v>
      </c>
      <c r="H117" s="57" t="s">
        <v>243</v>
      </c>
      <c r="I117" s="57" t="s">
        <v>244</v>
      </c>
      <c r="J117" s="57" t="s">
        <v>257</v>
      </c>
      <c r="K117" s="57" t="s">
        <v>275</v>
      </c>
      <c r="L117" s="57" t="s">
        <v>275</v>
      </c>
      <c r="M117" s="58" t="s">
        <v>242</v>
      </c>
      <c r="N117" s="59">
        <v>10</v>
      </c>
      <c r="O117" s="59" t="s">
        <v>242</v>
      </c>
      <c r="P117" s="59" t="s">
        <v>242</v>
      </c>
      <c r="Q117" s="59" t="s">
        <v>242</v>
      </c>
      <c r="R117" s="59">
        <v>10</v>
      </c>
      <c r="S117" s="59">
        <v>1</v>
      </c>
      <c r="T117" s="61" t="s">
        <v>242</v>
      </c>
      <c r="U117" s="56">
        <v>10</v>
      </c>
      <c r="V117" s="62"/>
      <c r="W117" s="63" t="s">
        <v>74</v>
      </c>
      <c r="X117" s="64" t="s">
        <v>259</v>
      </c>
    </row>
    <row r="118" spans="1:24" ht="15" customHeight="1" x14ac:dyDescent="0.2">
      <c r="A118" s="54" t="s">
        <v>241</v>
      </c>
      <c r="B118" s="55" t="s">
        <v>242</v>
      </c>
      <c r="C118" s="55" t="s">
        <v>242</v>
      </c>
      <c r="D118" s="55" t="s">
        <v>242</v>
      </c>
      <c r="E118" s="56" t="s">
        <v>242</v>
      </c>
      <c r="F118" s="56" t="s">
        <v>242</v>
      </c>
      <c r="G118" s="56" t="s">
        <v>242</v>
      </c>
      <c r="H118" s="57" t="s">
        <v>243</v>
      </c>
      <c r="I118" s="57" t="s">
        <v>244</v>
      </c>
      <c r="J118" s="57" t="s">
        <v>257</v>
      </c>
      <c r="K118" s="57" t="s">
        <v>276</v>
      </c>
      <c r="L118" s="57" t="s">
        <v>276</v>
      </c>
      <c r="M118" s="58" t="s">
        <v>242</v>
      </c>
      <c r="N118" s="59" t="s">
        <v>242</v>
      </c>
      <c r="O118" s="59" t="s">
        <v>242</v>
      </c>
      <c r="P118" s="59" t="s">
        <v>242</v>
      </c>
      <c r="Q118" s="59" t="s">
        <v>242</v>
      </c>
      <c r="R118" s="59" t="s">
        <v>242</v>
      </c>
      <c r="S118" s="59" t="s">
        <v>242</v>
      </c>
      <c r="T118" s="61" t="s">
        <v>242</v>
      </c>
      <c r="U118" s="56" t="s">
        <v>242</v>
      </c>
      <c r="V118" s="62">
        <v>5.6</v>
      </c>
      <c r="W118" s="63" t="s">
        <v>270</v>
      </c>
      <c r="X118" s="64" t="s">
        <v>259</v>
      </c>
    </row>
    <row r="119" spans="1:24" ht="15" customHeight="1" x14ac:dyDescent="0.2">
      <c r="A119" s="54" t="s">
        <v>241</v>
      </c>
      <c r="B119" s="55" t="s">
        <v>287</v>
      </c>
      <c r="C119" s="55" t="s">
        <v>249</v>
      </c>
      <c r="D119" s="55" t="s">
        <v>254</v>
      </c>
      <c r="E119" s="56" t="s">
        <v>53</v>
      </c>
      <c r="F119" s="56" t="s">
        <v>47</v>
      </c>
      <c r="G119" s="56" t="s">
        <v>251</v>
      </c>
      <c r="H119" s="57" t="s">
        <v>243</v>
      </c>
      <c r="I119" s="57" t="s">
        <v>244</v>
      </c>
      <c r="J119" s="57" t="s">
        <v>257</v>
      </c>
      <c r="K119" s="57" t="s">
        <v>276</v>
      </c>
      <c r="L119" s="57" t="s">
        <v>276</v>
      </c>
      <c r="M119" s="58" t="s">
        <v>242</v>
      </c>
      <c r="N119" s="59">
        <v>1</v>
      </c>
      <c r="O119" s="59">
        <v>20</v>
      </c>
      <c r="P119" s="59">
        <v>0.2</v>
      </c>
      <c r="Q119" s="59" t="s">
        <v>242</v>
      </c>
      <c r="R119" s="59">
        <v>4</v>
      </c>
      <c r="S119" s="59">
        <v>1</v>
      </c>
      <c r="T119" s="61" t="s">
        <v>242</v>
      </c>
      <c r="U119" s="56">
        <v>4</v>
      </c>
      <c r="V119" s="62"/>
      <c r="W119" s="63" t="s">
        <v>270</v>
      </c>
      <c r="X119" s="64" t="s">
        <v>259</v>
      </c>
    </row>
    <row r="120" spans="1:24" ht="15" customHeight="1" x14ac:dyDescent="0.2">
      <c r="A120" s="54" t="s">
        <v>241</v>
      </c>
      <c r="B120" s="55" t="s">
        <v>287</v>
      </c>
      <c r="C120" s="55" t="s">
        <v>249</v>
      </c>
      <c r="D120" s="55" t="s">
        <v>250</v>
      </c>
      <c r="E120" s="56" t="s">
        <v>41</v>
      </c>
      <c r="F120" s="56" t="s">
        <v>44</v>
      </c>
      <c r="G120" s="56" t="s">
        <v>251</v>
      </c>
      <c r="H120" s="57" t="s">
        <v>243</v>
      </c>
      <c r="I120" s="57" t="s">
        <v>244</v>
      </c>
      <c r="J120" s="57" t="s">
        <v>257</v>
      </c>
      <c r="K120" s="57" t="s">
        <v>276</v>
      </c>
      <c r="L120" s="57" t="s">
        <v>276</v>
      </c>
      <c r="M120" s="58" t="s">
        <v>242</v>
      </c>
      <c r="N120" s="59">
        <v>1</v>
      </c>
      <c r="O120" s="59">
        <v>8</v>
      </c>
      <c r="P120" s="59">
        <v>0.2</v>
      </c>
      <c r="Q120" s="59" t="s">
        <v>242</v>
      </c>
      <c r="R120" s="59">
        <v>1.6</v>
      </c>
      <c r="S120" s="59">
        <v>1</v>
      </c>
      <c r="T120" s="61" t="s">
        <v>242</v>
      </c>
      <c r="U120" s="56">
        <v>1.6</v>
      </c>
      <c r="V120" s="62"/>
      <c r="W120" s="63" t="s">
        <v>270</v>
      </c>
      <c r="X120" s="64" t="s">
        <v>259</v>
      </c>
    </row>
    <row r="121" spans="1:24" ht="15" customHeight="1" x14ac:dyDescent="0.25">
      <c r="A121" s="48"/>
      <c r="B121" s="49"/>
      <c r="C121" s="48"/>
      <c r="D121" s="48"/>
      <c r="E121" s="53"/>
      <c r="F121" s="46"/>
      <c r="G121" s="46"/>
      <c r="H121" s="46"/>
      <c r="I121" s="46"/>
      <c r="J121" s="46"/>
      <c r="K121" s="46"/>
      <c r="L121" s="46"/>
      <c r="M121" s="48"/>
      <c r="N121" s="48"/>
      <c r="O121" s="49"/>
      <c r="P121" s="48"/>
      <c r="Q121" s="48"/>
      <c r="R121" s="48"/>
      <c r="S121" s="46"/>
      <c r="T121" s="48"/>
      <c r="U121" s="48"/>
      <c r="V121" s="25"/>
      <c r="W121" s="25"/>
      <c r="X121" s="25"/>
    </row>
    <row r="122" spans="1:24" ht="15" customHeight="1" x14ac:dyDescent="0.25">
      <c r="A122" s="48"/>
      <c r="B122" s="49"/>
      <c r="C122" s="48"/>
      <c r="D122" s="48"/>
      <c r="E122" s="53"/>
      <c r="F122" s="46"/>
      <c r="G122" s="46"/>
      <c r="H122" s="46"/>
      <c r="I122" s="46"/>
      <c r="J122" s="46"/>
      <c r="K122" s="46"/>
      <c r="L122" s="46"/>
      <c r="M122" s="48"/>
      <c r="N122" s="48"/>
      <c r="O122" s="49"/>
      <c r="P122" s="48"/>
      <c r="Q122" s="48"/>
      <c r="R122" s="48"/>
      <c r="S122" s="46"/>
      <c r="T122" s="48"/>
      <c r="U122" s="48"/>
      <c r="V122" s="25"/>
      <c r="W122" s="25"/>
      <c r="X122" s="25"/>
    </row>
    <row r="123" spans="1:24" ht="15" customHeight="1" x14ac:dyDescent="0.2">
      <c r="A123" s="54" t="s">
        <v>241</v>
      </c>
      <c r="B123" s="55" t="s">
        <v>242</v>
      </c>
      <c r="C123" s="55" t="s">
        <v>242</v>
      </c>
      <c r="D123" s="55" t="s">
        <v>242</v>
      </c>
      <c r="E123" s="56" t="s">
        <v>242</v>
      </c>
      <c r="F123" s="56" t="s">
        <v>242</v>
      </c>
      <c r="G123" s="56" t="s">
        <v>242</v>
      </c>
      <c r="H123" s="57" t="s">
        <v>243</v>
      </c>
      <c r="I123" s="57" t="s">
        <v>244</v>
      </c>
      <c r="J123" s="57" t="s">
        <v>245</v>
      </c>
      <c r="K123" s="57" t="s">
        <v>253</v>
      </c>
      <c r="L123" s="57" t="s">
        <v>253</v>
      </c>
      <c r="M123" s="58" t="s">
        <v>242</v>
      </c>
      <c r="N123" s="59" t="s">
        <v>242</v>
      </c>
      <c r="O123" s="59" t="s">
        <v>242</v>
      </c>
      <c r="P123" s="59" t="s">
        <v>242</v>
      </c>
      <c r="Q123" s="59" t="s">
        <v>242</v>
      </c>
      <c r="R123" s="59" t="s">
        <v>242</v>
      </c>
      <c r="S123" s="60" t="s">
        <v>242</v>
      </c>
      <c r="T123" s="61" t="s">
        <v>242</v>
      </c>
      <c r="U123" s="56" t="s">
        <v>242</v>
      </c>
      <c r="V123" s="62">
        <v>2.7</v>
      </c>
      <c r="W123" s="63" t="s">
        <v>179</v>
      </c>
      <c r="X123" s="64" t="s">
        <v>247</v>
      </c>
    </row>
    <row r="124" spans="1:24" ht="15" customHeight="1" x14ac:dyDescent="0.2">
      <c r="A124" s="54" t="s">
        <v>241</v>
      </c>
      <c r="B124" s="55" t="s">
        <v>292</v>
      </c>
      <c r="C124" s="55" t="s">
        <v>249</v>
      </c>
      <c r="D124" s="55" t="s">
        <v>242</v>
      </c>
      <c r="E124" s="56" t="s">
        <v>222</v>
      </c>
      <c r="F124" s="56" t="s">
        <v>42</v>
      </c>
      <c r="G124" s="56" t="s">
        <v>251</v>
      </c>
      <c r="H124" s="57" t="s">
        <v>243</v>
      </c>
      <c r="I124" s="57" t="s">
        <v>244</v>
      </c>
      <c r="J124" s="57" t="s">
        <v>245</v>
      </c>
      <c r="K124" s="57" t="s">
        <v>253</v>
      </c>
      <c r="L124" s="57" t="s">
        <v>253</v>
      </c>
      <c r="M124" s="58" t="s">
        <v>242</v>
      </c>
      <c r="N124" s="59">
        <v>1</v>
      </c>
      <c r="O124" s="59">
        <v>2.7</v>
      </c>
      <c r="P124" s="59" t="s">
        <v>242</v>
      </c>
      <c r="Q124" s="59" t="s">
        <v>242</v>
      </c>
      <c r="R124" s="59">
        <v>2.7</v>
      </c>
      <c r="S124" s="59">
        <v>1</v>
      </c>
      <c r="T124" s="61" t="s">
        <v>242</v>
      </c>
      <c r="U124" s="56">
        <v>2.7</v>
      </c>
      <c r="V124" s="62"/>
      <c r="W124" s="63" t="s">
        <v>179</v>
      </c>
      <c r="X124" s="64" t="s">
        <v>247</v>
      </c>
    </row>
    <row r="125" spans="1:24" ht="15" customHeight="1" x14ac:dyDescent="0.2">
      <c r="A125" s="54" t="s">
        <v>241</v>
      </c>
      <c r="B125" s="55" t="s">
        <v>242</v>
      </c>
      <c r="C125" s="55" t="s">
        <v>242</v>
      </c>
      <c r="D125" s="55" t="s">
        <v>242</v>
      </c>
      <c r="E125" s="56" t="s">
        <v>242</v>
      </c>
      <c r="F125" s="56" t="s">
        <v>242</v>
      </c>
      <c r="G125" s="56" t="s">
        <v>242</v>
      </c>
      <c r="H125" s="57" t="s">
        <v>243</v>
      </c>
      <c r="I125" s="57" t="s">
        <v>244</v>
      </c>
      <c r="J125" s="57" t="s">
        <v>245</v>
      </c>
      <c r="K125" s="57" t="s">
        <v>255</v>
      </c>
      <c r="L125" s="57" t="s">
        <v>255</v>
      </c>
      <c r="M125" s="58" t="s">
        <v>242</v>
      </c>
      <c r="N125" s="59" t="s">
        <v>242</v>
      </c>
      <c r="O125" s="59" t="s">
        <v>242</v>
      </c>
      <c r="P125" s="59" t="s">
        <v>242</v>
      </c>
      <c r="Q125" s="59" t="s">
        <v>242</v>
      </c>
      <c r="R125" s="59" t="s">
        <v>242</v>
      </c>
      <c r="S125" s="59" t="s">
        <v>242</v>
      </c>
      <c r="T125" s="61" t="s">
        <v>242</v>
      </c>
      <c r="U125" s="56" t="s">
        <v>242</v>
      </c>
      <c r="V125" s="62">
        <v>4</v>
      </c>
      <c r="W125" s="63" t="s">
        <v>179</v>
      </c>
      <c r="X125" s="64" t="s">
        <v>247</v>
      </c>
    </row>
    <row r="126" spans="1:24" ht="15" customHeight="1" x14ac:dyDescent="0.2">
      <c r="A126" s="54" t="s">
        <v>241</v>
      </c>
      <c r="B126" s="55" t="s">
        <v>292</v>
      </c>
      <c r="C126" s="55" t="s">
        <v>249</v>
      </c>
      <c r="D126" s="55" t="s">
        <v>252</v>
      </c>
      <c r="E126" s="56" t="s">
        <v>48</v>
      </c>
      <c r="F126" s="56" t="s">
        <v>47</v>
      </c>
      <c r="G126" s="56" t="s">
        <v>251</v>
      </c>
      <c r="H126" s="57" t="s">
        <v>243</v>
      </c>
      <c r="I126" s="57" t="s">
        <v>244</v>
      </c>
      <c r="J126" s="57" t="s">
        <v>245</v>
      </c>
      <c r="K126" s="57" t="s">
        <v>255</v>
      </c>
      <c r="L126" s="57" t="s">
        <v>255</v>
      </c>
      <c r="M126" s="58" t="s">
        <v>242</v>
      </c>
      <c r="N126" s="59">
        <v>1</v>
      </c>
      <c r="O126" s="59">
        <v>4</v>
      </c>
      <c r="P126" s="59" t="s">
        <v>242</v>
      </c>
      <c r="Q126" s="59" t="s">
        <v>242</v>
      </c>
      <c r="R126" s="59">
        <v>4</v>
      </c>
      <c r="S126" s="59">
        <v>1</v>
      </c>
      <c r="T126" s="61" t="s">
        <v>242</v>
      </c>
      <c r="U126" s="56">
        <v>4</v>
      </c>
      <c r="V126" s="62"/>
      <c r="W126" s="63" t="s">
        <v>179</v>
      </c>
      <c r="X126" s="64" t="s">
        <v>247</v>
      </c>
    </row>
    <row r="127" spans="1:24" ht="15" customHeight="1" x14ac:dyDescent="0.2">
      <c r="A127" s="54" t="s">
        <v>241</v>
      </c>
      <c r="B127" s="55" t="s">
        <v>242</v>
      </c>
      <c r="C127" s="55" t="s">
        <v>242</v>
      </c>
      <c r="D127" s="55" t="s">
        <v>242</v>
      </c>
      <c r="E127" s="56" t="s">
        <v>242</v>
      </c>
      <c r="F127" s="56" t="s">
        <v>242</v>
      </c>
      <c r="G127" s="56" t="s">
        <v>242</v>
      </c>
      <c r="H127" s="57" t="s">
        <v>243</v>
      </c>
      <c r="I127" s="57" t="s">
        <v>244</v>
      </c>
      <c r="J127" s="57" t="s">
        <v>257</v>
      </c>
      <c r="K127" s="57" t="s">
        <v>258</v>
      </c>
      <c r="L127" s="57" t="s">
        <v>258</v>
      </c>
      <c r="M127" s="58" t="s">
        <v>242</v>
      </c>
      <c r="N127" s="59" t="s">
        <v>242</v>
      </c>
      <c r="O127" s="59" t="s">
        <v>242</v>
      </c>
      <c r="P127" s="59" t="s">
        <v>242</v>
      </c>
      <c r="Q127" s="59" t="s">
        <v>242</v>
      </c>
      <c r="R127" s="59" t="s">
        <v>242</v>
      </c>
      <c r="S127" s="59" t="s">
        <v>242</v>
      </c>
      <c r="T127" s="61" t="s">
        <v>242</v>
      </c>
      <c r="U127" s="56" t="s">
        <v>242</v>
      </c>
      <c r="V127" s="62">
        <v>32</v>
      </c>
      <c r="W127" s="63" t="s">
        <v>179</v>
      </c>
      <c r="X127" s="64" t="s">
        <v>259</v>
      </c>
    </row>
    <row r="128" spans="1:24" ht="15" customHeight="1" x14ac:dyDescent="0.2">
      <c r="A128" s="54" t="s">
        <v>241</v>
      </c>
      <c r="B128" s="55" t="s">
        <v>292</v>
      </c>
      <c r="C128" s="55" t="s">
        <v>249</v>
      </c>
      <c r="D128" s="55" t="s">
        <v>242</v>
      </c>
      <c r="E128" s="56" t="s">
        <v>223</v>
      </c>
      <c r="F128" s="56" t="s">
        <v>42</v>
      </c>
      <c r="G128" s="56" t="s">
        <v>251</v>
      </c>
      <c r="H128" s="57" t="s">
        <v>243</v>
      </c>
      <c r="I128" s="57" t="s">
        <v>244</v>
      </c>
      <c r="J128" s="57" t="s">
        <v>257</v>
      </c>
      <c r="K128" s="57" t="s">
        <v>258</v>
      </c>
      <c r="L128" s="57" t="s">
        <v>258</v>
      </c>
      <c r="M128" s="58" t="s">
        <v>242</v>
      </c>
      <c r="N128" s="59">
        <v>1</v>
      </c>
      <c r="O128" s="59">
        <v>32</v>
      </c>
      <c r="P128" s="59" t="s">
        <v>242</v>
      </c>
      <c r="Q128" s="59" t="s">
        <v>242</v>
      </c>
      <c r="R128" s="59">
        <v>32</v>
      </c>
      <c r="S128" s="59">
        <v>1</v>
      </c>
      <c r="T128" s="61" t="s">
        <v>242</v>
      </c>
      <c r="U128" s="56">
        <v>32</v>
      </c>
      <c r="V128" s="62"/>
      <c r="W128" s="63" t="s">
        <v>179</v>
      </c>
      <c r="X128" s="64" t="s">
        <v>259</v>
      </c>
    </row>
    <row r="129" spans="1:24" ht="15" customHeight="1" x14ac:dyDescent="0.2">
      <c r="A129" s="54" t="s">
        <v>241</v>
      </c>
      <c r="B129" s="55" t="s">
        <v>242</v>
      </c>
      <c r="C129" s="55" t="s">
        <v>242</v>
      </c>
      <c r="D129" s="55" t="s">
        <v>242</v>
      </c>
      <c r="E129" s="56" t="s">
        <v>242</v>
      </c>
      <c r="F129" s="56" t="s">
        <v>242</v>
      </c>
      <c r="G129" s="56" t="s">
        <v>242</v>
      </c>
      <c r="H129" s="57" t="s">
        <v>243</v>
      </c>
      <c r="I129" s="57" t="s">
        <v>244</v>
      </c>
      <c r="J129" s="57" t="s">
        <v>257</v>
      </c>
      <c r="K129" s="57" t="s">
        <v>261</v>
      </c>
      <c r="L129" s="57" t="s">
        <v>261</v>
      </c>
      <c r="M129" s="58" t="s">
        <v>242</v>
      </c>
      <c r="N129" s="59" t="s">
        <v>242</v>
      </c>
      <c r="O129" s="59" t="s">
        <v>242</v>
      </c>
      <c r="P129" s="59" t="s">
        <v>242</v>
      </c>
      <c r="Q129" s="59" t="s">
        <v>242</v>
      </c>
      <c r="R129" s="59" t="s">
        <v>242</v>
      </c>
      <c r="S129" s="59" t="s">
        <v>242</v>
      </c>
      <c r="T129" s="61" t="s">
        <v>242</v>
      </c>
      <c r="U129" s="56" t="s">
        <v>242</v>
      </c>
      <c r="V129" s="62">
        <v>200</v>
      </c>
      <c r="W129" s="63" t="s">
        <v>262</v>
      </c>
      <c r="X129" s="64" t="s">
        <v>259</v>
      </c>
    </row>
    <row r="130" spans="1:24" ht="15" customHeight="1" x14ac:dyDescent="0.2">
      <c r="A130" s="54" t="s">
        <v>241</v>
      </c>
      <c r="B130" s="55" t="s">
        <v>292</v>
      </c>
      <c r="C130" s="55" t="s">
        <v>249</v>
      </c>
      <c r="D130" s="55" t="s">
        <v>242</v>
      </c>
      <c r="E130" s="56" t="s">
        <v>242</v>
      </c>
      <c r="F130" s="56" t="s">
        <v>242</v>
      </c>
      <c r="G130" s="56" t="s">
        <v>251</v>
      </c>
      <c r="H130" s="57" t="s">
        <v>243</v>
      </c>
      <c r="I130" s="57" t="s">
        <v>244</v>
      </c>
      <c r="J130" s="57" t="s">
        <v>257</v>
      </c>
      <c r="K130" s="57" t="s">
        <v>261</v>
      </c>
      <c r="L130" s="57" t="s">
        <v>261</v>
      </c>
      <c r="M130" s="58" t="s">
        <v>242</v>
      </c>
      <c r="N130" s="59">
        <v>200</v>
      </c>
      <c r="O130" s="59" t="s">
        <v>242</v>
      </c>
      <c r="P130" s="59" t="s">
        <v>242</v>
      </c>
      <c r="Q130" s="59" t="s">
        <v>242</v>
      </c>
      <c r="R130" s="59">
        <v>200</v>
      </c>
      <c r="S130" s="59">
        <v>1</v>
      </c>
      <c r="T130" s="61" t="s">
        <v>242</v>
      </c>
      <c r="U130" s="56">
        <v>200</v>
      </c>
      <c r="V130" s="62"/>
      <c r="W130" s="63" t="s">
        <v>262</v>
      </c>
      <c r="X130" s="64" t="s">
        <v>259</v>
      </c>
    </row>
    <row r="131" spans="1:24" ht="15" customHeight="1" x14ac:dyDescent="0.2">
      <c r="A131" s="54" t="s">
        <v>241</v>
      </c>
      <c r="B131" s="55" t="s">
        <v>242</v>
      </c>
      <c r="C131" s="55" t="s">
        <v>242</v>
      </c>
      <c r="D131" s="55" t="s">
        <v>242</v>
      </c>
      <c r="E131" s="56" t="s">
        <v>242</v>
      </c>
      <c r="F131" s="56" t="s">
        <v>242</v>
      </c>
      <c r="G131" s="56" t="s">
        <v>242</v>
      </c>
      <c r="H131" s="57" t="s">
        <v>243</v>
      </c>
      <c r="I131" s="57" t="s">
        <v>244</v>
      </c>
      <c r="J131" s="57" t="s">
        <v>257</v>
      </c>
      <c r="K131" s="57" t="s">
        <v>280</v>
      </c>
      <c r="L131" s="57" t="s">
        <v>280</v>
      </c>
      <c r="M131" s="58" t="s">
        <v>242</v>
      </c>
      <c r="N131" s="59" t="s">
        <v>242</v>
      </c>
      <c r="O131" s="59" t="s">
        <v>242</v>
      </c>
      <c r="P131" s="59" t="s">
        <v>242</v>
      </c>
      <c r="Q131" s="59" t="s">
        <v>242</v>
      </c>
      <c r="R131" s="59" t="s">
        <v>242</v>
      </c>
      <c r="S131" s="59" t="s">
        <v>242</v>
      </c>
      <c r="T131" s="61" t="s">
        <v>242</v>
      </c>
      <c r="U131" s="56" t="s">
        <v>242</v>
      </c>
      <c r="V131" s="62">
        <v>2000</v>
      </c>
      <c r="W131" s="63" t="s">
        <v>262</v>
      </c>
      <c r="X131" s="64" t="s">
        <v>259</v>
      </c>
    </row>
    <row r="132" spans="1:24" ht="15" customHeight="1" x14ac:dyDescent="0.2">
      <c r="A132" s="54" t="s">
        <v>241</v>
      </c>
      <c r="B132" s="55" t="s">
        <v>292</v>
      </c>
      <c r="C132" s="55" t="s">
        <v>249</v>
      </c>
      <c r="D132" s="55" t="s">
        <v>242</v>
      </c>
      <c r="E132" s="56" t="s">
        <v>242</v>
      </c>
      <c r="F132" s="56" t="s">
        <v>242</v>
      </c>
      <c r="G132" s="56" t="s">
        <v>251</v>
      </c>
      <c r="H132" s="57" t="s">
        <v>243</v>
      </c>
      <c r="I132" s="57" t="s">
        <v>244</v>
      </c>
      <c r="J132" s="57" t="s">
        <v>257</v>
      </c>
      <c r="K132" s="57" t="s">
        <v>280</v>
      </c>
      <c r="L132" s="57" t="s">
        <v>280</v>
      </c>
      <c r="M132" s="58" t="s">
        <v>242</v>
      </c>
      <c r="N132" s="59">
        <v>2000</v>
      </c>
      <c r="O132" s="59" t="s">
        <v>242</v>
      </c>
      <c r="P132" s="59" t="s">
        <v>242</v>
      </c>
      <c r="Q132" s="59" t="s">
        <v>242</v>
      </c>
      <c r="R132" s="59">
        <v>2000</v>
      </c>
      <c r="S132" s="59">
        <v>1</v>
      </c>
      <c r="T132" s="61" t="s">
        <v>242</v>
      </c>
      <c r="U132" s="56">
        <v>2000</v>
      </c>
      <c r="V132" s="62"/>
      <c r="W132" s="63" t="s">
        <v>262</v>
      </c>
      <c r="X132" s="64" t="s">
        <v>259</v>
      </c>
    </row>
    <row r="133" spans="1:24" ht="15" customHeight="1" x14ac:dyDescent="0.2">
      <c r="A133" s="54" t="s">
        <v>241</v>
      </c>
      <c r="B133" s="55" t="s">
        <v>242</v>
      </c>
      <c r="C133" s="55" t="s">
        <v>242</v>
      </c>
      <c r="D133" s="55" t="s">
        <v>242</v>
      </c>
      <c r="E133" s="56" t="s">
        <v>242</v>
      </c>
      <c r="F133" s="56" t="s">
        <v>242</v>
      </c>
      <c r="G133" s="56" t="s">
        <v>242</v>
      </c>
      <c r="H133" s="57" t="s">
        <v>243</v>
      </c>
      <c r="I133" s="57" t="s">
        <v>244</v>
      </c>
      <c r="J133" s="57" t="s">
        <v>257</v>
      </c>
      <c r="K133" s="57" t="s">
        <v>264</v>
      </c>
      <c r="L133" s="57" t="s">
        <v>264</v>
      </c>
      <c r="M133" s="58" t="s">
        <v>242</v>
      </c>
      <c r="N133" s="59" t="s">
        <v>242</v>
      </c>
      <c r="O133" s="59" t="s">
        <v>242</v>
      </c>
      <c r="P133" s="59" t="s">
        <v>242</v>
      </c>
      <c r="Q133" s="59" t="s">
        <v>242</v>
      </c>
      <c r="R133" s="59" t="s">
        <v>242</v>
      </c>
      <c r="S133" s="59" t="s">
        <v>242</v>
      </c>
      <c r="T133" s="61" t="s">
        <v>242</v>
      </c>
      <c r="U133" s="56" t="s">
        <v>242</v>
      </c>
      <c r="V133" s="62">
        <v>86.19</v>
      </c>
      <c r="W133" s="63" t="s">
        <v>99</v>
      </c>
      <c r="X133" s="64" t="s">
        <v>259</v>
      </c>
    </row>
    <row r="134" spans="1:24" ht="15" customHeight="1" x14ac:dyDescent="0.2">
      <c r="A134" s="54" t="s">
        <v>241</v>
      </c>
      <c r="B134" s="55" t="s">
        <v>292</v>
      </c>
      <c r="C134" s="55" t="s">
        <v>249</v>
      </c>
      <c r="D134" s="55" t="s">
        <v>242</v>
      </c>
      <c r="E134" s="56" t="s">
        <v>242</v>
      </c>
      <c r="F134" s="56" t="s">
        <v>242</v>
      </c>
      <c r="G134" s="56" t="s">
        <v>251</v>
      </c>
      <c r="H134" s="57" t="s">
        <v>243</v>
      </c>
      <c r="I134" s="57" t="s">
        <v>244</v>
      </c>
      <c r="J134" s="57" t="s">
        <v>257</v>
      </c>
      <c r="K134" s="57" t="s">
        <v>264</v>
      </c>
      <c r="L134" s="57" t="s">
        <v>264</v>
      </c>
      <c r="M134" s="58" t="s">
        <v>242</v>
      </c>
      <c r="N134" s="59">
        <v>86.19</v>
      </c>
      <c r="O134" s="59" t="s">
        <v>242</v>
      </c>
      <c r="P134" s="59" t="s">
        <v>242</v>
      </c>
      <c r="Q134" s="59" t="s">
        <v>242</v>
      </c>
      <c r="R134" s="59">
        <v>86.19</v>
      </c>
      <c r="S134" s="59">
        <v>1</v>
      </c>
      <c r="T134" s="61" t="s">
        <v>242</v>
      </c>
      <c r="U134" s="56">
        <v>86.19</v>
      </c>
      <c r="V134" s="62"/>
      <c r="W134" s="63" t="s">
        <v>99</v>
      </c>
      <c r="X134" s="64" t="s">
        <v>259</v>
      </c>
    </row>
    <row r="135" spans="1:24" ht="15" customHeight="1" x14ac:dyDescent="0.2">
      <c r="A135" s="54" t="s">
        <v>241</v>
      </c>
      <c r="B135" s="55" t="s">
        <v>242</v>
      </c>
      <c r="C135" s="55" t="s">
        <v>242</v>
      </c>
      <c r="D135" s="55" t="s">
        <v>242</v>
      </c>
      <c r="E135" s="56" t="s">
        <v>242</v>
      </c>
      <c r="F135" s="56" t="s">
        <v>242</v>
      </c>
      <c r="G135" s="56" t="s">
        <v>242</v>
      </c>
      <c r="H135" s="57" t="s">
        <v>243</v>
      </c>
      <c r="I135" s="57" t="s">
        <v>244</v>
      </c>
      <c r="J135" s="57" t="s">
        <v>257</v>
      </c>
      <c r="K135" s="57" t="s">
        <v>266</v>
      </c>
      <c r="L135" s="57" t="s">
        <v>266</v>
      </c>
      <c r="M135" s="58" t="s">
        <v>242</v>
      </c>
      <c r="N135" s="59" t="s">
        <v>242</v>
      </c>
      <c r="O135" s="59" t="s">
        <v>242</v>
      </c>
      <c r="P135" s="59" t="s">
        <v>242</v>
      </c>
      <c r="Q135" s="59" t="s">
        <v>242</v>
      </c>
      <c r="R135" s="59" t="s">
        <v>242</v>
      </c>
      <c r="S135" s="59" t="s">
        <v>242</v>
      </c>
      <c r="T135" s="61" t="s">
        <v>242</v>
      </c>
      <c r="U135" s="56" t="s">
        <v>242</v>
      </c>
      <c r="V135" s="62">
        <v>8</v>
      </c>
      <c r="W135" s="63" t="s">
        <v>179</v>
      </c>
      <c r="X135" s="64" t="s">
        <v>259</v>
      </c>
    </row>
    <row r="136" spans="1:24" ht="15" customHeight="1" x14ac:dyDescent="0.2">
      <c r="A136" s="54" t="s">
        <v>241</v>
      </c>
      <c r="B136" s="55" t="s">
        <v>292</v>
      </c>
      <c r="C136" s="55" t="s">
        <v>249</v>
      </c>
      <c r="D136" s="55" t="s">
        <v>254</v>
      </c>
      <c r="E136" s="56" t="s">
        <v>45</v>
      </c>
      <c r="F136" s="56" t="s">
        <v>42</v>
      </c>
      <c r="G136" s="56" t="s">
        <v>251</v>
      </c>
      <c r="H136" s="57" t="s">
        <v>243</v>
      </c>
      <c r="I136" s="57" t="s">
        <v>244</v>
      </c>
      <c r="J136" s="57" t="s">
        <v>257</v>
      </c>
      <c r="K136" s="57" t="s">
        <v>266</v>
      </c>
      <c r="L136" s="57" t="s">
        <v>266</v>
      </c>
      <c r="M136" s="58" t="s">
        <v>242</v>
      </c>
      <c r="N136" s="59">
        <v>1</v>
      </c>
      <c r="O136" s="59">
        <v>8</v>
      </c>
      <c r="P136" s="59" t="s">
        <v>242</v>
      </c>
      <c r="Q136" s="59" t="s">
        <v>242</v>
      </c>
      <c r="R136" s="59">
        <v>8</v>
      </c>
      <c r="S136" s="59">
        <v>1</v>
      </c>
      <c r="T136" s="61" t="s">
        <v>242</v>
      </c>
      <c r="U136" s="56">
        <v>8</v>
      </c>
      <c r="V136" s="62"/>
      <c r="W136" s="63" t="s">
        <v>179</v>
      </c>
      <c r="X136" s="64" t="s">
        <v>259</v>
      </c>
    </row>
    <row r="137" spans="1:24" ht="15" customHeight="1" x14ac:dyDescent="0.2">
      <c r="A137" s="54" t="s">
        <v>241</v>
      </c>
      <c r="B137" s="55" t="s">
        <v>242</v>
      </c>
      <c r="C137" s="55" t="s">
        <v>242</v>
      </c>
      <c r="D137" s="55" t="s">
        <v>242</v>
      </c>
      <c r="E137" s="56" t="s">
        <v>242</v>
      </c>
      <c r="F137" s="56" t="s">
        <v>242</v>
      </c>
      <c r="G137" s="56" t="s">
        <v>242</v>
      </c>
      <c r="H137" s="57" t="s">
        <v>243</v>
      </c>
      <c r="I137" s="57" t="s">
        <v>244</v>
      </c>
      <c r="J137" s="57" t="s">
        <v>257</v>
      </c>
      <c r="K137" s="57" t="s">
        <v>267</v>
      </c>
      <c r="L137" s="57" t="s">
        <v>267</v>
      </c>
      <c r="M137" s="58" t="s">
        <v>242</v>
      </c>
      <c r="N137" s="59" t="s">
        <v>242</v>
      </c>
      <c r="O137" s="59" t="s">
        <v>242</v>
      </c>
      <c r="P137" s="59" t="s">
        <v>242</v>
      </c>
      <c r="Q137" s="59" t="s">
        <v>242</v>
      </c>
      <c r="R137" s="59" t="s">
        <v>242</v>
      </c>
      <c r="S137" s="59" t="s">
        <v>242</v>
      </c>
      <c r="T137" s="61" t="s">
        <v>242</v>
      </c>
      <c r="U137" s="56" t="s">
        <v>242</v>
      </c>
      <c r="V137" s="62">
        <v>30</v>
      </c>
      <c r="W137" s="63" t="s">
        <v>74</v>
      </c>
      <c r="X137" s="64" t="s">
        <v>259</v>
      </c>
    </row>
    <row r="138" spans="1:24" ht="15" customHeight="1" x14ac:dyDescent="0.2">
      <c r="A138" s="54" t="s">
        <v>241</v>
      </c>
      <c r="B138" s="55" t="s">
        <v>292</v>
      </c>
      <c r="C138" s="55" t="s">
        <v>249</v>
      </c>
      <c r="D138" s="55" t="s">
        <v>242</v>
      </c>
      <c r="E138" s="56" t="s">
        <v>223</v>
      </c>
      <c r="F138" s="56" t="s">
        <v>44</v>
      </c>
      <c r="G138" s="56" t="s">
        <v>251</v>
      </c>
      <c r="H138" s="57" t="s">
        <v>243</v>
      </c>
      <c r="I138" s="57" t="s">
        <v>244</v>
      </c>
      <c r="J138" s="57" t="s">
        <v>257</v>
      </c>
      <c r="K138" s="57" t="s">
        <v>267</v>
      </c>
      <c r="L138" s="57" t="s">
        <v>267</v>
      </c>
      <c r="M138" s="58" t="s">
        <v>242</v>
      </c>
      <c r="N138" s="59">
        <v>30</v>
      </c>
      <c r="O138" s="59" t="s">
        <v>242</v>
      </c>
      <c r="P138" s="59" t="s">
        <v>242</v>
      </c>
      <c r="Q138" s="59" t="s">
        <v>242</v>
      </c>
      <c r="R138" s="59">
        <v>30</v>
      </c>
      <c r="S138" s="59">
        <v>1</v>
      </c>
      <c r="T138" s="61" t="s">
        <v>242</v>
      </c>
      <c r="U138" s="56">
        <v>30</v>
      </c>
      <c r="V138" s="62"/>
      <c r="W138" s="63" t="s">
        <v>74</v>
      </c>
      <c r="X138" s="64" t="s">
        <v>259</v>
      </c>
    </row>
    <row r="139" spans="1:24" ht="15" customHeight="1" x14ac:dyDescent="0.2">
      <c r="A139" s="54" t="s">
        <v>241</v>
      </c>
      <c r="B139" s="55" t="s">
        <v>242</v>
      </c>
      <c r="C139" s="55" t="s">
        <v>242</v>
      </c>
      <c r="D139" s="55" t="s">
        <v>242</v>
      </c>
      <c r="E139" s="56" t="s">
        <v>242</v>
      </c>
      <c r="F139" s="56" t="s">
        <v>242</v>
      </c>
      <c r="G139" s="56" t="s">
        <v>242</v>
      </c>
      <c r="H139" s="57" t="s">
        <v>243</v>
      </c>
      <c r="I139" s="57" t="s">
        <v>244</v>
      </c>
      <c r="J139" s="57" t="s">
        <v>257</v>
      </c>
      <c r="K139" s="57" t="s">
        <v>271</v>
      </c>
      <c r="L139" s="57" t="s">
        <v>271</v>
      </c>
      <c r="M139" s="58" t="s">
        <v>242</v>
      </c>
      <c r="N139" s="59" t="s">
        <v>242</v>
      </c>
      <c r="O139" s="59" t="s">
        <v>242</v>
      </c>
      <c r="P139" s="59" t="s">
        <v>242</v>
      </c>
      <c r="Q139" s="59" t="s">
        <v>242</v>
      </c>
      <c r="R139" s="59" t="s">
        <v>242</v>
      </c>
      <c r="S139" s="59" t="s">
        <v>242</v>
      </c>
      <c r="T139" s="61" t="s">
        <v>242</v>
      </c>
      <c r="U139" s="56" t="s">
        <v>242</v>
      </c>
      <c r="V139" s="62">
        <v>269</v>
      </c>
      <c r="W139" s="63" t="s">
        <v>179</v>
      </c>
      <c r="X139" s="64" t="s">
        <v>259</v>
      </c>
    </row>
    <row r="140" spans="1:24" ht="15" customHeight="1" x14ac:dyDescent="0.2">
      <c r="A140" s="54" t="s">
        <v>241</v>
      </c>
      <c r="B140" s="55" t="s">
        <v>292</v>
      </c>
      <c r="C140" s="55" t="s">
        <v>249</v>
      </c>
      <c r="D140" s="55" t="s">
        <v>242</v>
      </c>
      <c r="E140" s="56" t="s">
        <v>242</v>
      </c>
      <c r="F140" s="56" t="s">
        <v>242</v>
      </c>
      <c r="G140" s="56" t="s">
        <v>251</v>
      </c>
      <c r="H140" s="57" t="s">
        <v>243</v>
      </c>
      <c r="I140" s="57" t="s">
        <v>244</v>
      </c>
      <c r="J140" s="57" t="s">
        <v>257</v>
      </c>
      <c r="K140" s="57" t="s">
        <v>271</v>
      </c>
      <c r="L140" s="57" t="s">
        <v>271</v>
      </c>
      <c r="M140" s="58" t="s">
        <v>51</v>
      </c>
      <c r="N140" s="59">
        <v>1</v>
      </c>
      <c r="O140" s="59">
        <v>108</v>
      </c>
      <c r="P140" s="59" t="s">
        <v>242</v>
      </c>
      <c r="Q140" s="59" t="s">
        <v>242</v>
      </c>
      <c r="R140" s="59">
        <v>108</v>
      </c>
      <c r="S140" s="59">
        <v>1</v>
      </c>
      <c r="T140" s="61" t="s">
        <v>242</v>
      </c>
      <c r="U140" s="56">
        <v>108</v>
      </c>
      <c r="V140" s="62"/>
      <c r="W140" s="63" t="s">
        <v>179</v>
      </c>
      <c r="X140" s="64" t="s">
        <v>259</v>
      </c>
    </row>
    <row r="141" spans="1:24" ht="15" customHeight="1" x14ac:dyDescent="0.2">
      <c r="A141" s="54" t="s">
        <v>241</v>
      </c>
      <c r="B141" s="55" t="s">
        <v>292</v>
      </c>
      <c r="C141" s="55" t="s">
        <v>249</v>
      </c>
      <c r="D141" s="55" t="s">
        <v>242</v>
      </c>
      <c r="E141" s="56" t="s">
        <v>242</v>
      </c>
      <c r="F141" s="56" t="s">
        <v>242</v>
      </c>
      <c r="G141" s="56" t="s">
        <v>251</v>
      </c>
      <c r="H141" s="57" t="s">
        <v>243</v>
      </c>
      <c r="I141" s="57" t="s">
        <v>244</v>
      </c>
      <c r="J141" s="57" t="s">
        <v>257</v>
      </c>
      <c r="K141" s="57" t="s">
        <v>271</v>
      </c>
      <c r="L141" s="57" t="s">
        <v>271</v>
      </c>
      <c r="M141" s="58" t="s">
        <v>49</v>
      </c>
      <c r="N141" s="59">
        <v>1</v>
      </c>
      <c r="O141" s="59">
        <v>8</v>
      </c>
      <c r="P141" s="59" t="s">
        <v>242</v>
      </c>
      <c r="Q141" s="59" t="s">
        <v>242</v>
      </c>
      <c r="R141" s="59">
        <v>8</v>
      </c>
      <c r="S141" s="59">
        <v>10</v>
      </c>
      <c r="T141" s="61" t="s">
        <v>242</v>
      </c>
      <c r="U141" s="56">
        <v>80</v>
      </c>
      <c r="V141" s="62"/>
      <c r="W141" s="63" t="s">
        <v>179</v>
      </c>
      <c r="X141" s="64" t="s">
        <v>259</v>
      </c>
    </row>
    <row r="142" spans="1:24" ht="15" customHeight="1" x14ac:dyDescent="0.2">
      <c r="A142" s="54" t="s">
        <v>241</v>
      </c>
      <c r="B142" s="55" t="s">
        <v>292</v>
      </c>
      <c r="C142" s="55" t="s">
        <v>249</v>
      </c>
      <c r="D142" s="55" t="s">
        <v>242</v>
      </c>
      <c r="E142" s="56" t="s">
        <v>242</v>
      </c>
      <c r="F142" s="56" t="s">
        <v>242</v>
      </c>
      <c r="G142" s="56" t="s">
        <v>251</v>
      </c>
      <c r="H142" s="57" t="s">
        <v>243</v>
      </c>
      <c r="I142" s="57" t="s">
        <v>244</v>
      </c>
      <c r="J142" s="57" t="s">
        <v>257</v>
      </c>
      <c r="K142" s="57" t="s">
        <v>271</v>
      </c>
      <c r="L142" s="57" t="s">
        <v>271</v>
      </c>
      <c r="M142" s="58" t="s">
        <v>52</v>
      </c>
      <c r="N142" s="59">
        <v>1</v>
      </c>
      <c r="O142" s="59">
        <v>54</v>
      </c>
      <c r="P142" s="59" t="s">
        <v>242</v>
      </c>
      <c r="Q142" s="59" t="s">
        <v>242</v>
      </c>
      <c r="R142" s="59">
        <v>54</v>
      </c>
      <c r="S142" s="59" t="s">
        <v>242</v>
      </c>
      <c r="T142" s="61" t="s">
        <v>242</v>
      </c>
      <c r="U142" s="56">
        <v>54</v>
      </c>
      <c r="V142" s="62"/>
      <c r="W142" s="63" t="s">
        <v>179</v>
      </c>
      <c r="X142" s="64" t="s">
        <v>259</v>
      </c>
    </row>
    <row r="143" spans="1:24" ht="15" customHeight="1" x14ac:dyDescent="0.2">
      <c r="A143" s="54" t="s">
        <v>241</v>
      </c>
      <c r="B143" s="55" t="s">
        <v>292</v>
      </c>
      <c r="C143" s="55" t="s">
        <v>249</v>
      </c>
      <c r="D143" s="55" t="s">
        <v>242</v>
      </c>
      <c r="E143" s="56" t="s">
        <v>242</v>
      </c>
      <c r="F143" s="56" t="s">
        <v>242</v>
      </c>
      <c r="G143" s="56" t="s">
        <v>251</v>
      </c>
      <c r="H143" s="57" t="s">
        <v>243</v>
      </c>
      <c r="I143" s="57" t="s">
        <v>244</v>
      </c>
      <c r="J143" s="57" t="s">
        <v>257</v>
      </c>
      <c r="K143" s="57" t="s">
        <v>271</v>
      </c>
      <c r="L143" s="57" t="s">
        <v>271</v>
      </c>
      <c r="M143" s="58" t="s">
        <v>50</v>
      </c>
      <c r="N143" s="59">
        <v>1</v>
      </c>
      <c r="O143" s="59">
        <v>27</v>
      </c>
      <c r="P143" s="59" t="s">
        <v>242</v>
      </c>
      <c r="Q143" s="59" t="s">
        <v>242</v>
      </c>
      <c r="R143" s="59">
        <v>27</v>
      </c>
      <c r="S143" s="59" t="s">
        <v>242</v>
      </c>
      <c r="T143" s="61" t="s">
        <v>242</v>
      </c>
      <c r="U143" s="56">
        <v>27</v>
      </c>
      <c r="V143" s="62"/>
      <c r="W143" s="63" t="s">
        <v>179</v>
      </c>
      <c r="X143" s="64" t="s">
        <v>259</v>
      </c>
    </row>
    <row r="144" spans="1:24" ht="15" customHeight="1" x14ac:dyDescent="0.25">
      <c r="A144" s="48"/>
      <c r="B144" s="49"/>
      <c r="C144" s="48"/>
      <c r="D144" s="48"/>
      <c r="E144" s="53"/>
      <c r="F144" s="46"/>
      <c r="G144" s="46"/>
      <c r="H144" s="46"/>
      <c r="I144" s="46"/>
      <c r="J144" s="46"/>
      <c r="K144" s="46"/>
      <c r="L144" s="46"/>
      <c r="M144" s="48"/>
      <c r="N144" s="48"/>
      <c r="O144" s="49"/>
      <c r="P144" s="48"/>
      <c r="Q144" s="48"/>
      <c r="R144" s="48"/>
      <c r="S144" s="46"/>
      <c r="T144" s="48"/>
      <c r="U144" s="48"/>
      <c r="V144" s="25"/>
      <c r="W144" s="25"/>
      <c r="X144" s="25"/>
    </row>
    <row r="145" spans="1:24" ht="15" customHeight="1" x14ac:dyDescent="0.25">
      <c r="A145" s="48"/>
      <c r="B145" s="49"/>
      <c r="C145" s="48"/>
      <c r="D145" s="48"/>
      <c r="E145" s="53"/>
      <c r="F145" s="46"/>
      <c r="G145" s="46"/>
      <c r="H145" s="46"/>
      <c r="I145" s="46"/>
      <c r="J145" s="46"/>
      <c r="K145" s="46"/>
      <c r="L145" s="46"/>
      <c r="M145" s="48"/>
      <c r="N145" s="48"/>
      <c r="O145" s="49"/>
      <c r="P145" s="48"/>
      <c r="Q145" s="48"/>
      <c r="R145" s="48"/>
      <c r="S145" s="46"/>
      <c r="T145" s="48"/>
      <c r="U145" s="48"/>
      <c r="V145" s="25"/>
      <c r="W145" s="25"/>
      <c r="X145" s="25"/>
    </row>
    <row r="146" spans="1:24" ht="15" customHeight="1" x14ac:dyDescent="0.2">
      <c r="A146" s="54" t="s">
        <v>241</v>
      </c>
      <c r="B146" s="55" t="s">
        <v>242</v>
      </c>
      <c r="C146" s="55" t="s">
        <v>242</v>
      </c>
      <c r="D146" s="55" t="s">
        <v>242</v>
      </c>
      <c r="E146" s="56" t="s">
        <v>242</v>
      </c>
      <c r="F146" s="56" t="s">
        <v>242</v>
      </c>
      <c r="G146" s="56" t="s">
        <v>242</v>
      </c>
      <c r="H146" s="57" t="s">
        <v>243</v>
      </c>
      <c r="I146" s="57" t="s">
        <v>244</v>
      </c>
      <c r="J146" s="57" t="s">
        <v>245</v>
      </c>
      <c r="K146" s="57" t="s">
        <v>246</v>
      </c>
      <c r="L146" s="57" t="s">
        <v>246</v>
      </c>
      <c r="M146" s="58" t="s">
        <v>242</v>
      </c>
      <c r="N146" s="59" t="s">
        <v>242</v>
      </c>
      <c r="O146" s="59" t="s">
        <v>242</v>
      </c>
      <c r="P146" s="59" t="s">
        <v>242</v>
      </c>
      <c r="Q146" s="59" t="s">
        <v>242</v>
      </c>
      <c r="R146" s="59" t="s">
        <v>242</v>
      </c>
      <c r="S146" s="60" t="s">
        <v>242</v>
      </c>
      <c r="T146" s="61" t="s">
        <v>242</v>
      </c>
      <c r="U146" s="56" t="s">
        <v>242</v>
      </c>
      <c r="V146" s="62">
        <v>2</v>
      </c>
      <c r="W146" s="63" t="s">
        <v>74</v>
      </c>
      <c r="X146" s="64" t="s">
        <v>247</v>
      </c>
    </row>
    <row r="147" spans="1:24" ht="15" customHeight="1" x14ac:dyDescent="0.2">
      <c r="A147" s="54" t="s">
        <v>241</v>
      </c>
      <c r="B147" s="55" t="s">
        <v>294</v>
      </c>
      <c r="C147" s="55" t="s">
        <v>249</v>
      </c>
      <c r="D147" s="55" t="s">
        <v>252</v>
      </c>
      <c r="E147" s="56" t="s">
        <v>48</v>
      </c>
      <c r="F147" s="56" t="s">
        <v>42</v>
      </c>
      <c r="G147" s="56" t="s">
        <v>251</v>
      </c>
      <c r="H147" s="57" t="s">
        <v>243</v>
      </c>
      <c r="I147" s="57" t="s">
        <v>244</v>
      </c>
      <c r="J147" s="57" t="s">
        <v>245</v>
      </c>
      <c r="K147" s="57" t="s">
        <v>246</v>
      </c>
      <c r="L147" s="57" t="s">
        <v>246</v>
      </c>
      <c r="M147" s="58" t="s">
        <v>242</v>
      </c>
      <c r="N147" s="59">
        <v>1</v>
      </c>
      <c r="O147" s="59" t="s">
        <v>242</v>
      </c>
      <c r="P147" s="59" t="s">
        <v>242</v>
      </c>
      <c r="Q147" s="59" t="s">
        <v>242</v>
      </c>
      <c r="R147" s="59">
        <v>1</v>
      </c>
      <c r="S147" s="59" t="s">
        <v>242</v>
      </c>
      <c r="T147" s="61" t="s">
        <v>242</v>
      </c>
      <c r="U147" s="56">
        <v>1</v>
      </c>
      <c r="V147" s="62"/>
      <c r="W147" s="63" t="s">
        <v>74</v>
      </c>
      <c r="X147" s="64" t="s">
        <v>247</v>
      </c>
    </row>
    <row r="148" spans="1:24" ht="15" customHeight="1" x14ac:dyDescent="0.2">
      <c r="A148" s="54" t="s">
        <v>241</v>
      </c>
      <c r="B148" s="55" t="s">
        <v>294</v>
      </c>
      <c r="C148" s="55" t="s">
        <v>249</v>
      </c>
      <c r="D148" s="55" t="s">
        <v>254</v>
      </c>
      <c r="E148" s="56" t="s">
        <v>43</v>
      </c>
      <c r="F148" s="56" t="s">
        <v>279</v>
      </c>
      <c r="G148" s="56" t="s">
        <v>251</v>
      </c>
      <c r="H148" s="57" t="s">
        <v>243</v>
      </c>
      <c r="I148" s="57" t="s">
        <v>244</v>
      </c>
      <c r="J148" s="57" t="s">
        <v>245</v>
      </c>
      <c r="K148" s="57" t="s">
        <v>246</v>
      </c>
      <c r="L148" s="57" t="s">
        <v>246</v>
      </c>
      <c r="M148" s="58" t="s">
        <v>242</v>
      </c>
      <c r="N148" s="59">
        <v>1</v>
      </c>
      <c r="O148" s="59" t="s">
        <v>242</v>
      </c>
      <c r="P148" s="59" t="s">
        <v>242</v>
      </c>
      <c r="Q148" s="59" t="s">
        <v>242</v>
      </c>
      <c r="R148" s="59">
        <v>1</v>
      </c>
      <c r="S148" s="59" t="s">
        <v>242</v>
      </c>
      <c r="T148" s="61" t="s">
        <v>242</v>
      </c>
      <c r="U148" s="56">
        <v>1</v>
      </c>
      <c r="V148" s="62"/>
      <c r="W148" s="63" t="s">
        <v>74</v>
      </c>
      <c r="X148" s="64" t="s">
        <v>247</v>
      </c>
    </row>
    <row r="149" spans="1:24" ht="15" customHeight="1" x14ac:dyDescent="0.2">
      <c r="A149" s="54" t="s">
        <v>241</v>
      </c>
      <c r="B149" s="55" t="s">
        <v>242</v>
      </c>
      <c r="C149" s="55" t="s">
        <v>242</v>
      </c>
      <c r="D149" s="55" t="s">
        <v>242</v>
      </c>
      <c r="E149" s="56" t="s">
        <v>242</v>
      </c>
      <c r="F149" s="56" t="s">
        <v>242</v>
      </c>
      <c r="G149" s="56" t="s">
        <v>242</v>
      </c>
      <c r="H149" s="57" t="s">
        <v>243</v>
      </c>
      <c r="I149" s="57" t="s">
        <v>244</v>
      </c>
      <c r="J149" s="57" t="s">
        <v>257</v>
      </c>
      <c r="K149" s="57" t="s">
        <v>258</v>
      </c>
      <c r="L149" s="57" t="s">
        <v>258</v>
      </c>
      <c r="M149" s="58" t="s">
        <v>242</v>
      </c>
      <c r="N149" s="59" t="s">
        <v>242</v>
      </c>
      <c r="O149" s="59" t="s">
        <v>242</v>
      </c>
      <c r="P149" s="59" t="s">
        <v>242</v>
      </c>
      <c r="Q149" s="59" t="s">
        <v>242</v>
      </c>
      <c r="R149" s="59" t="s">
        <v>242</v>
      </c>
      <c r="S149" s="59" t="s">
        <v>242</v>
      </c>
      <c r="T149" s="61" t="s">
        <v>242</v>
      </c>
      <c r="U149" s="56" t="s">
        <v>242</v>
      </c>
      <c r="V149" s="62">
        <v>65</v>
      </c>
      <c r="W149" s="63" t="s">
        <v>179</v>
      </c>
      <c r="X149" s="64" t="s">
        <v>259</v>
      </c>
    </row>
    <row r="150" spans="1:24" ht="15" customHeight="1" x14ac:dyDescent="0.2">
      <c r="A150" s="54" t="s">
        <v>241</v>
      </c>
      <c r="B150" s="55" t="s">
        <v>294</v>
      </c>
      <c r="C150" s="55" t="s">
        <v>249</v>
      </c>
      <c r="D150" s="55" t="s">
        <v>242</v>
      </c>
      <c r="E150" s="56" t="s">
        <v>223</v>
      </c>
      <c r="F150" s="56" t="s">
        <v>42</v>
      </c>
      <c r="G150" s="56" t="s">
        <v>251</v>
      </c>
      <c r="H150" s="57" t="s">
        <v>243</v>
      </c>
      <c r="I150" s="57" t="s">
        <v>244</v>
      </c>
      <c r="J150" s="57" t="s">
        <v>257</v>
      </c>
      <c r="K150" s="57" t="s">
        <v>258</v>
      </c>
      <c r="L150" s="57" t="s">
        <v>258</v>
      </c>
      <c r="M150" s="58" t="s">
        <v>242</v>
      </c>
      <c r="N150" s="59">
        <v>1</v>
      </c>
      <c r="O150" s="59">
        <v>65</v>
      </c>
      <c r="P150" s="59" t="s">
        <v>242</v>
      </c>
      <c r="Q150" s="59" t="s">
        <v>242</v>
      </c>
      <c r="R150" s="59">
        <v>65</v>
      </c>
      <c r="S150" s="59" t="s">
        <v>242</v>
      </c>
      <c r="T150" s="61" t="s">
        <v>242</v>
      </c>
      <c r="U150" s="56">
        <v>65</v>
      </c>
      <c r="V150" s="62"/>
      <c r="W150" s="63" t="s">
        <v>179</v>
      </c>
      <c r="X150" s="64" t="s">
        <v>259</v>
      </c>
    </row>
    <row r="151" spans="1:24" ht="15" customHeight="1" x14ac:dyDescent="0.2">
      <c r="A151" s="54" t="s">
        <v>241</v>
      </c>
      <c r="B151" s="55" t="s">
        <v>242</v>
      </c>
      <c r="C151" s="55" t="s">
        <v>242</v>
      </c>
      <c r="D151" s="55" t="s">
        <v>242</v>
      </c>
      <c r="E151" s="56" t="s">
        <v>242</v>
      </c>
      <c r="F151" s="56" t="s">
        <v>242</v>
      </c>
      <c r="G151" s="56" t="s">
        <v>242</v>
      </c>
      <c r="H151" s="57" t="s">
        <v>243</v>
      </c>
      <c r="I151" s="57" t="s">
        <v>244</v>
      </c>
      <c r="J151" s="57" t="s">
        <v>257</v>
      </c>
      <c r="K151" s="57" t="s">
        <v>261</v>
      </c>
      <c r="L151" s="57" t="s">
        <v>261</v>
      </c>
      <c r="M151" s="58" t="s">
        <v>242</v>
      </c>
      <c r="N151" s="59" t="s">
        <v>242</v>
      </c>
      <c r="O151" s="59" t="s">
        <v>242</v>
      </c>
      <c r="P151" s="59" t="s">
        <v>242</v>
      </c>
      <c r="Q151" s="59" t="s">
        <v>242</v>
      </c>
      <c r="R151" s="59" t="s">
        <v>242</v>
      </c>
      <c r="S151" s="59" t="s">
        <v>242</v>
      </c>
      <c r="T151" s="61" t="s">
        <v>242</v>
      </c>
      <c r="U151" s="56" t="s">
        <v>242</v>
      </c>
      <c r="V151" s="62">
        <v>200</v>
      </c>
      <c r="W151" s="63" t="s">
        <v>262</v>
      </c>
      <c r="X151" s="64" t="s">
        <v>259</v>
      </c>
    </row>
    <row r="152" spans="1:24" ht="15" customHeight="1" x14ac:dyDescent="0.2">
      <c r="A152" s="54" t="s">
        <v>241</v>
      </c>
      <c r="B152" s="55" t="s">
        <v>294</v>
      </c>
      <c r="C152" s="55" t="s">
        <v>249</v>
      </c>
      <c r="D152" s="55" t="s">
        <v>242</v>
      </c>
      <c r="E152" s="56" t="s">
        <v>242</v>
      </c>
      <c r="F152" s="56" t="s">
        <v>242</v>
      </c>
      <c r="G152" s="56" t="s">
        <v>251</v>
      </c>
      <c r="H152" s="57" t="s">
        <v>243</v>
      </c>
      <c r="I152" s="57" t="s">
        <v>244</v>
      </c>
      <c r="J152" s="57" t="s">
        <v>257</v>
      </c>
      <c r="K152" s="57" t="s">
        <v>261</v>
      </c>
      <c r="L152" s="57" t="s">
        <v>261</v>
      </c>
      <c r="M152" s="58" t="s">
        <v>242</v>
      </c>
      <c r="N152" s="59">
        <v>200</v>
      </c>
      <c r="O152" s="59" t="s">
        <v>242</v>
      </c>
      <c r="P152" s="59" t="s">
        <v>242</v>
      </c>
      <c r="Q152" s="59" t="s">
        <v>242</v>
      </c>
      <c r="R152" s="59">
        <v>200</v>
      </c>
      <c r="S152" s="59" t="s">
        <v>242</v>
      </c>
      <c r="T152" s="61" t="s">
        <v>242</v>
      </c>
      <c r="U152" s="56">
        <v>200</v>
      </c>
      <c r="V152" s="62"/>
      <c r="W152" s="63" t="s">
        <v>262</v>
      </c>
      <c r="X152" s="64" t="s">
        <v>259</v>
      </c>
    </row>
    <row r="153" spans="1:24" ht="15" customHeight="1" x14ac:dyDescent="0.2">
      <c r="A153" s="54" t="s">
        <v>241</v>
      </c>
      <c r="B153" s="55" t="s">
        <v>242</v>
      </c>
      <c r="C153" s="55" t="s">
        <v>242</v>
      </c>
      <c r="D153" s="55" t="s">
        <v>242</v>
      </c>
      <c r="E153" s="56" t="s">
        <v>242</v>
      </c>
      <c r="F153" s="56" t="s">
        <v>242</v>
      </c>
      <c r="G153" s="56" t="s">
        <v>242</v>
      </c>
      <c r="H153" s="57" t="s">
        <v>243</v>
      </c>
      <c r="I153" s="57" t="s">
        <v>244</v>
      </c>
      <c r="J153" s="57" t="s">
        <v>257</v>
      </c>
      <c r="K153" s="57" t="s">
        <v>264</v>
      </c>
      <c r="L153" s="57" t="s">
        <v>264</v>
      </c>
      <c r="M153" s="58" t="s">
        <v>242</v>
      </c>
      <c r="N153" s="59" t="s">
        <v>242</v>
      </c>
      <c r="O153" s="59" t="s">
        <v>242</v>
      </c>
      <c r="P153" s="59" t="s">
        <v>242</v>
      </c>
      <c r="Q153" s="59" t="s">
        <v>242</v>
      </c>
      <c r="R153" s="59" t="s">
        <v>242</v>
      </c>
      <c r="S153" s="59" t="s">
        <v>242</v>
      </c>
      <c r="T153" s="61" t="s">
        <v>242</v>
      </c>
      <c r="U153" s="56" t="s">
        <v>242</v>
      </c>
      <c r="V153" s="62">
        <v>96.13</v>
      </c>
      <c r="W153" s="63" t="s">
        <v>99</v>
      </c>
      <c r="X153" s="64" t="s">
        <v>259</v>
      </c>
    </row>
    <row r="154" spans="1:24" ht="15" customHeight="1" x14ac:dyDescent="0.2">
      <c r="A154" s="54" t="s">
        <v>241</v>
      </c>
      <c r="B154" s="55" t="s">
        <v>294</v>
      </c>
      <c r="C154" s="55" t="s">
        <v>249</v>
      </c>
      <c r="D154" s="55" t="s">
        <v>242</v>
      </c>
      <c r="E154" s="56" t="s">
        <v>242</v>
      </c>
      <c r="F154" s="56" t="s">
        <v>242</v>
      </c>
      <c r="G154" s="56" t="s">
        <v>251</v>
      </c>
      <c r="H154" s="57" t="s">
        <v>243</v>
      </c>
      <c r="I154" s="57" t="s">
        <v>244</v>
      </c>
      <c r="J154" s="57" t="s">
        <v>257</v>
      </c>
      <c r="K154" s="57" t="s">
        <v>264</v>
      </c>
      <c r="L154" s="57" t="s">
        <v>264</v>
      </c>
      <c r="M154" s="58" t="s">
        <v>242</v>
      </c>
      <c r="N154" s="59">
        <v>96.13</v>
      </c>
      <c r="O154" s="59" t="s">
        <v>242</v>
      </c>
      <c r="P154" s="59" t="s">
        <v>242</v>
      </c>
      <c r="Q154" s="59" t="s">
        <v>242</v>
      </c>
      <c r="R154" s="59">
        <v>96.13</v>
      </c>
      <c r="S154" s="59" t="s">
        <v>242</v>
      </c>
      <c r="T154" s="61" t="s">
        <v>242</v>
      </c>
      <c r="U154" s="56">
        <v>96.13</v>
      </c>
      <c r="V154" s="62"/>
      <c r="W154" s="63" t="s">
        <v>99</v>
      </c>
      <c r="X154" s="64" t="s">
        <v>259</v>
      </c>
    </row>
    <row r="155" spans="1:24" ht="15" customHeight="1" x14ac:dyDescent="0.2">
      <c r="A155" s="54" t="s">
        <v>241</v>
      </c>
      <c r="B155" s="55" t="s">
        <v>242</v>
      </c>
      <c r="C155" s="55" t="s">
        <v>242</v>
      </c>
      <c r="D155" s="55" t="s">
        <v>242</v>
      </c>
      <c r="E155" s="56" t="s">
        <v>242</v>
      </c>
      <c r="F155" s="56" t="s">
        <v>242</v>
      </c>
      <c r="G155" s="56" t="s">
        <v>242</v>
      </c>
      <c r="H155" s="57" t="s">
        <v>243</v>
      </c>
      <c r="I155" s="57" t="s">
        <v>244</v>
      </c>
      <c r="J155" s="57" t="s">
        <v>257</v>
      </c>
      <c r="K155" s="57" t="s">
        <v>268</v>
      </c>
      <c r="L155" s="57" t="s">
        <v>268</v>
      </c>
      <c r="M155" s="58" t="s">
        <v>242</v>
      </c>
      <c r="N155" s="59" t="s">
        <v>242</v>
      </c>
      <c r="O155" s="59" t="s">
        <v>242</v>
      </c>
      <c r="P155" s="59" t="s">
        <v>242</v>
      </c>
      <c r="Q155" s="59" t="s">
        <v>242</v>
      </c>
      <c r="R155" s="59" t="s">
        <v>242</v>
      </c>
      <c r="S155" s="59" t="s">
        <v>242</v>
      </c>
      <c r="T155" s="61" t="s">
        <v>242</v>
      </c>
      <c r="U155" s="56" t="s">
        <v>242</v>
      </c>
      <c r="V155" s="62">
        <v>119</v>
      </c>
      <c r="W155" s="63" t="s">
        <v>74</v>
      </c>
      <c r="X155" s="64" t="s">
        <v>259</v>
      </c>
    </row>
    <row r="156" spans="1:24" ht="15" customHeight="1" x14ac:dyDescent="0.2">
      <c r="A156" s="54" t="s">
        <v>241</v>
      </c>
      <c r="B156" s="55" t="s">
        <v>294</v>
      </c>
      <c r="C156" s="55" t="s">
        <v>249</v>
      </c>
      <c r="D156" s="55" t="s">
        <v>242</v>
      </c>
      <c r="E156" s="56" t="s">
        <v>242</v>
      </c>
      <c r="F156" s="56" t="s">
        <v>242</v>
      </c>
      <c r="G156" s="56" t="s">
        <v>251</v>
      </c>
      <c r="H156" s="57" t="s">
        <v>243</v>
      </c>
      <c r="I156" s="57" t="s">
        <v>244</v>
      </c>
      <c r="J156" s="57" t="s">
        <v>257</v>
      </c>
      <c r="K156" s="57" t="s">
        <v>268</v>
      </c>
      <c r="L156" s="57" t="s">
        <v>268</v>
      </c>
      <c r="M156" s="58" t="s">
        <v>242</v>
      </c>
      <c r="N156" s="59">
        <v>119</v>
      </c>
      <c r="O156" s="59" t="s">
        <v>242</v>
      </c>
      <c r="P156" s="59" t="s">
        <v>242</v>
      </c>
      <c r="Q156" s="59" t="s">
        <v>242</v>
      </c>
      <c r="R156" s="59">
        <v>119</v>
      </c>
      <c r="S156" s="59" t="s">
        <v>242</v>
      </c>
      <c r="T156" s="61" t="s">
        <v>242</v>
      </c>
      <c r="U156" s="56">
        <v>119</v>
      </c>
      <c r="V156" s="62"/>
      <c r="W156" s="63" t="s">
        <v>74</v>
      </c>
      <c r="X156" s="64" t="s">
        <v>259</v>
      </c>
    </row>
    <row r="157" spans="1:24" ht="15" customHeight="1" x14ac:dyDescent="0.2">
      <c r="A157" s="54" t="s">
        <v>241</v>
      </c>
      <c r="B157" s="55" t="s">
        <v>242</v>
      </c>
      <c r="C157" s="55" t="s">
        <v>242</v>
      </c>
      <c r="D157" s="55" t="s">
        <v>242</v>
      </c>
      <c r="E157" s="56" t="s">
        <v>242</v>
      </c>
      <c r="F157" s="56" t="s">
        <v>242</v>
      </c>
      <c r="G157" s="56" t="s">
        <v>242</v>
      </c>
      <c r="H157" s="57" t="s">
        <v>243</v>
      </c>
      <c r="I157" s="57" t="s">
        <v>244</v>
      </c>
      <c r="J157" s="57" t="s">
        <v>257</v>
      </c>
      <c r="K157" s="57" t="s">
        <v>269</v>
      </c>
      <c r="L157" s="57" t="s">
        <v>269</v>
      </c>
      <c r="M157" s="58" t="s">
        <v>242</v>
      </c>
      <c r="N157" s="59" t="s">
        <v>242</v>
      </c>
      <c r="O157" s="59" t="s">
        <v>242</v>
      </c>
      <c r="P157" s="59" t="s">
        <v>242</v>
      </c>
      <c r="Q157" s="59" t="s">
        <v>242</v>
      </c>
      <c r="R157" s="59" t="s">
        <v>242</v>
      </c>
      <c r="S157" s="59" t="s">
        <v>242</v>
      </c>
      <c r="T157" s="61" t="s">
        <v>242</v>
      </c>
      <c r="U157" s="56" t="s">
        <v>242</v>
      </c>
      <c r="V157" s="62">
        <v>11.25</v>
      </c>
      <c r="W157" s="63" t="s">
        <v>270</v>
      </c>
      <c r="X157" s="64" t="s">
        <v>259</v>
      </c>
    </row>
    <row r="158" spans="1:24" ht="15" customHeight="1" x14ac:dyDescent="0.2">
      <c r="A158" s="54" t="s">
        <v>241</v>
      </c>
      <c r="B158" s="55" t="s">
        <v>294</v>
      </c>
      <c r="C158" s="55" t="s">
        <v>249</v>
      </c>
      <c r="D158" s="55" t="s">
        <v>254</v>
      </c>
      <c r="E158" s="56" t="s">
        <v>41</v>
      </c>
      <c r="F158" s="56" t="s">
        <v>279</v>
      </c>
      <c r="G158" s="56" t="s">
        <v>251</v>
      </c>
      <c r="H158" s="57" t="s">
        <v>243</v>
      </c>
      <c r="I158" s="57" t="s">
        <v>244</v>
      </c>
      <c r="J158" s="57" t="s">
        <v>257</v>
      </c>
      <c r="K158" s="57" t="s">
        <v>269</v>
      </c>
      <c r="L158" s="57" t="s">
        <v>269</v>
      </c>
      <c r="M158" s="58" t="s">
        <v>242</v>
      </c>
      <c r="N158" s="59">
        <v>1</v>
      </c>
      <c r="O158" s="59">
        <v>1.5</v>
      </c>
      <c r="P158" s="59">
        <v>1.2</v>
      </c>
      <c r="Q158" s="59" t="s">
        <v>242</v>
      </c>
      <c r="R158" s="59">
        <v>1.8</v>
      </c>
      <c r="S158" s="59">
        <v>4</v>
      </c>
      <c r="T158" s="61" t="s">
        <v>242</v>
      </c>
      <c r="U158" s="56">
        <v>7.2</v>
      </c>
      <c r="V158" s="62"/>
      <c r="W158" s="63" t="s">
        <v>270</v>
      </c>
      <c r="X158" s="64" t="s">
        <v>259</v>
      </c>
    </row>
    <row r="159" spans="1:24" ht="15" customHeight="1" x14ac:dyDescent="0.2">
      <c r="A159" s="54" t="s">
        <v>241</v>
      </c>
      <c r="B159" s="55" t="s">
        <v>294</v>
      </c>
      <c r="C159" s="55" t="s">
        <v>249</v>
      </c>
      <c r="D159" s="55" t="s">
        <v>252</v>
      </c>
      <c r="E159" s="56" t="s">
        <v>293</v>
      </c>
      <c r="F159" s="56" t="s">
        <v>44</v>
      </c>
      <c r="G159" s="56" t="s">
        <v>251</v>
      </c>
      <c r="H159" s="57" t="s">
        <v>243</v>
      </c>
      <c r="I159" s="57" t="s">
        <v>244</v>
      </c>
      <c r="J159" s="57" t="s">
        <v>257</v>
      </c>
      <c r="K159" s="57" t="s">
        <v>269</v>
      </c>
      <c r="L159" s="57" t="s">
        <v>269</v>
      </c>
      <c r="M159" s="58" t="s">
        <v>242</v>
      </c>
      <c r="N159" s="59">
        <v>1</v>
      </c>
      <c r="O159" s="59">
        <v>2.44</v>
      </c>
      <c r="P159" s="59">
        <v>1.22</v>
      </c>
      <c r="Q159" s="59" t="s">
        <v>242</v>
      </c>
      <c r="R159" s="59">
        <v>2.98</v>
      </c>
      <c r="S159" s="59">
        <v>1</v>
      </c>
      <c r="T159" s="61" t="s">
        <v>242</v>
      </c>
      <c r="U159" s="56">
        <v>2.98</v>
      </c>
      <c r="V159" s="62"/>
      <c r="W159" s="63" t="s">
        <v>270</v>
      </c>
      <c r="X159" s="64" t="s">
        <v>259</v>
      </c>
    </row>
    <row r="160" spans="1:24" ht="15" customHeight="1" x14ac:dyDescent="0.2">
      <c r="A160" s="54" t="s">
        <v>241</v>
      </c>
      <c r="B160" s="55" t="s">
        <v>294</v>
      </c>
      <c r="C160" s="55" t="s">
        <v>249</v>
      </c>
      <c r="D160" s="55" t="s">
        <v>250</v>
      </c>
      <c r="E160" s="56" t="s">
        <v>41</v>
      </c>
      <c r="F160" s="56" t="s">
        <v>42</v>
      </c>
      <c r="G160" s="56" t="s">
        <v>251</v>
      </c>
      <c r="H160" s="57" t="s">
        <v>243</v>
      </c>
      <c r="I160" s="57" t="s">
        <v>244</v>
      </c>
      <c r="J160" s="57" t="s">
        <v>257</v>
      </c>
      <c r="K160" s="57" t="s">
        <v>269</v>
      </c>
      <c r="L160" s="57" t="s">
        <v>269</v>
      </c>
      <c r="M160" s="58" t="s">
        <v>242</v>
      </c>
      <c r="N160" s="59">
        <v>1</v>
      </c>
      <c r="O160" s="59">
        <v>1.2</v>
      </c>
      <c r="P160" s="59">
        <v>0.89</v>
      </c>
      <c r="Q160" s="59" t="s">
        <v>242</v>
      </c>
      <c r="R160" s="59">
        <v>1.07</v>
      </c>
      <c r="S160" s="59">
        <v>1</v>
      </c>
      <c r="T160" s="61" t="s">
        <v>242</v>
      </c>
      <c r="U160" s="56">
        <v>1.07</v>
      </c>
      <c r="V160" s="62"/>
      <c r="W160" s="63" t="s">
        <v>270</v>
      </c>
      <c r="X160" s="64" t="s">
        <v>259</v>
      </c>
    </row>
    <row r="161" spans="1:24" ht="15" customHeight="1" x14ac:dyDescent="0.2">
      <c r="A161" s="54" t="s">
        <v>241</v>
      </c>
      <c r="B161" s="55" t="s">
        <v>242</v>
      </c>
      <c r="C161" s="55" t="s">
        <v>242</v>
      </c>
      <c r="D161" s="55" t="s">
        <v>242</v>
      </c>
      <c r="E161" s="56" t="s">
        <v>242</v>
      </c>
      <c r="F161" s="56" t="s">
        <v>242</v>
      </c>
      <c r="G161" s="56" t="s">
        <v>242</v>
      </c>
      <c r="H161" s="57" t="s">
        <v>243</v>
      </c>
      <c r="I161" s="57" t="s">
        <v>244</v>
      </c>
      <c r="J161" s="57" t="s">
        <v>257</v>
      </c>
      <c r="K161" s="57" t="s">
        <v>271</v>
      </c>
      <c r="L161" s="57" t="s">
        <v>271</v>
      </c>
      <c r="M161" s="58" t="s">
        <v>242</v>
      </c>
      <c r="N161" s="59" t="s">
        <v>242</v>
      </c>
      <c r="O161" s="59" t="s">
        <v>242</v>
      </c>
      <c r="P161" s="59" t="s">
        <v>242</v>
      </c>
      <c r="Q161" s="59" t="s">
        <v>242</v>
      </c>
      <c r="R161" s="59" t="s">
        <v>242</v>
      </c>
      <c r="S161" s="59" t="s">
        <v>242</v>
      </c>
      <c r="T161" s="61" t="s">
        <v>242</v>
      </c>
      <c r="U161" s="56" t="s">
        <v>242</v>
      </c>
      <c r="V161" s="62">
        <v>186</v>
      </c>
      <c r="W161" s="63" t="s">
        <v>179</v>
      </c>
      <c r="X161" s="64" t="s">
        <v>259</v>
      </c>
    </row>
    <row r="162" spans="1:24" ht="15" customHeight="1" x14ac:dyDescent="0.2">
      <c r="A162" s="54" t="s">
        <v>241</v>
      </c>
      <c r="B162" s="55" t="s">
        <v>294</v>
      </c>
      <c r="C162" s="55" t="s">
        <v>249</v>
      </c>
      <c r="D162" s="55" t="s">
        <v>242</v>
      </c>
      <c r="E162" s="56" t="s">
        <v>242</v>
      </c>
      <c r="F162" s="56" t="s">
        <v>242</v>
      </c>
      <c r="G162" s="56" t="s">
        <v>251</v>
      </c>
      <c r="H162" s="57" t="s">
        <v>243</v>
      </c>
      <c r="I162" s="57" t="s">
        <v>244</v>
      </c>
      <c r="J162" s="57" t="s">
        <v>257</v>
      </c>
      <c r="K162" s="57" t="s">
        <v>271</v>
      </c>
      <c r="L162" s="57" t="s">
        <v>271</v>
      </c>
      <c r="M162" s="58" t="s">
        <v>51</v>
      </c>
      <c r="N162" s="59">
        <v>1</v>
      </c>
      <c r="O162" s="59">
        <v>74</v>
      </c>
      <c r="P162" s="59" t="s">
        <v>242</v>
      </c>
      <c r="Q162" s="59" t="s">
        <v>242</v>
      </c>
      <c r="R162" s="59">
        <v>74</v>
      </c>
      <c r="S162" s="59">
        <v>1</v>
      </c>
      <c r="T162" s="61" t="s">
        <v>242</v>
      </c>
      <c r="U162" s="56">
        <v>74</v>
      </c>
      <c r="V162" s="62"/>
      <c r="W162" s="63" t="s">
        <v>179</v>
      </c>
      <c r="X162" s="64" t="s">
        <v>259</v>
      </c>
    </row>
    <row r="163" spans="1:24" ht="15" customHeight="1" x14ac:dyDescent="0.2">
      <c r="A163" s="54" t="s">
        <v>241</v>
      </c>
      <c r="B163" s="55" t="s">
        <v>294</v>
      </c>
      <c r="C163" s="55" t="s">
        <v>249</v>
      </c>
      <c r="D163" s="55" t="s">
        <v>242</v>
      </c>
      <c r="E163" s="56" t="s">
        <v>242</v>
      </c>
      <c r="F163" s="56" t="s">
        <v>242</v>
      </c>
      <c r="G163" s="56" t="s">
        <v>251</v>
      </c>
      <c r="H163" s="57" t="s">
        <v>243</v>
      </c>
      <c r="I163" s="57" t="s">
        <v>244</v>
      </c>
      <c r="J163" s="57" t="s">
        <v>257</v>
      </c>
      <c r="K163" s="57" t="s">
        <v>271</v>
      </c>
      <c r="L163" s="57" t="s">
        <v>271</v>
      </c>
      <c r="M163" s="58" t="s">
        <v>49</v>
      </c>
      <c r="N163" s="59">
        <v>1</v>
      </c>
      <c r="O163" s="59">
        <v>8</v>
      </c>
      <c r="P163" s="59" t="s">
        <v>242</v>
      </c>
      <c r="Q163" s="59" t="s">
        <v>242</v>
      </c>
      <c r="R163" s="59">
        <v>8</v>
      </c>
      <c r="S163" s="59">
        <v>7</v>
      </c>
      <c r="T163" s="61" t="s">
        <v>242</v>
      </c>
      <c r="U163" s="56">
        <v>56</v>
      </c>
      <c r="V163" s="62"/>
      <c r="W163" s="63" t="s">
        <v>179</v>
      </c>
      <c r="X163" s="64" t="s">
        <v>259</v>
      </c>
    </row>
    <row r="164" spans="1:24" ht="15" customHeight="1" x14ac:dyDescent="0.2">
      <c r="A164" s="54" t="s">
        <v>241</v>
      </c>
      <c r="B164" s="55" t="s">
        <v>294</v>
      </c>
      <c r="C164" s="55" t="s">
        <v>249</v>
      </c>
      <c r="D164" s="55" t="s">
        <v>242</v>
      </c>
      <c r="E164" s="56" t="s">
        <v>242</v>
      </c>
      <c r="F164" s="56" t="s">
        <v>242</v>
      </c>
      <c r="G164" s="56" t="s">
        <v>251</v>
      </c>
      <c r="H164" s="57" t="s">
        <v>243</v>
      </c>
      <c r="I164" s="57" t="s">
        <v>244</v>
      </c>
      <c r="J164" s="57" t="s">
        <v>257</v>
      </c>
      <c r="K164" s="57" t="s">
        <v>271</v>
      </c>
      <c r="L164" s="57" t="s">
        <v>271</v>
      </c>
      <c r="M164" s="58" t="s">
        <v>52</v>
      </c>
      <c r="N164" s="59">
        <v>1</v>
      </c>
      <c r="O164" s="59">
        <v>37</v>
      </c>
      <c r="P164" s="59" t="s">
        <v>242</v>
      </c>
      <c r="Q164" s="59" t="s">
        <v>242</v>
      </c>
      <c r="R164" s="59">
        <v>37</v>
      </c>
      <c r="S164" s="59">
        <v>1</v>
      </c>
      <c r="T164" s="61" t="s">
        <v>242</v>
      </c>
      <c r="U164" s="56">
        <v>37</v>
      </c>
      <c r="V164" s="62"/>
      <c r="W164" s="63" t="s">
        <v>179</v>
      </c>
      <c r="X164" s="64" t="s">
        <v>259</v>
      </c>
    </row>
    <row r="165" spans="1:24" ht="15" customHeight="1" x14ac:dyDescent="0.2">
      <c r="A165" s="54" t="s">
        <v>241</v>
      </c>
      <c r="B165" s="55" t="s">
        <v>294</v>
      </c>
      <c r="C165" s="55" t="s">
        <v>249</v>
      </c>
      <c r="D165" s="55" t="s">
        <v>242</v>
      </c>
      <c r="E165" s="56" t="s">
        <v>242</v>
      </c>
      <c r="F165" s="56" t="s">
        <v>242</v>
      </c>
      <c r="G165" s="56" t="s">
        <v>251</v>
      </c>
      <c r="H165" s="57" t="s">
        <v>243</v>
      </c>
      <c r="I165" s="57" t="s">
        <v>244</v>
      </c>
      <c r="J165" s="57" t="s">
        <v>257</v>
      </c>
      <c r="K165" s="57" t="s">
        <v>271</v>
      </c>
      <c r="L165" s="57" t="s">
        <v>271</v>
      </c>
      <c r="M165" s="58" t="s">
        <v>50</v>
      </c>
      <c r="N165" s="59">
        <v>1</v>
      </c>
      <c r="O165" s="59">
        <v>19</v>
      </c>
      <c r="P165" s="59" t="s">
        <v>242</v>
      </c>
      <c r="Q165" s="59" t="s">
        <v>242</v>
      </c>
      <c r="R165" s="59">
        <v>19</v>
      </c>
      <c r="S165" s="59">
        <v>1</v>
      </c>
      <c r="T165" s="61" t="s">
        <v>242</v>
      </c>
      <c r="U165" s="56">
        <v>19</v>
      </c>
      <c r="V165" s="62"/>
      <c r="W165" s="63" t="s">
        <v>179</v>
      </c>
      <c r="X165" s="64" t="s">
        <v>259</v>
      </c>
    </row>
    <row r="166" spans="1:24" ht="15" customHeight="1" x14ac:dyDescent="0.2">
      <c r="A166" s="54" t="s">
        <v>241</v>
      </c>
      <c r="B166" s="55" t="s">
        <v>242</v>
      </c>
      <c r="C166" s="55" t="s">
        <v>242</v>
      </c>
      <c r="D166" s="55" t="s">
        <v>242</v>
      </c>
      <c r="E166" s="56" t="s">
        <v>242</v>
      </c>
      <c r="F166" s="56" t="s">
        <v>242</v>
      </c>
      <c r="G166" s="56" t="s">
        <v>242</v>
      </c>
      <c r="H166" s="57" t="s">
        <v>243</v>
      </c>
      <c r="I166" s="57" t="s">
        <v>244</v>
      </c>
      <c r="J166" s="57" t="s">
        <v>257</v>
      </c>
      <c r="K166" s="57" t="s">
        <v>276</v>
      </c>
      <c r="L166" s="57" t="s">
        <v>276</v>
      </c>
      <c r="M166" s="58" t="s">
        <v>242</v>
      </c>
      <c r="N166" s="59" t="s">
        <v>242</v>
      </c>
      <c r="O166" s="59" t="s">
        <v>242</v>
      </c>
      <c r="P166" s="59" t="s">
        <v>242</v>
      </c>
      <c r="Q166" s="59" t="s">
        <v>242</v>
      </c>
      <c r="R166" s="59" t="s">
        <v>242</v>
      </c>
      <c r="S166" s="59" t="s">
        <v>242</v>
      </c>
      <c r="T166" s="61" t="s">
        <v>242</v>
      </c>
      <c r="U166" s="56" t="s">
        <v>242</v>
      </c>
      <c r="V166" s="62">
        <v>1</v>
      </c>
      <c r="W166" s="63" t="s">
        <v>270</v>
      </c>
      <c r="X166" s="64" t="s">
        <v>259</v>
      </c>
    </row>
    <row r="167" spans="1:24" ht="15" customHeight="1" x14ac:dyDescent="0.2">
      <c r="A167" s="54" t="s">
        <v>241</v>
      </c>
      <c r="B167" s="55" t="s">
        <v>294</v>
      </c>
      <c r="C167" s="55" t="s">
        <v>249</v>
      </c>
      <c r="D167" s="55" t="s">
        <v>250</v>
      </c>
      <c r="E167" s="56" t="s">
        <v>41</v>
      </c>
      <c r="F167" s="56" t="s">
        <v>44</v>
      </c>
      <c r="G167" s="56" t="s">
        <v>251</v>
      </c>
      <c r="H167" s="57" t="s">
        <v>243</v>
      </c>
      <c r="I167" s="57" t="s">
        <v>244</v>
      </c>
      <c r="J167" s="57" t="s">
        <v>257</v>
      </c>
      <c r="K167" s="57" t="s">
        <v>276</v>
      </c>
      <c r="L167" s="57" t="s">
        <v>276</v>
      </c>
      <c r="M167" s="58" t="s">
        <v>242</v>
      </c>
      <c r="N167" s="59">
        <v>1</v>
      </c>
      <c r="O167" s="59">
        <v>5</v>
      </c>
      <c r="P167" s="59">
        <v>0.2</v>
      </c>
      <c r="Q167" s="59" t="s">
        <v>242</v>
      </c>
      <c r="R167" s="59">
        <v>1</v>
      </c>
      <c r="S167" s="59">
        <v>1</v>
      </c>
      <c r="T167" s="61" t="s">
        <v>242</v>
      </c>
      <c r="U167" s="56">
        <v>1</v>
      </c>
      <c r="V167" s="62"/>
      <c r="W167" s="63" t="s">
        <v>270</v>
      </c>
      <c r="X167" s="64" t="s">
        <v>259</v>
      </c>
    </row>
    <row r="168" spans="1:24" ht="15" customHeight="1" x14ac:dyDescent="0.25">
      <c r="A168" s="48"/>
      <c r="B168" s="49"/>
      <c r="C168" s="48"/>
      <c r="D168" s="48"/>
      <c r="E168" s="53"/>
      <c r="F168" s="46"/>
      <c r="G168" s="46"/>
      <c r="H168" s="46"/>
      <c r="I168" s="46"/>
      <c r="J168" s="46"/>
      <c r="K168" s="46"/>
      <c r="L168" s="46"/>
      <c r="M168" s="48"/>
      <c r="N168" s="48"/>
      <c r="O168" s="49"/>
      <c r="P168" s="48"/>
      <c r="Q168" s="48"/>
      <c r="R168" s="48"/>
      <c r="S168" s="46"/>
      <c r="T168" s="48"/>
      <c r="U168" s="48"/>
      <c r="V168" s="25"/>
      <c r="W168" s="25"/>
      <c r="X168" s="25"/>
    </row>
    <row r="169" spans="1:24" ht="15" customHeight="1" x14ac:dyDescent="0.25">
      <c r="A169" s="48"/>
      <c r="B169" s="49"/>
      <c r="C169" s="48"/>
      <c r="D169" s="48"/>
      <c r="E169" s="53"/>
      <c r="F169" s="46"/>
      <c r="G169" s="46"/>
      <c r="H169" s="46"/>
      <c r="I169" s="46"/>
      <c r="J169" s="46"/>
      <c r="K169" s="46"/>
      <c r="L169" s="46"/>
      <c r="M169" s="48"/>
      <c r="N169" s="48"/>
      <c r="O169" s="49"/>
      <c r="P169" s="48"/>
      <c r="Q169" s="48"/>
      <c r="R169" s="48"/>
      <c r="S169" s="46"/>
      <c r="T169" s="48"/>
      <c r="U169" s="48"/>
      <c r="V169" s="25"/>
      <c r="W169" s="25"/>
      <c r="X169" s="25"/>
    </row>
    <row r="170" spans="1:24" ht="15" customHeight="1" x14ac:dyDescent="0.2">
      <c r="A170" s="54" t="s">
        <v>241</v>
      </c>
      <c r="B170" s="55" t="s">
        <v>242</v>
      </c>
      <c r="C170" s="55" t="s">
        <v>242</v>
      </c>
      <c r="D170" s="55" t="s">
        <v>242</v>
      </c>
      <c r="E170" s="56" t="s">
        <v>242</v>
      </c>
      <c r="F170" s="56" t="s">
        <v>242</v>
      </c>
      <c r="G170" s="56" t="s">
        <v>242</v>
      </c>
      <c r="H170" s="57" t="s">
        <v>243</v>
      </c>
      <c r="I170" s="57" t="s">
        <v>244</v>
      </c>
      <c r="J170" s="57" t="s">
        <v>245</v>
      </c>
      <c r="K170" s="57" t="s">
        <v>255</v>
      </c>
      <c r="L170" s="57" t="s">
        <v>255</v>
      </c>
      <c r="M170" s="58" t="s">
        <v>242</v>
      </c>
      <c r="N170" s="59" t="s">
        <v>242</v>
      </c>
      <c r="O170" s="59" t="s">
        <v>242</v>
      </c>
      <c r="P170" s="59" t="s">
        <v>242</v>
      </c>
      <c r="Q170" s="59" t="s">
        <v>242</v>
      </c>
      <c r="R170" s="59" t="s">
        <v>242</v>
      </c>
      <c r="S170" s="60" t="s">
        <v>242</v>
      </c>
      <c r="T170" s="61" t="s">
        <v>242</v>
      </c>
      <c r="U170" s="56" t="s">
        <v>242</v>
      </c>
      <c r="V170" s="62">
        <v>15</v>
      </c>
      <c r="W170" s="63" t="s">
        <v>179</v>
      </c>
      <c r="X170" s="64" t="s">
        <v>247</v>
      </c>
    </row>
    <row r="171" spans="1:24" ht="15" customHeight="1" x14ac:dyDescent="0.2">
      <c r="A171" s="54" t="s">
        <v>241</v>
      </c>
      <c r="B171" s="55" t="s">
        <v>295</v>
      </c>
      <c r="C171" s="55" t="s">
        <v>249</v>
      </c>
      <c r="D171" s="55" t="s">
        <v>254</v>
      </c>
      <c r="E171" s="56" t="s">
        <v>45</v>
      </c>
      <c r="F171" s="56" t="s">
        <v>279</v>
      </c>
      <c r="G171" s="56" t="s">
        <v>251</v>
      </c>
      <c r="H171" s="57" t="s">
        <v>243</v>
      </c>
      <c r="I171" s="57" t="s">
        <v>244</v>
      </c>
      <c r="J171" s="57" t="s">
        <v>245</v>
      </c>
      <c r="K171" s="57" t="s">
        <v>255</v>
      </c>
      <c r="L171" s="57" t="s">
        <v>255</v>
      </c>
      <c r="M171" s="58" t="s">
        <v>242</v>
      </c>
      <c r="N171" s="59">
        <v>1</v>
      </c>
      <c r="O171" s="59">
        <v>15</v>
      </c>
      <c r="P171" s="59" t="s">
        <v>242</v>
      </c>
      <c r="Q171" s="59" t="s">
        <v>242</v>
      </c>
      <c r="R171" s="59">
        <v>15</v>
      </c>
      <c r="S171" s="59">
        <v>1</v>
      </c>
      <c r="T171" s="61" t="s">
        <v>242</v>
      </c>
      <c r="U171" s="56">
        <v>15</v>
      </c>
      <c r="V171" s="62"/>
      <c r="W171" s="63" t="s">
        <v>179</v>
      </c>
      <c r="X171" s="64" t="s">
        <v>247</v>
      </c>
    </row>
    <row r="172" spans="1:24" ht="15" customHeight="1" x14ac:dyDescent="0.2">
      <c r="A172" s="54" t="s">
        <v>241</v>
      </c>
      <c r="B172" s="55" t="s">
        <v>242</v>
      </c>
      <c r="C172" s="55" t="s">
        <v>242</v>
      </c>
      <c r="D172" s="55" t="s">
        <v>242</v>
      </c>
      <c r="E172" s="56" t="s">
        <v>242</v>
      </c>
      <c r="F172" s="56" t="s">
        <v>242</v>
      </c>
      <c r="G172" s="56" t="s">
        <v>242</v>
      </c>
      <c r="H172" s="57" t="s">
        <v>243</v>
      </c>
      <c r="I172" s="57" t="s">
        <v>244</v>
      </c>
      <c r="J172" s="57" t="s">
        <v>257</v>
      </c>
      <c r="K172" s="57" t="s">
        <v>278</v>
      </c>
      <c r="L172" s="57" t="s">
        <v>278</v>
      </c>
      <c r="M172" s="58" t="s">
        <v>242</v>
      </c>
      <c r="N172" s="59" t="s">
        <v>242</v>
      </c>
      <c r="O172" s="59" t="s">
        <v>242</v>
      </c>
      <c r="P172" s="59" t="s">
        <v>242</v>
      </c>
      <c r="Q172" s="59" t="s">
        <v>242</v>
      </c>
      <c r="R172" s="59" t="s">
        <v>242</v>
      </c>
      <c r="S172" s="59" t="s">
        <v>242</v>
      </c>
      <c r="T172" s="61" t="s">
        <v>242</v>
      </c>
      <c r="U172" s="56" t="s">
        <v>242</v>
      </c>
      <c r="V172" s="62">
        <v>6</v>
      </c>
      <c r="W172" s="63" t="s">
        <v>179</v>
      </c>
      <c r="X172" s="64" t="s">
        <v>259</v>
      </c>
    </row>
    <row r="173" spans="1:24" ht="15" customHeight="1" x14ac:dyDescent="0.2">
      <c r="A173" s="54" t="s">
        <v>241</v>
      </c>
      <c r="B173" s="55" t="s">
        <v>295</v>
      </c>
      <c r="C173" s="55" t="s">
        <v>249</v>
      </c>
      <c r="D173" s="55" t="s">
        <v>254</v>
      </c>
      <c r="E173" s="56" t="s">
        <v>296</v>
      </c>
      <c r="F173" s="56" t="s">
        <v>42</v>
      </c>
      <c r="G173" s="56" t="s">
        <v>251</v>
      </c>
      <c r="H173" s="57" t="s">
        <v>243</v>
      </c>
      <c r="I173" s="57" t="s">
        <v>244</v>
      </c>
      <c r="J173" s="57" t="s">
        <v>257</v>
      </c>
      <c r="K173" s="57" t="s">
        <v>278</v>
      </c>
      <c r="L173" s="57" t="s">
        <v>278</v>
      </c>
      <c r="M173" s="58" t="s">
        <v>242</v>
      </c>
      <c r="N173" s="59">
        <v>1</v>
      </c>
      <c r="O173" s="59">
        <v>6</v>
      </c>
      <c r="P173" s="59" t="s">
        <v>242</v>
      </c>
      <c r="Q173" s="59" t="s">
        <v>242</v>
      </c>
      <c r="R173" s="59">
        <v>6</v>
      </c>
      <c r="S173" s="59">
        <v>1</v>
      </c>
      <c r="T173" s="61" t="s">
        <v>242</v>
      </c>
      <c r="U173" s="56">
        <v>6</v>
      </c>
      <c r="V173" s="62"/>
      <c r="W173" s="63" t="s">
        <v>179</v>
      </c>
      <c r="X173" s="64" t="s">
        <v>259</v>
      </c>
    </row>
    <row r="174" spans="1:24" ht="15" customHeight="1" x14ac:dyDescent="0.2">
      <c r="A174" s="54" t="s">
        <v>241</v>
      </c>
      <c r="B174" s="55" t="s">
        <v>242</v>
      </c>
      <c r="C174" s="55" t="s">
        <v>242</v>
      </c>
      <c r="D174" s="55" t="s">
        <v>242</v>
      </c>
      <c r="E174" s="56" t="s">
        <v>242</v>
      </c>
      <c r="F174" s="56" t="s">
        <v>242</v>
      </c>
      <c r="G174" s="56" t="s">
        <v>242</v>
      </c>
      <c r="H174" s="57" t="s">
        <v>243</v>
      </c>
      <c r="I174" s="57" t="s">
        <v>244</v>
      </c>
      <c r="J174" s="57" t="s">
        <v>257</v>
      </c>
      <c r="K174" s="57" t="s">
        <v>258</v>
      </c>
      <c r="L174" s="57" t="s">
        <v>258</v>
      </c>
      <c r="M174" s="58" t="s">
        <v>242</v>
      </c>
      <c r="N174" s="59" t="s">
        <v>242</v>
      </c>
      <c r="O174" s="59" t="s">
        <v>242</v>
      </c>
      <c r="P174" s="59" t="s">
        <v>242</v>
      </c>
      <c r="Q174" s="59" t="s">
        <v>242</v>
      </c>
      <c r="R174" s="59" t="s">
        <v>242</v>
      </c>
      <c r="S174" s="59" t="s">
        <v>242</v>
      </c>
      <c r="T174" s="61" t="s">
        <v>242</v>
      </c>
      <c r="U174" s="56" t="s">
        <v>242</v>
      </c>
      <c r="V174" s="62">
        <v>90</v>
      </c>
      <c r="W174" s="63" t="s">
        <v>179</v>
      </c>
      <c r="X174" s="64" t="s">
        <v>259</v>
      </c>
    </row>
    <row r="175" spans="1:24" ht="15" customHeight="1" x14ac:dyDescent="0.2">
      <c r="A175" s="54" t="s">
        <v>241</v>
      </c>
      <c r="B175" s="55" t="s">
        <v>295</v>
      </c>
      <c r="C175" s="55" t="s">
        <v>249</v>
      </c>
      <c r="D175" s="55" t="s">
        <v>252</v>
      </c>
      <c r="E175" s="56" t="s">
        <v>293</v>
      </c>
      <c r="F175" s="56" t="s">
        <v>279</v>
      </c>
      <c r="G175" s="56" t="s">
        <v>251</v>
      </c>
      <c r="H175" s="57" t="s">
        <v>243</v>
      </c>
      <c r="I175" s="57" t="s">
        <v>244</v>
      </c>
      <c r="J175" s="57" t="s">
        <v>257</v>
      </c>
      <c r="K175" s="57" t="s">
        <v>258</v>
      </c>
      <c r="L175" s="57" t="s">
        <v>258</v>
      </c>
      <c r="M175" s="58" t="s">
        <v>242</v>
      </c>
      <c r="N175" s="59">
        <v>1</v>
      </c>
      <c r="O175" s="59">
        <v>70</v>
      </c>
      <c r="P175" s="59" t="s">
        <v>242</v>
      </c>
      <c r="Q175" s="59" t="s">
        <v>242</v>
      </c>
      <c r="R175" s="59">
        <v>70</v>
      </c>
      <c r="S175" s="59">
        <v>1</v>
      </c>
      <c r="T175" s="61" t="s">
        <v>242</v>
      </c>
      <c r="U175" s="56">
        <v>70</v>
      </c>
      <c r="V175" s="62"/>
      <c r="W175" s="63" t="s">
        <v>179</v>
      </c>
      <c r="X175" s="64" t="s">
        <v>259</v>
      </c>
    </row>
    <row r="176" spans="1:24" ht="15" customHeight="1" x14ac:dyDescent="0.2">
      <c r="A176" s="54" t="s">
        <v>241</v>
      </c>
      <c r="B176" s="55" t="s">
        <v>295</v>
      </c>
      <c r="C176" s="55" t="s">
        <v>249</v>
      </c>
      <c r="D176" s="55" t="s">
        <v>254</v>
      </c>
      <c r="E176" s="56" t="s">
        <v>45</v>
      </c>
      <c r="F176" s="56" t="s">
        <v>44</v>
      </c>
      <c r="G176" s="56" t="s">
        <v>251</v>
      </c>
      <c r="H176" s="57" t="s">
        <v>243</v>
      </c>
      <c r="I176" s="57" t="s">
        <v>244</v>
      </c>
      <c r="J176" s="57" t="s">
        <v>257</v>
      </c>
      <c r="K176" s="57" t="s">
        <v>258</v>
      </c>
      <c r="L176" s="57" t="s">
        <v>258</v>
      </c>
      <c r="M176" s="58" t="s">
        <v>242</v>
      </c>
      <c r="N176" s="59">
        <v>1</v>
      </c>
      <c r="O176" s="59">
        <v>20</v>
      </c>
      <c r="P176" s="59" t="s">
        <v>242</v>
      </c>
      <c r="Q176" s="59" t="s">
        <v>242</v>
      </c>
      <c r="R176" s="59">
        <v>20</v>
      </c>
      <c r="S176" s="59">
        <v>1</v>
      </c>
      <c r="T176" s="61" t="s">
        <v>242</v>
      </c>
      <c r="U176" s="56">
        <v>20</v>
      </c>
      <c r="V176" s="62"/>
      <c r="W176" s="63" t="s">
        <v>179</v>
      </c>
      <c r="X176" s="64" t="s">
        <v>259</v>
      </c>
    </row>
    <row r="177" spans="1:24" ht="15" customHeight="1" x14ac:dyDescent="0.2">
      <c r="A177" s="54" t="s">
        <v>241</v>
      </c>
      <c r="B177" s="55" t="s">
        <v>242</v>
      </c>
      <c r="C177" s="55" t="s">
        <v>242</v>
      </c>
      <c r="D177" s="55" t="s">
        <v>242</v>
      </c>
      <c r="E177" s="56" t="s">
        <v>242</v>
      </c>
      <c r="F177" s="56" t="s">
        <v>242</v>
      </c>
      <c r="G177" s="56" t="s">
        <v>242</v>
      </c>
      <c r="H177" s="57" t="s">
        <v>243</v>
      </c>
      <c r="I177" s="57" t="s">
        <v>244</v>
      </c>
      <c r="J177" s="57" t="s">
        <v>257</v>
      </c>
      <c r="K177" s="57" t="s">
        <v>261</v>
      </c>
      <c r="L177" s="57" t="s">
        <v>261</v>
      </c>
      <c r="M177" s="58" t="s">
        <v>242</v>
      </c>
      <c r="N177" s="59" t="s">
        <v>242</v>
      </c>
      <c r="O177" s="59" t="s">
        <v>242</v>
      </c>
      <c r="P177" s="59" t="s">
        <v>242</v>
      </c>
      <c r="Q177" s="59" t="s">
        <v>242</v>
      </c>
      <c r="R177" s="59" t="s">
        <v>242</v>
      </c>
      <c r="S177" s="59" t="s">
        <v>242</v>
      </c>
      <c r="T177" s="61" t="s">
        <v>242</v>
      </c>
      <c r="U177" s="56" t="s">
        <v>242</v>
      </c>
      <c r="V177" s="62">
        <v>200</v>
      </c>
      <c r="W177" s="63" t="s">
        <v>262</v>
      </c>
      <c r="X177" s="64" t="s">
        <v>259</v>
      </c>
    </row>
    <row r="178" spans="1:24" ht="15" customHeight="1" x14ac:dyDescent="0.2">
      <c r="A178" s="54" t="s">
        <v>241</v>
      </c>
      <c r="B178" s="55" t="s">
        <v>295</v>
      </c>
      <c r="C178" s="55" t="s">
        <v>249</v>
      </c>
      <c r="D178" s="55" t="s">
        <v>242</v>
      </c>
      <c r="E178" s="56" t="s">
        <v>242</v>
      </c>
      <c r="F178" s="56" t="s">
        <v>242</v>
      </c>
      <c r="G178" s="56" t="s">
        <v>251</v>
      </c>
      <c r="H178" s="57" t="s">
        <v>243</v>
      </c>
      <c r="I178" s="57" t="s">
        <v>244</v>
      </c>
      <c r="J178" s="57" t="s">
        <v>257</v>
      </c>
      <c r="K178" s="57" t="s">
        <v>261</v>
      </c>
      <c r="L178" s="57" t="s">
        <v>261</v>
      </c>
      <c r="M178" s="58" t="s">
        <v>242</v>
      </c>
      <c r="N178" s="59">
        <v>200</v>
      </c>
      <c r="O178" s="59" t="s">
        <v>242</v>
      </c>
      <c r="P178" s="59" t="s">
        <v>242</v>
      </c>
      <c r="Q178" s="59" t="s">
        <v>242</v>
      </c>
      <c r="R178" s="59">
        <v>200</v>
      </c>
      <c r="S178" s="59" t="s">
        <v>242</v>
      </c>
      <c r="T178" s="61" t="s">
        <v>242</v>
      </c>
      <c r="U178" s="56">
        <v>200</v>
      </c>
      <c r="V178" s="62"/>
      <c r="W178" s="63" t="s">
        <v>262</v>
      </c>
      <c r="X178" s="64" t="s">
        <v>259</v>
      </c>
    </row>
    <row r="179" spans="1:24" ht="15" customHeight="1" x14ac:dyDescent="0.2">
      <c r="A179" s="54" t="s">
        <v>241</v>
      </c>
      <c r="B179" s="55" t="s">
        <v>242</v>
      </c>
      <c r="C179" s="55" t="s">
        <v>242</v>
      </c>
      <c r="D179" s="55" t="s">
        <v>242</v>
      </c>
      <c r="E179" s="56" t="s">
        <v>242</v>
      </c>
      <c r="F179" s="56" t="s">
        <v>242</v>
      </c>
      <c r="G179" s="56" t="s">
        <v>242</v>
      </c>
      <c r="H179" s="57" t="s">
        <v>243</v>
      </c>
      <c r="I179" s="57" t="s">
        <v>244</v>
      </c>
      <c r="J179" s="57" t="s">
        <v>257</v>
      </c>
      <c r="K179" s="57" t="s">
        <v>264</v>
      </c>
      <c r="L179" s="57" t="s">
        <v>264</v>
      </c>
      <c r="M179" s="58" t="s">
        <v>242</v>
      </c>
      <c r="N179" s="59" t="s">
        <v>242</v>
      </c>
      <c r="O179" s="59" t="s">
        <v>242</v>
      </c>
      <c r="P179" s="59" t="s">
        <v>242</v>
      </c>
      <c r="Q179" s="59" t="s">
        <v>242</v>
      </c>
      <c r="R179" s="59" t="s">
        <v>242</v>
      </c>
      <c r="S179" s="59" t="s">
        <v>242</v>
      </c>
      <c r="T179" s="61" t="s">
        <v>242</v>
      </c>
      <c r="U179" s="56" t="s">
        <v>242</v>
      </c>
      <c r="V179" s="62">
        <v>125.85</v>
      </c>
      <c r="W179" s="63" t="s">
        <v>99</v>
      </c>
      <c r="X179" s="64" t="s">
        <v>259</v>
      </c>
    </row>
    <row r="180" spans="1:24" ht="15" customHeight="1" x14ac:dyDescent="0.2">
      <c r="A180" s="54" t="s">
        <v>241</v>
      </c>
      <c r="B180" s="55" t="s">
        <v>295</v>
      </c>
      <c r="C180" s="55" t="s">
        <v>249</v>
      </c>
      <c r="D180" s="55" t="s">
        <v>242</v>
      </c>
      <c r="E180" s="56" t="s">
        <v>242</v>
      </c>
      <c r="F180" s="56" t="s">
        <v>242</v>
      </c>
      <c r="G180" s="56" t="s">
        <v>251</v>
      </c>
      <c r="H180" s="57" t="s">
        <v>243</v>
      </c>
      <c r="I180" s="57" t="s">
        <v>244</v>
      </c>
      <c r="J180" s="57" t="s">
        <v>257</v>
      </c>
      <c r="K180" s="57" t="s">
        <v>264</v>
      </c>
      <c r="L180" s="57" t="s">
        <v>264</v>
      </c>
      <c r="M180" s="58" t="s">
        <v>242</v>
      </c>
      <c r="N180" s="59">
        <v>125.85</v>
      </c>
      <c r="O180" s="59" t="s">
        <v>242</v>
      </c>
      <c r="P180" s="59" t="s">
        <v>242</v>
      </c>
      <c r="Q180" s="59" t="s">
        <v>242</v>
      </c>
      <c r="R180" s="59">
        <v>125.85</v>
      </c>
      <c r="S180" s="59" t="s">
        <v>242</v>
      </c>
      <c r="T180" s="61" t="s">
        <v>242</v>
      </c>
      <c r="U180" s="56">
        <v>125.85</v>
      </c>
      <c r="V180" s="62"/>
      <c r="W180" s="63" t="s">
        <v>99</v>
      </c>
      <c r="X180" s="64" t="s">
        <v>259</v>
      </c>
    </row>
    <row r="181" spans="1:24" ht="15" customHeight="1" x14ac:dyDescent="0.2">
      <c r="A181" s="54" t="s">
        <v>241</v>
      </c>
      <c r="B181" s="55" t="s">
        <v>242</v>
      </c>
      <c r="C181" s="55" t="s">
        <v>242</v>
      </c>
      <c r="D181" s="55" t="s">
        <v>242</v>
      </c>
      <c r="E181" s="56" t="s">
        <v>242</v>
      </c>
      <c r="F181" s="56" t="s">
        <v>242</v>
      </c>
      <c r="G181" s="56" t="s">
        <v>242</v>
      </c>
      <c r="H181" s="57" t="s">
        <v>243</v>
      </c>
      <c r="I181" s="57" t="s">
        <v>244</v>
      </c>
      <c r="J181" s="57" t="s">
        <v>257</v>
      </c>
      <c r="K181" s="57" t="s">
        <v>268</v>
      </c>
      <c r="L181" s="57" t="s">
        <v>268</v>
      </c>
      <c r="M181" s="58" t="s">
        <v>242</v>
      </c>
      <c r="N181" s="59" t="s">
        <v>242</v>
      </c>
      <c r="O181" s="59" t="s">
        <v>242</v>
      </c>
      <c r="P181" s="59" t="s">
        <v>242</v>
      </c>
      <c r="Q181" s="59" t="s">
        <v>242</v>
      </c>
      <c r="R181" s="59" t="s">
        <v>242</v>
      </c>
      <c r="S181" s="59" t="s">
        <v>242</v>
      </c>
      <c r="T181" s="61" t="s">
        <v>242</v>
      </c>
      <c r="U181" s="56" t="s">
        <v>242</v>
      </c>
      <c r="V181" s="62">
        <v>28</v>
      </c>
      <c r="W181" s="63" t="s">
        <v>74</v>
      </c>
      <c r="X181" s="64" t="s">
        <v>259</v>
      </c>
    </row>
    <row r="182" spans="1:24" ht="15" customHeight="1" x14ac:dyDescent="0.2">
      <c r="A182" s="54" t="s">
        <v>241</v>
      </c>
      <c r="B182" s="55" t="s">
        <v>295</v>
      </c>
      <c r="C182" s="55" t="s">
        <v>249</v>
      </c>
      <c r="D182" s="55" t="s">
        <v>260</v>
      </c>
      <c r="E182" s="56" t="s">
        <v>223</v>
      </c>
      <c r="F182" s="56" t="s">
        <v>42</v>
      </c>
      <c r="G182" s="56" t="s">
        <v>251</v>
      </c>
      <c r="H182" s="57" t="s">
        <v>243</v>
      </c>
      <c r="I182" s="57" t="s">
        <v>244</v>
      </c>
      <c r="J182" s="57" t="s">
        <v>257</v>
      </c>
      <c r="K182" s="57" t="s">
        <v>268</v>
      </c>
      <c r="L182" s="57" t="s">
        <v>268</v>
      </c>
      <c r="M182" s="58" t="s">
        <v>242</v>
      </c>
      <c r="N182" s="59">
        <v>28</v>
      </c>
      <c r="O182" s="59" t="s">
        <v>242</v>
      </c>
      <c r="P182" s="59" t="s">
        <v>242</v>
      </c>
      <c r="Q182" s="59" t="s">
        <v>242</v>
      </c>
      <c r="R182" s="59">
        <v>28</v>
      </c>
      <c r="S182" s="59" t="s">
        <v>242</v>
      </c>
      <c r="T182" s="61" t="s">
        <v>242</v>
      </c>
      <c r="U182" s="56">
        <v>28</v>
      </c>
      <c r="V182" s="62"/>
      <c r="W182" s="63" t="s">
        <v>74</v>
      </c>
      <c r="X182" s="64" t="s">
        <v>259</v>
      </c>
    </row>
    <row r="183" spans="1:24" ht="15" customHeight="1" x14ac:dyDescent="0.2">
      <c r="A183" s="54" t="s">
        <v>241</v>
      </c>
      <c r="B183" s="55" t="s">
        <v>242</v>
      </c>
      <c r="C183" s="55" t="s">
        <v>242</v>
      </c>
      <c r="D183" s="55" t="s">
        <v>242</v>
      </c>
      <c r="E183" s="56" t="s">
        <v>242</v>
      </c>
      <c r="F183" s="56" t="s">
        <v>242</v>
      </c>
      <c r="G183" s="56" t="s">
        <v>242</v>
      </c>
      <c r="H183" s="57" t="s">
        <v>243</v>
      </c>
      <c r="I183" s="57" t="s">
        <v>244</v>
      </c>
      <c r="J183" s="57" t="s">
        <v>257</v>
      </c>
      <c r="K183" s="57" t="s">
        <v>269</v>
      </c>
      <c r="L183" s="57" t="s">
        <v>269</v>
      </c>
      <c r="M183" s="58" t="s">
        <v>242</v>
      </c>
      <c r="N183" s="59" t="s">
        <v>242</v>
      </c>
      <c r="O183" s="59" t="s">
        <v>242</v>
      </c>
      <c r="P183" s="59" t="s">
        <v>242</v>
      </c>
      <c r="Q183" s="59" t="s">
        <v>242</v>
      </c>
      <c r="R183" s="59" t="s">
        <v>242</v>
      </c>
      <c r="S183" s="59" t="s">
        <v>242</v>
      </c>
      <c r="T183" s="61" t="s">
        <v>242</v>
      </c>
      <c r="U183" s="56" t="s">
        <v>242</v>
      </c>
      <c r="V183" s="62">
        <v>7.41</v>
      </c>
      <c r="W183" s="63" t="s">
        <v>270</v>
      </c>
      <c r="X183" s="64" t="s">
        <v>259</v>
      </c>
    </row>
    <row r="184" spans="1:24" ht="15" customHeight="1" x14ac:dyDescent="0.2">
      <c r="A184" s="54" t="s">
        <v>241</v>
      </c>
      <c r="B184" s="55" t="s">
        <v>295</v>
      </c>
      <c r="C184" s="55" t="s">
        <v>249</v>
      </c>
      <c r="D184" s="55" t="s">
        <v>254</v>
      </c>
      <c r="E184" s="56" t="s">
        <v>45</v>
      </c>
      <c r="F184" s="56" t="s">
        <v>42</v>
      </c>
      <c r="G184" s="56" t="s">
        <v>251</v>
      </c>
      <c r="H184" s="57" t="s">
        <v>243</v>
      </c>
      <c r="I184" s="57" t="s">
        <v>244</v>
      </c>
      <c r="J184" s="57" t="s">
        <v>257</v>
      </c>
      <c r="K184" s="57" t="s">
        <v>269</v>
      </c>
      <c r="L184" s="57" t="s">
        <v>269</v>
      </c>
      <c r="M184" s="58" t="s">
        <v>242</v>
      </c>
      <c r="N184" s="59">
        <v>1</v>
      </c>
      <c r="O184" s="59">
        <v>1.5</v>
      </c>
      <c r="P184" s="59">
        <v>1</v>
      </c>
      <c r="Q184" s="59" t="s">
        <v>242</v>
      </c>
      <c r="R184" s="59">
        <v>1.5</v>
      </c>
      <c r="S184" s="59" t="s">
        <v>242</v>
      </c>
      <c r="T184" s="61" t="s">
        <v>242</v>
      </c>
      <c r="U184" s="56">
        <v>1.5</v>
      </c>
      <c r="V184" s="62"/>
      <c r="W184" s="63" t="s">
        <v>270</v>
      </c>
      <c r="X184" s="64" t="s">
        <v>259</v>
      </c>
    </row>
    <row r="185" spans="1:24" ht="15" customHeight="1" x14ac:dyDescent="0.2">
      <c r="A185" s="54" t="s">
        <v>241</v>
      </c>
      <c r="B185" s="55" t="s">
        <v>295</v>
      </c>
      <c r="C185" s="55" t="s">
        <v>249</v>
      </c>
      <c r="D185" s="55" t="s">
        <v>254</v>
      </c>
      <c r="E185" s="56" t="s">
        <v>45</v>
      </c>
      <c r="F185" s="56" t="s">
        <v>46</v>
      </c>
      <c r="G185" s="56" t="s">
        <v>251</v>
      </c>
      <c r="H185" s="57" t="s">
        <v>243</v>
      </c>
      <c r="I185" s="57" t="s">
        <v>244</v>
      </c>
      <c r="J185" s="57" t="s">
        <v>257</v>
      </c>
      <c r="K185" s="57" t="s">
        <v>269</v>
      </c>
      <c r="L185" s="57" t="s">
        <v>269</v>
      </c>
      <c r="M185" s="58" t="s">
        <v>242</v>
      </c>
      <c r="N185" s="59">
        <v>1</v>
      </c>
      <c r="O185" s="59">
        <v>1</v>
      </c>
      <c r="P185" s="59">
        <v>0.5</v>
      </c>
      <c r="Q185" s="59" t="s">
        <v>242</v>
      </c>
      <c r="R185" s="59">
        <v>0.5</v>
      </c>
      <c r="S185" s="59">
        <v>3</v>
      </c>
      <c r="T185" s="61" t="s">
        <v>242</v>
      </c>
      <c r="U185" s="56">
        <v>1.5</v>
      </c>
      <c r="V185" s="62"/>
      <c r="W185" s="63" t="s">
        <v>270</v>
      </c>
      <c r="X185" s="64" t="s">
        <v>259</v>
      </c>
    </row>
    <row r="186" spans="1:24" ht="15" customHeight="1" x14ac:dyDescent="0.2">
      <c r="A186" s="54" t="s">
        <v>241</v>
      </c>
      <c r="B186" s="55" t="s">
        <v>295</v>
      </c>
      <c r="C186" s="55" t="s">
        <v>249</v>
      </c>
      <c r="D186" s="55" t="s">
        <v>250</v>
      </c>
      <c r="E186" s="56" t="s">
        <v>41</v>
      </c>
      <c r="F186" s="56" t="s">
        <v>47</v>
      </c>
      <c r="G186" s="56" t="s">
        <v>251</v>
      </c>
      <c r="H186" s="57" t="s">
        <v>243</v>
      </c>
      <c r="I186" s="57" t="s">
        <v>244</v>
      </c>
      <c r="J186" s="57" t="s">
        <v>257</v>
      </c>
      <c r="K186" s="57" t="s">
        <v>269</v>
      </c>
      <c r="L186" s="57" t="s">
        <v>269</v>
      </c>
      <c r="M186" s="58" t="s">
        <v>242</v>
      </c>
      <c r="N186" s="59">
        <v>1</v>
      </c>
      <c r="O186" s="59">
        <v>1.8</v>
      </c>
      <c r="P186" s="59">
        <v>0.95</v>
      </c>
      <c r="Q186" s="59" t="s">
        <v>242</v>
      </c>
      <c r="R186" s="59">
        <v>1.71</v>
      </c>
      <c r="S186" s="59">
        <v>1</v>
      </c>
      <c r="T186" s="61" t="s">
        <v>242</v>
      </c>
      <c r="U186" s="56">
        <v>1.71</v>
      </c>
      <c r="V186" s="62"/>
      <c r="W186" s="63" t="s">
        <v>270</v>
      </c>
      <c r="X186" s="64" t="s">
        <v>259</v>
      </c>
    </row>
    <row r="187" spans="1:24" ht="15" customHeight="1" x14ac:dyDescent="0.2">
      <c r="A187" s="54" t="s">
        <v>241</v>
      </c>
      <c r="B187" s="55" t="s">
        <v>295</v>
      </c>
      <c r="C187" s="55" t="s">
        <v>249</v>
      </c>
      <c r="D187" s="55" t="s">
        <v>250</v>
      </c>
      <c r="E187" s="56" t="s">
        <v>41</v>
      </c>
      <c r="F187" s="56" t="s">
        <v>279</v>
      </c>
      <c r="G187" s="56" t="s">
        <v>251</v>
      </c>
      <c r="H187" s="57" t="s">
        <v>243</v>
      </c>
      <c r="I187" s="57" t="s">
        <v>244</v>
      </c>
      <c r="J187" s="57" t="s">
        <v>257</v>
      </c>
      <c r="K187" s="57" t="s">
        <v>269</v>
      </c>
      <c r="L187" s="57" t="s">
        <v>269</v>
      </c>
      <c r="M187" s="58" t="s">
        <v>242</v>
      </c>
      <c r="N187" s="59">
        <v>1</v>
      </c>
      <c r="O187" s="59">
        <v>1.5</v>
      </c>
      <c r="P187" s="59">
        <v>0.9</v>
      </c>
      <c r="Q187" s="59" t="s">
        <v>242</v>
      </c>
      <c r="R187" s="59">
        <v>1.35</v>
      </c>
      <c r="S187" s="59">
        <v>2</v>
      </c>
      <c r="T187" s="61" t="s">
        <v>242</v>
      </c>
      <c r="U187" s="56">
        <v>2.7</v>
      </c>
      <c r="V187" s="62"/>
      <c r="W187" s="63" t="s">
        <v>270</v>
      </c>
      <c r="X187" s="64" t="s">
        <v>259</v>
      </c>
    </row>
    <row r="188" spans="1:24" ht="15" customHeight="1" x14ac:dyDescent="0.2">
      <c r="A188" s="54" t="s">
        <v>241</v>
      </c>
      <c r="B188" s="55" t="s">
        <v>242</v>
      </c>
      <c r="C188" s="55" t="s">
        <v>242</v>
      </c>
      <c r="D188" s="55" t="s">
        <v>242</v>
      </c>
      <c r="E188" s="56" t="s">
        <v>242</v>
      </c>
      <c r="F188" s="56" t="s">
        <v>242</v>
      </c>
      <c r="G188" s="56" t="s">
        <v>242</v>
      </c>
      <c r="H188" s="57" t="s">
        <v>243</v>
      </c>
      <c r="I188" s="57" t="s">
        <v>244</v>
      </c>
      <c r="J188" s="57" t="s">
        <v>257</v>
      </c>
      <c r="K188" s="57" t="s">
        <v>271</v>
      </c>
      <c r="L188" s="57" t="s">
        <v>271</v>
      </c>
      <c r="M188" s="58" t="s">
        <v>242</v>
      </c>
      <c r="N188" s="59" t="s">
        <v>242</v>
      </c>
      <c r="O188" s="59" t="s">
        <v>242</v>
      </c>
      <c r="P188" s="59" t="s">
        <v>242</v>
      </c>
      <c r="Q188" s="59" t="s">
        <v>242</v>
      </c>
      <c r="R188" s="59" t="s">
        <v>242</v>
      </c>
      <c r="S188" s="59" t="s">
        <v>242</v>
      </c>
      <c r="T188" s="61" t="s">
        <v>242</v>
      </c>
      <c r="U188" s="56" t="s">
        <v>242</v>
      </c>
      <c r="V188" s="62">
        <v>269</v>
      </c>
      <c r="W188" s="63" t="s">
        <v>179</v>
      </c>
      <c r="X188" s="64" t="s">
        <v>259</v>
      </c>
    </row>
    <row r="189" spans="1:24" ht="15" customHeight="1" x14ac:dyDescent="0.2">
      <c r="A189" s="54" t="s">
        <v>241</v>
      </c>
      <c r="B189" s="55" t="s">
        <v>295</v>
      </c>
      <c r="C189" s="55" t="s">
        <v>249</v>
      </c>
      <c r="D189" s="55" t="s">
        <v>250</v>
      </c>
      <c r="E189" s="56" t="s">
        <v>41</v>
      </c>
      <c r="F189" s="56" t="s">
        <v>279</v>
      </c>
      <c r="G189" s="56" t="s">
        <v>251</v>
      </c>
      <c r="H189" s="57" t="s">
        <v>243</v>
      </c>
      <c r="I189" s="57" t="s">
        <v>244</v>
      </c>
      <c r="J189" s="57" t="s">
        <v>257</v>
      </c>
      <c r="K189" s="57" t="s">
        <v>271</v>
      </c>
      <c r="L189" s="57" t="s">
        <v>271</v>
      </c>
      <c r="M189" s="58" t="s">
        <v>51</v>
      </c>
      <c r="N189" s="59">
        <v>1</v>
      </c>
      <c r="O189" s="59">
        <v>108</v>
      </c>
      <c r="P189" s="59" t="s">
        <v>242</v>
      </c>
      <c r="Q189" s="59" t="s">
        <v>242</v>
      </c>
      <c r="R189" s="59">
        <v>108</v>
      </c>
      <c r="S189" s="59">
        <v>1</v>
      </c>
      <c r="T189" s="61" t="s">
        <v>242</v>
      </c>
      <c r="U189" s="56">
        <v>108</v>
      </c>
      <c r="V189" s="62"/>
      <c r="W189" s="63" t="s">
        <v>179</v>
      </c>
      <c r="X189" s="64" t="s">
        <v>259</v>
      </c>
    </row>
    <row r="190" spans="1:24" ht="15" customHeight="1" x14ac:dyDescent="0.2">
      <c r="A190" s="54" t="s">
        <v>241</v>
      </c>
      <c r="B190" s="55" t="s">
        <v>295</v>
      </c>
      <c r="C190" s="55" t="s">
        <v>249</v>
      </c>
      <c r="D190" s="55" t="s">
        <v>250</v>
      </c>
      <c r="E190" s="56" t="s">
        <v>41</v>
      </c>
      <c r="F190" s="56" t="s">
        <v>279</v>
      </c>
      <c r="G190" s="56" t="s">
        <v>251</v>
      </c>
      <c r="H190" s="57" t="s">
        <v>243</v>
      </c>
      <c r="I190" s="57" t="s">
        <v>244</v>
      </c>
      <c r="J190" s="57" t="s">
        <v>257</v>
      </c>
      <c r="K190" s="57" t="s">
        <v>271</v>
      </c>
      <c r="L190" s="57" t="s">
        <v>271</v>
      </c>
      <c r="M190" s="58" t="s">
        <v>49</v>
      </c>
      <c r="N190" s="59">
        <v>1</v>
      </c>
      <c r="O190" s="59" t="s">
        <v>242</v>
      </c>
      <c r="P190" s="59">
        <v>8</v>
      </c>
      <c r="Q190" s="59" t="s">
        <v>242</v>
      </c>
      <c r="R190" s="59">
        <v>8</v>
      </c>
      <c r="S190" s="59">
        <v>10</v>
      </c>
      <c r="T190" s="61" t="s">
        <v>242</v>
      </c>
      <c r="U190" s="56">
        <v>80</v>
      </c>
      <c r="V190" s="62"/>
      <c r="W190" s="63" t="s">
        <v>179</v>
      </c>
      <c r="X190" s="64" t="s">
        <v>259</v>
      </c>
    </row>
    <row r="191" spans="1:24" ht="15" customHeight="1" x14ac:dyDescent="0.2">
      <c r="A191" s="54" t="s">
        <v>241</v>
      </c>
      <c r="B191" s="55" t="s">
        <v>295</v>
      </c>
      <c r="C191" s="55" t="s">
        <v>249</v>
      </c>
      <c r="D191" s="55" t="s">
        <v>250</v>
      </c>
      <c r="E191" s="56" t="s">
        <v>41</v>
      </c>
      <c r="F191" s="56" t="s">
        <v>279</v>
      </c>
      <c r="G191" s="56" t="s">
        <v>251</v>
      </c>
      <c r="H191" s="57" t="s">
        <v>243</v>
      </c>
      <c r="I191" s="57" t="s">
        <v>244</v>
      </c>
      <c r="J191" s="57" t="s">
        <v>257</v>
      </c>
      <c r="K191" s="57" t="s">
        <v>271</v>
      </c>
      <c r="L191" s="57" t="s">
        <v>271</v>
      </c>
      <c r="M191" s="58" t="s">
        <v>52</v>
      </c>
      <c r="N191" s="59">
        <v>1</v>
      </c>
      <c r="O191" s="59">
        <v>54</v>
      </c>
      <c r="P191" s="59" t="s">
        <v>242</v>
      </c>
      <c r="Q191" s="59" t="s">
        <v>242</v>
      </c>
      <c r="R191" s="59">
        <v>54</v>
      </c>
      <c r="S191" s="59">
        <v>1</v>
      </c>
      <c r="T191" s="61" t="s">
        <v>242</v>
      </c>
      <c r="U191" s="56">
        <v>54</v>
      </c>
      <c r="V191" s="62"/>
      <c r="W191" s="63" t="s">
        <v>179</v>
      </c>
      <c r="X191" s="64" t="s">
        <v>259</v>
      </c>
    </row>
    <row r="192" spans="1:24" ht="15" customHeight="1" x14ac:dyDescent="0.2">
      <c r="A192" s="54" t="s">
        <v>241</v>
      </c>
      <c r="B192" s="55" t="s">
        <v>295</v>
      </c>
      <c r="C192" s="55" t="s">
        <v>249</v>
      </c>
      <c r="D192" s="55" t="s">
        <v>250</v>
      </c>
      <c r="E192" s="56" t="s">
        <v>41</v>
      </c>
      <c r="F192" s="56" t="s">
        <v>279</v>
      </c>
      <c r="G192" s="56" t="s">
        <v>251</v>
      </c>
      <c r="H192" s="57" t="s">
        <v>243</v>
      </c>
      <c r="I192" s="57" t="s">
        <v>244</v>
      </c>
      <c r="J192" s="57" t="s">
        <v>257</v>
      </c>
      <c r="K192" s="57" t="s">
        <v>271</v>
      </c>
      <c r="L192" s="57" t="s">
        <v>271</v>
      </c>
      <c r="M192" s="58" t="s">
        <v>50</v>
      </c>
      <c r="N192" s="59">
        <v>1</v>
      </c>
      <c r="O192" s="59">
        <v>27</v>
      </c>
      <c r="P192" s="59" t="s">
        <v>242</v>
      </c>
      <c r="Q192" s="59" t="s">
        <v>242</v>
      </c>
      <c r="R192" s="59">
        <v>27</v>
      </c>
      <c r="S192" s="59">
        <v>1</v>
      </c>
      <c r="T192" s="61" t="s">
        <v>242</v>
      </c>
      <c r="U192" s="56">
        <v>27</v>
      </c>
      <c r="V192" s="62"/>
      <c r="W192" s="63" t="s">
        <v>179</v>
      </c>
      <c r="X192" s="64" t="s">
        <v>259</v>
      </c>
    </row>
    <row r="193" spans="1:24" ht="15" customHeight="1" x14ac:dyDescent="0.25">
      <c r="A193" s="48"/>
      <c r="B193" s="49"/>
      <c r="C193" s="48"/>
      <c r="D193" s="48"/>
      <c r="E193" s="53"/>
      <c r="F193" s="46"/>
      <c r="G193" s="46"/>
      <c r="H193" s="46"/>
      <c r="I193" s="46"/>
      <c r="J193" s="46"/>
      <c r="K193" s="46"/>
      <c r="L193" s="46"/>
      <c r="M193" s="48"/>
      <c r="N193" s="48"/>
      <c r="O193" s="49"/>
      <c r="P193" s="48"/>
      <c r="Q193" s="48"/>
      <c r="R193" s="48"/>
      <c r="S193" s="46"/>
      <c r="T193" s="48"/>
      <c r="U193" s="48"/>
      <c r="V193" s="25"/>
      <c r="W193" s="25"/>
      <c r="X193" s="25"/>
    </row>
    <row r="194" spans="1:24" ht="15" customHeight="1" x14ac:dyDescent="0.25">
      <c r="A194" s="48"/>
      <c r="B194" s="49"/>
      <c r="C194" s="48"/>
      <c r="D194" s="48"/>
      <c r="E194" s="53"/>
      <c r="F194" s="46"/>
      <c r="G194" s="46"/>
      <c r="H194" s="46"/>
      <c r="I194" s="46"/>
      <c r="J194" s="46"/>
      <c r="K194" s="46"/>
      <c r="L194" s="46"/>
      <c r="M194" s="48"/>
      <c r="N194" s="48"/>
      <c r="O194" s="49"/>
      <c r="P194" s="48"/>
      <c r="Q194" s="48"/>
      <c r="R194" s="48"/>
      <c r="S194" s="46"/>
      <c r="T194" s="48"/>
      <c r="U194" s="48"/>
      <c r="V194" s="25"/>
      <c r="W194" s="25"/>
      <c r="X194" s="25"/>
    </row>
    <row r="195" spans="1:24" ht="15" customHeight="1" x14ac:dyDescent="0.2">
      <c r="A195" s="54" t="s">
        <v>241</v>
      </c>
      <c r="B195" s="55" t="s">
        <v>242</v>
      </c>
      <c r="C195" s="55" t="s">
        <v>242</v>
      </c>
      <c r="D195" s="55" t="s">
        <v>242</v>
      </c>
      <c r="E195" s="56" t="s">
        <v>242</v>
      </c>
      <c r="F195" s="56" t="s">
        <v>242</v>
      </c>
      <c r="G195" s="56" t="s">
        <v>242</v>
      </c>
      <c r="H195" s="57" t="s">
        <v>243</v>
      </c>
      <c r="I195" s="57" t="s">
        <v>244</v>
      </c>
      <c r="J195" s="57" t="s">
        <v>245</v>
      </c>
      <c r="K195" s="57" t="s">
        <v>253</v>
      </c>
      <c r="L195" s="57" t="s">
        <v>253</v>
      </c>
      <c r="M195" s="58" t="s">
        <v>242</v>
      </c>
      <c r="N195" s="59" t="s">
        <v>242</v>
      </c>
      <c r="O195" s="59" t="s">
        <v>242</v>
      </c>
      <c r="P195" s="59" t="s">
        <v>242</v>
      </c>
      <c r="Q195" s="59" t="s">
        <v>242</v>
      </c>
      <c r="R195" s="59" t="s">
        <v>242</v>
      </c>
      <c r="S195" s="60" t="s">
        <v>242</v>
      </c>
      <c r="T195" s="61" t="s">
        <v>242</v>
      </c>
      <c r="U195" s="56" t="s">
        <v>242</v>
      </c>
      <c r="V195" s="62">
        <v>12</v>
      </c>
      <c r="W195" s="63" t="s">
        <v>179</v>
      </c>
      <c r="X195" s="64" t="s">
        <v>247</v>
      </c>
    </row>
    <row r="196" spans="1:24" ht="15" customHeight="1" x14ac:dyDescent="0.2">
      <c r="A196" s="54" t="s">
        <v>241</v>
      </c>
      <c r="B196" s="55" t="s">
        <v>297</v>
      </c>
      <c r="C196" s="55" t="s">
        <v>249</v>
      </c>
      <c r="D196" s="55" t="s">
        <v>254</v>
      </c>
      <c r="E196" s="56" t="s">
        <v>45</v>
      </c>
      <c r="F196" s="56" t="s">
        <v>42</v>
      </c>
      <c r="G196" s="56" t="s">
        <v>251</v>
      </c>
      <c r="H196" s="57" t="s">
        <v>243</v>
      </c>
      <c r="I196" s="57" t="s">
        <v>244</v>
      </c>
      <c r="J196" s="57" t="s">
        <v>245</v>
      </c>
      <c r="K196" s="57" t="s">
        <v>253</v>
      </c>
      <c r="L196" s="57" t="s">
        <v>253</v>
      </c>
      <c r="M196" s="58" t="s">
        <v>242</v>
      </c>
      <c r="N196" s="59">
        <v>1</v>
      </c>
      <c r="O196" s="59">
        <v>12</v>
      </c>
      <c r="P196" s="59" t="s">
        <v>242</v>
      </c>
      <c r="Q196" s="59" t="s">
        <v>242</v>
      </c>
      <c r="R196" s="59">
        <v>12</v>
      </c>
      <c r="S196" s="59" t="s">
        <v>242</v>
      </c>
      <c r="T196" s="61" t="s">
        <v>242</v>
      </c>
      <c r="U196" s="56">
        <v>12</v>
      </c>
      <c r="V196" s="62"/>
      <c r="W196" s="63" t="s">
        <v>179</v>
      </c>
      <c r="X196" s="64" t="s">
        <v>247</v>
      </c>
    </row>
    <row r="197" spans="1:24" ht="15" customHeight="1" x14ac:dyDescent="0.2">
      <c r="A197" s="54" t="s">
        <v>241</v>
      </c>
      <c r="B197" s="55" t="s">
        <v>242</v>
      </c>
      <c r="C197" s="55" t="s">
        <v>242</v>
      </c>
      <c r="D197" s="55" t="s">
        <v>242</v>
      </c>
      <c r="E197" s="56" t="s">
        <v>242</v>
      </c>
      <c r="F197" s="56" t="s">
        <v>242</v>
      </c>
      <c r="G197" s="56" t="s">
        <v>242</v>
      </c>
      <c r="H197" s="57" t="s">
        <v>243</v>
      </c>
      <c r="I197" s="57" t="s">
        <v>244</v>
      </c>
      <c r="J197" s="57" t="s">
        <v>245</v>
      </c>
      <c r="K197" s="57" t="s">
        <v>255</v>
      </c>
      <c r="L197" s="57" t="s">
        <v>255</v>
      </c>
      <c r="M197" s="58" t="s">
        <v>242</v>
      </c>
      <c r="N197" s="59" t="s">
        <v>242</v>
      </c>
      <c r="O197" s="59" t="s">
        <v>242</v>
      </c>
      <c r="P197" s="59" t="s">
        <v>242</v>
      </c>
      <c r="Q197" s="59" t="s">
        <v>242</v>
      </c>
      <c r="R197" s="59" t="s">
        <v>242</v>
      </c>
      <c r="S197" s="59" t="s">
        <v>242</v>
      </c>
      <c r="T197" s="61" t="s">
        <v>242</v>
      </c>
      <c r="U197" s="56" t="s">
        <v>242</v>
      </c>
      <c r="V197" s="62">
        <v>14</v>
      </c>
      <c r="W197" s="63" t="s">
        <v>179</v>
      </c>
      <c r="X197" s="64" t="s">
        <v>247</v>
      </c>
    </row>
    <row r="198" spans="1:24" ht="15" customHeight="1" x14ac:dyDescent="0.2">
      <c r="A198" s="54" t="s">
        <v>241</v>
      </c>
      <c r="B198" s="55" t="s">
        <v>297</v>
      </c>
      <c r="C198" s="55" t="s">
        <v>249</v>
      </c>
      <c r="D198" s="55" t="s">
        <v>254</v>
      </c>
      <c r="E198" s="56" t="s">
        <v>45</v>
      </c>
      <c r="F198" s="56" t="s">
        <v>47</v>
      </c>
      <c r="G198" s="56" t="s">
        <v>251</v>
      </c>
      <c r="H198" s="57" t="s">
        <v>243</v>
      </c>
      <c r="I198" s="57" t="s">
        <v>244</v>
      </c>
      <c r="J198" s="57" t="s">
        <v>245</v>
      </c>
      <c r="K198" s="57" t="s">
        <v>255</v>
      </c>
      <c r="L198" s="57" t="s">
        <v>255</v>
      </c>
      <c r="M198" s="58" t="s">
        <v>242</v>
      </c>
      <c r="N198" s="59">
        <v>1</v>
      </c>
      <c r="O198" s="59">
        <v>14</v>
      </c>
      <c r="P198" s="59" t="s">
        <v>242</v>
      </c>
      <c r="Q198" s="59" t="s">
        <v>242</v>
      </c>
      <c r="R198" s="59">
        <v>14</v>
      </c>
      <c r="S198" s="59" t="s">
        <v>242</v>
      </c>
      <c r="T198" s="61" t="s">
        <v>242</v>
      </c>
      <c r="U198" s="56">
        <v>14</v>
      </c>
      <c r="V198" s="62"/>
      <c r="W198" s="63" t="s">
        <v>179</v>
      </c>
      <c r="X198" s="64" t="s">
        <v>247</v>
      </c>
    </row>
    <row r="199" spans="1:24" ht="15" customHeight="1" x14ac:dyDescent="0.2">
      <c r="A199" s="54" t="s">
        <v>241</v>
      </c>
      <c r="B199" s="55" t="s">
        <v>242</v>
      </c>
      <c r="C199" s="55" t="s">
        <v>242</v>
      </c>
      <c r="D199" s="55" t="s">
        <v>242</v>
      </c>
      <c r="E199" s="56" t="s">
        <v>242</v>
      </c>
      <c r="F199" s="56" t="s">
        <v>242</v>
      </c>
      <c r="G199" s="56" t="s">
        <v>242</v>
      </c>
      <c r="H199" s="57" t="s">
        <v>243</v>
      </c>
      <c r="I199" s="57" t="s">
        <v>244</v>
      </c>
      <c r="J199" s="57" t="s">
        <v>257</v>
      </c>
      <c r="K199" s="57" t="s">
        <v>258</v>
      </c>
      <c r="L199" s="57" t="s">
        <v>258</v>
      </c>
      <c r="M199" s="58" t="s">
        <v>242</v>
      </c>
      <c r="N199" s="59" t="s">
        <v>242</v>
      </c>
      <c r="O199" s="59" t="s">
        <v>242</v>
      </c>
      <c r="P199" s="59" t="s">
        <v>242</v>
      </c>
      <c r="Q199" s="59" t="s">
        <v>242</v>
      </c>
      <c r="R199" s="59" t="s">
        <v>242</v>
      </c>
      <c r="S199" s="59" t="s">
        <v>242</v>
      </c>
      <c r="T199" s="61" t="s">
        <v>242</v>
      </c>
      <c r="U199" s="56" t="s">
        <v>242</v>
      </c>
      <c r="V199" s="62">
        <v>130</v>
      </c>
      <c r="W199" s="63" t="s">
        <v>179</v>
      </c>
      <c r="X199" s="64" t="s">
        <v>259</v>
      </c>
    </row>
    <row r="200" spans="1:24" ht="15" customHeight="1" x14ac:dyDescent="0.2">
      <c r="A200" s="54" t="s">
        <v>241</v>
      </c>
      <c r="B200" s="55" t="s">
        <v>297</v>
      </c>
      <c r="C200" s="55" t="s">
        <v>249</v>
      </c>
      <c r="D200" s="55" t="s">
        <v>252</v>
      </c>
      <c r="E200" s="56" t="s">
        <v>48</v>
      </c>
      <c r="F200" s="56" t="s">
        <v>47</v>
      </c>
      <c r="G200" s="56" t="s">
        <v>251</v>
      </c>
      <c r="H200" s="57" t="s">
        <v>243</v>
      </c>
      <c r="I200" s="57" t="s">
        <v>244</v>
      </c>
      <c r="J200" s="57" t="s">
        <v>257</v>
      </c>
      <c r="K200" s="57" t="s">
        <v>258</v>
      </c>
      <c r="L200" s="57" t="s">
        <v>258</v>
      </c>
      <c r="M200" s="58" t="s">
        <v>242</v>
      </c>
      <c r="N200" s="59">
        <v>1</v>
      </c>
      <c r="O200" s="59">
        <v>90</v>
      </c>
      <c r="P200" s="59" t="s">
        <v>242</v>
      </c>
      <c r="Q200" s="59" t="s">
        <v>242</v>
      </c>
      <c r="R200" s="59">
        <v>90</v>
      </c>
      <c r="S200" s="59" t="s">
        <v>242</v>
      </c>
      <c r="T200" s="61" t="s">
        <v>242</v>
      </c>
      <c r="U200" s="56">
        <v>90</v>
      </c>
      <c r="V200" s="62"/>
      <c r="W200" s="63" t="s">
        <v>179</v>
      </c>
      <c r="X200" s="64" t="s">
        <v>259</v>
      </c>
    </row>
    <row r="201" spans="1:24" ht="15" customHeight="1" x14ac:dyDescent="0.2">
      <c r="A201" s="54" t="s">
        <v>241</v>
      </c>
      <c r="B201" s="55" t="s">
        <v>297</v>
      </c>
      <c r="C201" s="55" t="s">
        <v>249</v>
      </c>
      <c r="D201" s="55" t="s">
        <v>260</v>
      </c>
      <c r="E201" s="56" t="s">
        <v>222</v>
      </c>
      <c r="F201" s="56" t="s">
        <v>44</v>
      </c>
      <c r="G201" s="56" t="s">
        <v>251</v>
      </c>
      <c r="H201" s="57" t="s">
        <v>243</v>
      </c>
      <c r="I201" s="57" t="s">
        <v>244</v>
      </c>
      <c r="J201" s="57" t="s">
        <v>257</v>
      </c>
      <c r="K201" s="57" t="s">
        <v>258</v>
      </c>
      <c r="L201" s="57" t="s">
        <v>258</v>
      </c>
      <c r="M201" s="58" t="s">
        <v>242</v>
      </c>
      <c r="N201" s="59">
        <v>1</v>
      </c>
      <c r="O201" s="59">
        <v>40</v>
      </c>
      <c r="P201" s="59" t="s">
        <v>242</v>
      </c>
      <c r="Q201" s="59" t="s">
        <v>242</v>
      </c>
      <c r="R201" s="59">
        <v>40</v>
      </c>
      <c r="S201" s="59" t="s">
        <v>242</v>
      </c>
      <c r="T201" s="61" t="s">
        <v>242</v>
      </c>
      <c r="U201" s="56">
        <v>40</v>
      </c>
      <c r="V201" s="62"/>
      <c r="W201" s="63" t="s">
        <v>179</v>
      </c>
      <c r="X201" s="64" t="s">
        <v>259</v>
      </c>
    </row>
    <row r="202" spans="1:24" ht="15" customHeight="1" x14ac:dyDescent="0.2">
      <c r="A202" s="54" t="s">
        <v>241</v>
      </c>
      <c r="B202" s="55" t="s">
        <v>242</v>
      </c>
      <c r="C202" s="55" t="s">
        <v>242</v>
      </c>
      <c r="D202" s="55" t="s">
        <v>242</v>
      </c>
      <c r="E202" s="56" t="s">
        <v>242</v>
      </c>
      <c r="F202" s="56" t="s">
        <v>242</v>
      </c>
      <c r="G202" s="56" t="s">
        <v>242</v>
      </c>
      <c r="H202" s="57" t="s">
        <v>243</v>
      </c>
      <c r="I202" s="57" t="s">
        <v>244</v>
      </c>
      <c r="J202" s="57" t="s">
        <v>257</v>
      </c>
      <c r="K202" s="57" t="s">
        <v>261</v>
      </c>
      <c r="L202" s="57" t="s">
        <v>261</v>
      </c>
      <c r="M202" s="58" t="s">
        <v>242</v>
      </c>
      <c r="N202" s="59" t="s">
        <v>242</v>
      </c>
      <c r="O202" s="59" t="s">
        <v>242</v>
      </c>
      <c r="P202" s="59" t="s">
        <v>242</v>
      </c>
      <c r="Q202" s="59" t="s">
        <v>242</v>
      </c>
      <c r="R202" s="59" t="s">
        <v>242</v>
      </c>
      <c r="S202" s="59" t="s">
        <v>242</v>
      </c>
      <c r="T202" s="61" t="s">
        <v>242</v>
      </c>
      <c r="U202" s="56" t="s">
        <v>242</v>
      </c>
      <c r="V202" s="62">
        <v>200</v>
      </c>
      <c r="W202" s="63" t="s">
        <v>262</v>
      </c>
      <c r="X202" s="64" t="s">
        <v>259</v>
      </c>
    </row>
    <row r="203" spans="1:24" ht="15" customHeight="1" x14ac:dyDescent="0.2">
      <c r="A203" s="54" t="s">
        <v>241</v>
      </c>
      <c r="B203" s="55" t="s">
        <v>297</v>
      </c>
      <c r="C203" s="55" t="s">
        <v>249</v>
      </c>
      <c r="D203" s="55" t="s">
        <v>242</v>
      </c>
      <c r="E203" s="56" t="s">
        <v>242</v>
      </c>
      <c r="F203" s="56" t="s">
        <v>242</v>
      </c>
      <c r="G203" s="56" t="s">
        <v>251</v>
      </c>
      <c r="H203" s="57" t="s">
        <v>243</v>
      </c>
      <c r="I203" s="57" t="s">
        <v>244</v>
      </c>
      <c r="J203" s="57" t="s">
        <v>257</v>
      </c>
      <c r="K203" s="57" t="s">
        <v>261</v>
      </c>
      <c r="L203" s="57" t="s">
        <v>261</v>
      </c>
      <c r="M203" s="58" t="s">
        <v>242</v>
      </c>
      <c r="N203" s="59">
        <v>200</v>
      </c>
      <c r="O203" s="59" t="s">
        <v>242</v>
      </c>
      <c r="P203" s="59" t="s">
        <v>242</v>
      </c>
      <c r="Q203" s="59" t="s">
        <v>242</v>
      </c>
      <c r="R203" s="59">
        <v>200</v>
      </c>
      <c r="S203" s="59" t="s">
        <v>242</v>
      </c>
      <c r="T203" s="61" t="s">
        <v>242</v>
      </c>
      <c r="U203" s="56">
        <v>200</v>
      </c>
      <c r="V203" s="62"/>
      <c r="W203" s="63" t="s">
        <v>262</v>
      </c>
      <c r="X203" s="64" t="s">
        <v>259</v>
      </c>
    </row>
    <row r="204" spans="1:24" ht="15" customHeight="1" x14ac:dyDescent="0.2">
      <c r="A204" s="54" t="s">
        <v>241</v>
      </c>
      <c r="B204" s="55" t="s">
        <v>242</v>
      </c>
      <c r="C204" s="55" t="s">
        <v>242</v>
      </c>
      <c r="D204" s="55" t="s">
        <v>242</v>
      </c>
      <c r="E204" s="56" t="s">
        <v>242</v>
      </c>
      <c r="F204" s="56" t="s">
        <v>242</v>
      </c>
      <c r="G204" s="56" t="s">
        <v>242</v>
      </c>
      <c r="H204" s="57" t="s">
        <v>243</v>
      </c>
      <c r="I204" s="57" t="s">
        <v>244</v>
      </c>
      <c r="J204" s="57" t="s">
        <v>257</v>
      </c>
      <c r="K204" s="57" t="s">
        <v>264</v>
      </c>
      <c r="L204" s="57" t="s">
        <v>264</v>
      </c>
      <c r="M204" s="58" t="s">
        <v>242</v>
      </c>
      <c r="N204" s="59" t="s">
        <v>242</v>
      </c>
      <c r="O204" s="59" t="s">
        <v>242</v>
      </c>
      <c r="P204" s="59" t="s">
        <v>242</v>
      </c>
      <c r="Q204" s="59" t="s">
        <v>242</v>
      </c>
      <c r="R204" s="59" t="s">
        <v>242</v>
      </c>
      <c r="S204" s="59" t="s">
        <v>242</v>
      </c>
      <c r="T204" s="61" t="s">
        <v>242</v>
      </c>
      <c r="U204" s="56" t="s">
        <v>242</v>
      </c>
      <c r="V204" s="62">
        <v>86.34</v>
      </c>
      <c r="W204" s="63" t="s">
        <v>99</v>
      </c>
      <c r="X204" s="64" t="s">
        <v>259</v>
      </c>
    </row>
    <row r="205" spans="1:24" ht="15" customHeight="1" x14ac:dyDescent="0.2">
      <c r="A205" s="54" t="s">
        <v>241</v>
      </c>
      <c r="B205" s="55" t="s">
        <v>297</v>
      </c>
      <c r="C205" s="55" t="s">
        <v>249</v>
      </c>
      <c r="D205" s="55" t="s">
        <v>242</v>
      </c>
      <c r="E205" s="56" t="s">
        <v>242</v>
      </c>
      <c r="F205" s="56" t="s">
        <v>242</v>
      </c>
      <c r="G205" s="56" t="s">
        <v>251</v>
      </c>
      <c r="H205" s="57" t="s">
        <v>243</v>
      </c>
      <c r="I205" s="57" t="s">
        <v>244</v>
      </c>
      <c r="J205" s="57" t="s">
        <v>257</v>
      </c>
      <c r="K205" s="57" t="s">
        <v>264</v>
      </c>
      <c r="L205" s="57" t="s">
        <v>264</v>
      </c>
      <c r="M205" s="58" t="s">
        <v>242</v>
      </c>
      <c r="N205" s="59">
        <v>86.34</v>
      </c>
      <c r="O205" s="59" t="s">
        <v>242</v>
      </c>
      <c r="P205" s="59" t="s">
        <v>242</v>
      </c>
      <c r="Q205" s="59" t="s">
        <v>242</v>
      </c>
      <c r="R205" s="59">
        <v>86.34</v>
      </c>
      <c r="S205" s="59" t="s">
        <v>242</v>
      </c>
      <c r="T205" s="61" t="s">
        <v>242</v>
      </c>
      <c r="U205" s="56">
        <v>86.34</v>
      </c>
      <c r="V205" s="62"/>
      <c r="W205" s="63" t="s">
        <v>99</v>
      </c>
      <c r="X205" s="64" t="s">
        <v>259</v>
      </c>
    </row>
    <row r="206" spans="1:24" ht="15" customHeight="1" x14ac:dyDescent="0.2">
      <c r="A206" s="54" t="s">
        <v>241</v>
      </c>
      <c r="B206" s="55" t="s">
        <v>242</v>
      </c>
      <c r="C206" s="55" t="s">
        <v>242</v>
      </c>
      <c r="D206" s="55" t="s">
        <v>242</v>
      </c>
      <c r="E206" s="56" t="s">
        <v>242</v>
      </c>
      <c r="F206" s="56" t="s">
        <v>242</v>
      </c>
      <c r="G206" s="56" t="s">
        <v>242</v>
      </c>
      <c r="H206" s="57" t="s">
        <v>243</v>
      </c>
      <c r="I206" s="57" t="s">
        <v>244</v>
      </c>
      <c r="J206" s="57" t="s">
        <v>257</v>
      </c>
      <c r="K206" s="57" t="s">
        <v>267</v>
      </c>
      <c r="L206" s="57" t="s">
        <v>267</v>
      </c>
      <c r="M206" s="58" t="s">
        <v>242</v>
      </c>
      <c r="N206" s="59" t="s">
        <v>242</v>
      </c>
      <c r="O206" s="59" t="s">
        <v>242</v>
      </c>
      <c r="P206" s="59" t="s">
        <v>242</v>
      </c>
      <c r="Q206" s="59" t="s">
        <v>242</v>
      </c>
      <c r="R206" s="59" t="s">
        <v>242</v>
      </c>
      <c r="S206" s="59" t="s">
        <v>242</v>
      </c>
      <c r="T206" s="61" t="s">
        <v>242</v>
      </c>
      <c r="U206" s="56" t="s">
        <v>242</v>
      </c>
      <c r="V206" s="62">
        <v>30</v>
      </c>
      <c r="W206" s="63" t="s">
        <v>74</v>
      </c>
      <c r="X206" s="64" t="s">
        <v>259</v>
      </c>
    </row>
    <row r="207" spans="1:24" ht="15" customHeight="1" x14ac:dyDescent="0.2">
      <c r="A207" s="54" t="s">
        <v>241</v>
      </c>
      <c r="B207" s="55" t="s">
        <v>297</v>
      </c>
      <c r="C207" s="55" t="s">
        <v>249</v>
      </c>
      <c r="D207" s="55" t="s">
        <v>252</v>
      </c>
      <c r="E207" s="56" t="s">
        <v>48</v>
      </c>
      <c r="F207" s="56" t="s">
        <v>47</v>
      </c>
      <c r="G207" s="56" t="s">
        <v>251</v>
      </c>
      <c r="H207" s="57" t="s">
        <v>243</v>
      </c>
      <c r="I207" s="57" t="s">
        <v>244</v>
      </c>
      <c r="J207" s="57" t="s">
        <v>257</v>
      </c>
      <c r="K207" s="57" t="s">
        <v>267</v>
      </c>
      <c r="L207" s="57" t="s">
        <v>267</v>
      </c>
      <c r="M207" s="58" t="s">
        <v>242</v>
      </c>
      <c r="N207" s="59">
        <v>30</v>
      </c>
      <c r="O207" s="59" t="s">
        <v>242</v>
      </c>
      <c r="P207" s="59" t="s">
        <v>242</v>
      </c>
      <c r="Q207" s="59" t="s">
        <v>242</v>
      </c>
      <c r="R207" s="59">
        <v>30</v>
      </c>
      <c r="S207" s="59" t="s">
        <v>242</v>
      </c>
      <c r="T207" s="61" t="s">
        <v>242</v>
      </c>
      <c r="U207" s="56">
        <v>30</v>
      </c>
      <c r="V207" s="62"/>
      <c r="W207" s="63" t="s">
        <v>74</v>
      </c>
      <c r="X207" s="64" t="s">
        <v>259</v>
      </c>
    </row>
    <row r="208" spans="1:24" ht="15" customHeight="1" x14ac:dyDescent="0.2">
      <c r="A208" s="54" t="s">
        <v>241</v>
      </c>
      <c r="B208" s="55" t="s">
        <v>242</v>
      </c>
      <c r="C208" s="55" t="s">
        <v>242</v>
      </c>
      <c r="D208" s="55" t="s">
        <v>242</v>
      </c>
      <c r="E208" s="56" t="s">
        <v>242</v>
      </c>
      <c r="F208" s="56" t="s">
        <v>242</v>
      </c>
      <c r="G208" s="56" t="s">
        <v>242</v>
      </c>
      <c r="H208" s="57" t="s">
        <v>243</v>
      </c>
      <c r="I208" s="57" t="s">
        <v>244</v>
      </c>
      <c r="J208" s="57" t="s">
        <v>257</v>
      </c>
      <c r="K208" s="57" t="s">
        <v>268</v>
      </c>
      <c r="L208" s="57" t="s">
        <v>268</v>
      </c>
      <c r="M208" s="58" t="s">
        <v>242</v>
      </c>
      <c r="N208" s="59" t="s">
        <v>242</v>
      </c>
      <c r="O208" s="59" t="s">
        <v>242</v>
      </c>
      <c r="P208" s="59" t="s">
        <v>242</v>
      </c>
      <c r="Q208" s="59" t="s">
        <v>242</v>
      </c>
      <c r="R208" s="59" t="s">
        <v>242</v>
      </c>
      <c r="S208" s="59" t="s">
        <v>242</v>
      </c>
      <c r="T208" s="61" t="s">
        <v>242</v>
      </c>
      <c r="U208" s="56" t="s">
        <v>242</v>
      </c>
      <c r="V208" s="62">
        <v>228</v>
      </c>
      <c r="W208" s="63" t="s">
        <v>74</v>
      </c>
      <c r="X208" s="64" t="s">
        <v>259</v>
      </c>
    </row>
    <row r="209" spans="1:24" ht="15" customHeight="1" x14ac:dyDescent="0.2">
      <c r="A209" s="54" t="s">
        <v>241</v>
      </c>
      <c r="B209" s="55" t="s">
        <v>297</v>
      </c>
      <c r="C209" s="55" t="s">
        <v>249</v>
      </c>
      <c r="D209" s="55" t="s">
        <v>242</v>
      </c>
      <c r="E209" s="56" t="s">
        <v>242</v>
      </c>
      <c r="F209" s="56" t="s">
        <v>242</v>
      </c>
      <c r="G209" s="56" t="s">
        <v>251</v>
      </c>
      <c r="H209" s="57" t="s">
        <v>243</v>
      </c>
      <c r="I209" s="57" t="s">
        <v>244</v>
      </c>
      <c r="J209" s="57" t="s">
        <v>257</v>
      </c>
      <c r="K209" s="57" t="s">
        <v>268</v>
      </c>
      <c r="L209" s="57" t="s">
        <v>268</v>
      </c>
      <c r="M209" s="58" t="s">
        <v>242</v>
      </c>
      <c r="N209" s="59">
        <v>228</v>
      </c>
      <c r="O209" s="59" t="s">
        <v>242</v>
      </c>
      <c r="P209" s="59" t="s">
        <v>242</v>
      </c>
      <c r="Q209" s="59" t="s">
        <v>242</v>
      </c>
      <c r="R209" s="59">
        <v>228</v>
      </c>
      <c r="S209" s="59" t="s">
        <v>242</v>
      </c>
      <c r="T209" s="61" t="s">
        <v>242</v>
      </c>
      <c r="U209" s="56">
        <v>228</v>
      </c>
      <c r="V209" s="62"/>
      <c r="W209" s="63" t="s">
        <v>74</v>
      </c>
      <c r="X209" s="64" t="s">
        <v>259</v>
      </c>
    </row>
    <row r="210" spans="1:24" ht="15" customHeight="1" x14ac:dyDescent="0.2">
      <c r="A210" s="54" t="s">
        <v>241</v>
      </c>
      <c r="B210" s="55" t="s">
        <v>242</v>
      </c>
      <c r="C210" s="55" t="s">
        <v>242</v>
      </c>
      <c r="D210" s="55" t="s">
        <v>242</v>
      </c>
      <c r="E210" s="56" t="s">
        <v>242</v>
      </c>
      <c r="F210" s="56" t="s">
        <v>242</v>
      </c>
      <c r="G210" s="56" t="s">
        <v>242</v>
      </c>
      <c r="H210" s="57" t="s">
        <v>243</v>
      </c>
      <c r="I210" s="57" t="s">
        <v>244</v>
      </c>
      <c r="J210" s="57" t="s">
        <v>257</v>
      </c>
      <c r="K210" s="57" t="s">
        <v>269</v>
      </c>
      <c r="L210" s="57" t="s">
        <v>269</v>
      </c>
      <c r="M210" s="58" t="s">
        <v>242</v>
      </c>
      <c r="N210" s="59" t="s">
        <v>242</v>
      </c>
      <c r="O210" s="59" t="s">
        <v>242</v>
      </c>
      <c r="P210" s="59" t="s">
        <v>242</v>
      </c>
      <c r="Q210" s="59" t="s">
        <v>242</v>
      </c>
      <c r="R210" s="59" t="s">
        <v>242</v>
      </c>
      <c r="S210" s="59" t="s">
        <v>242</v>
      </c>
      <c r="T210" s="61" t="s">
        <v>242</v>
      </c>
      <c r="U210" s="56" t="s">
        <v>242</v>
      </c>
      <c r="V210" s="62">
        <v>3.24</v>
      </c>
      <c r="W210" s="63" t="s">
        <v>270</v>
      </c>
      <c r="X210" s="64" t="s">
        <v>259</v>
      </c>
    </row>
    <row r="211" spans="1:24" ht="15" customHeight="1" x14ac:dyDescent="0.2">
      <c r="A211" s="54" t="s">
        <v>241</v>
      </c>
      <c r="B211" s="55" t="s">
        <v>297</v>
      </c>
      <c r="C211" s="55" t="s">
        <v>249</v>
      </c>
      <c r="D211" s="55" t="s">
        <v>250</v>
      </c>
      <c r="E211" s="56" t="s">
        <v>41</v>
      </c>
      <c r="F211" s="56" t="s">
        <v>279</v>
      </c>
      <c r="G211" s="56" t="s">
        <v>251</v>
      </c>
      <c r="H211" s="57" t="s">
        <v>243</v>
      </c>
      <c r="I211" s="57" t="s">
        <v>244</v>
      </c>
      <c r="J211" s="57" t="s">
        <v>257</v>
      </c>
      <c r="K211" s="57" t="s">
        <v>269</v>
      </c>
      <c r="L211" s="57" t="s">
        <v>269</v>
      </c>
      <c r="M211" s="58" t="s">
        <v>242</v>
      </c>
      <c r="N211" s="59">
        <v>2</v>
      </c>
      <c r="O211" s="59">
        <v>1.8</v>
      </c>
      <c r="P211" s="59">
        <v>0.9</v>
      </c>
      <c r="Q211" s="59" t="s">
        <v>242</v>
      </c>
      <c r="R211" s="59">
        <v>3.24</v>
      </c>
      <c r="S211" s="59" t="s">
        <v>242</v>
      </c>
      <c r="T211" s="61" t="s">
        <v>242</v>
      </c>
      <c r="U211" s="56">
        <v>3.24</v>
      </c>
      <c r="V211" s="62"/>
      <c r="W211" s="63" t="s">
        <v>270</v>
      </c>
      <c r="X211" s="64" t="s">
        <v>259</v>
      </c>
    </row>
    <row r="212" spans="1:24" ht="15" customHeight="1" x14ac:dyDescent="0.2">
      <c r="A212" s="54" t="s">
        <v>241</v>
      </c>
      <c r="B212" s="55" t="s">
        <v>242</v>
      </c>
      <c r="C212" s="55" t="s">
        <v>242</v>
      </c>
      <c r="D212" s="55" t="s">
        <v>242</v>
      </c>
      <c r="E212" s="56" t="s">
        <v>242</v>
      </c>
      <c r="F212" s="56" t="s">
        <v>242</v>
      </c>
      <c r="G212" s="56" t="s">
        <v>242</v>
      </c>
      <c r="H212" s="57" t="s">
        <v>243</v>
      </c>
      <c r="I212" s="57" t="s">
        <v>244</v>
      </c>
      <c r="J212" s="57" t="s">
        <v>257</v>
      </c>
      <c r="K212" s="57" t="s">
        <v>271</v>
      </c>
      <c r="L212" s="57" t="s">
        <v>271</v>
      </c>
      <c r="M212" s="58" t="s">
        <v>242</v>
      </c>
      <c r="N212" s="59" t="s">
        <v>242</v>
      </c>
      <c r="O212" s="59" t="s">
        <v>242</v>
      </c>
      <c r="P212" s="59" t="s">
        <v>242</v>
      </c>
      <c r="Q212" s="59" t="s">
        <v>242</v>
      </c>
      <c r="R212" s="59" t="s">
        <v>242</v>
      </c>
      <c r="S212" s="59" t="s">
        <v>242</v>
      </c>
      <c r="T212" s="61" t="s">
        <v>242</v>
      </c>
      <c r="U212" s="56" t="s">
        <v>242</v>
      </c>
      <c r="V212" s="62">
        <v>305</v>
      </c>
      <c r="W212" s="63" t="s">
        <v>179</v>
      </c>
      <c r="X212" s="64" t="s">
        <v>259</v>
      </c>
    </row>
    <row r="213" spans="1:24" ht="15" customHeight="1" x14ac:dyDescent="0.2">
      <c r="A213" s="54" t="s">
        <v>241</v>
      </c>
      <c r="B213" s="55" t="s">
        <v>297</v>
      </c>
      <c r="C213" s="55" t="s">
        <v>249</v>
      </c>
      <c r="D213" s="55" t="s">
        <v>250</v>
      </c>
      <c r="E213" s="56" t="s">
        <v>41</v>
      </c>
      <c r="F213" s="56" t="s">
        <v>279</v>
      </c>
      <c r="G213" s="56" t="s">
        <v>251</v>
      </c>
      <c r="H213" s="57" t="s">
        <v>243</v>
      </c>
      <c r="I213" s="57" t="s">
        <v>244</v>
      </c>
      <c r="J213" s="57" t="s">
        <v>257</v>
      </c>
      <c r="K213" s="57" t="s">
        <v>271</v>
      </c>
      <c r="L213" s="57" t="s">
        <v>271</v>
      </c>
      <c r="M213" s="58" t="s">
        <v>51</v>
      </c>
      <c r="N213" s="59">
        <v>1</v>
      </c>
      <c r="O213" s="59" t="s">
        <v>298</v>
      </c>
      <c r="P213" s="59" t="s">
        <v>242</v>
      </c>
      <c r="Q213" s="59" t="s">
        <v>242</v>
      </c>
      <c r="R213" s="59">
        <v>124</v>
      </c>
      <c r="S213" s="59" t="s">
        <v>242</v>
      </c>
      <c r="T213" s="61" t="s">
        <v>242</v>
      </c>
      <c r="U213" s="56">
        <v>124</v>
      </c>
      <c r="V213" s="62"/>
      <c r="W213" s="63" t="s">
        <v>179</v>
      </c>
      <c r="X213" s="64" t="s">
        <v>259</v>
      </c>
    </row>
    <row r="214" spans="1:24" ht="15" customHeight="1" x14ac:dyDescent="0.2">
      <c r="A214" s="54" t="s">
        <v>241</v>
      </c>
      <c r="B214" s="55" t="s">
        <v>297</v>
      </c>
      <c r="C214" s="55" t="s">
        <v>249</v>
      </c>
      <c r="D214" s="55" t="s">
        <v>250</v>
      </c>
      <c r="E214" s="56" t="s">
        <v>41</v>
      </c>
      <c r="F214" s="56" t="s">
        <v>279</v>
      </c>
      <c r="G214" s="56" t="s">
        <v>251</v>
      </c>
      <c r="H214" s="57" t="s">
        <v>243</v>
      </c>
      <c r="I214" s="57" t="s">
        <v>244</v>
      </c>
      <c r="J214" s="57" t="s">
        <v>257</v>
      </c>
      <c r="K214" s="57" t="s">
        <v>271</v>
      </c>
      <c r="L214" s="57" t="s">
        <v>271</v>
      </c>
      <c r="M214" s="58" t="s">
        <v>49</v>
      </c>
      <c r="N214" s="59">
        <v>1</v>
      </c>
      <c r="O214" s="59">
        <v>8</v>
      </c>
      <c r="P214" s="59" t="s">
        <v>242</v>
      </c>
      <c r="Q214" s="59" t="s">
        <v>242</v>
      </c>
      <c r="R214" s="59">
        <v>8</v>
      </c>
      <c r="S214" s="59">
        <v>11</v>
      </c>
      <c r="T214" s="61" t="s">
        <v>242</v>
      </c>
      <c r="U214" s="56">
        <v>88</v>
      </c>
      <c r="V214" s="62"/>
      <c r="W214" s="63" t="s">
        <v>179</v>
      </c>
      <c r="X214" s="64" t="s">
        <v>259</v>
      </c>
    </row>
    <row r="215" spans="1:24" ht="15" customHeight="1" x14ac:dyDescent="0.2">
      <c r="A215" s="54" t="s">
        <v>241</v>
      </c>
      <c r="B215" s="55" t="s">
        <v>297</v>
      </c>
      <c r="C215" s="55" t="s">
        <v>249</v>
      </c>
      <c r="D215" s="55" t="s">
        <v>250</v>
      </c>
      <c r="E215" s="56" t="s">
        <v>41</v>
      </c>
      <c r="F215" s="56" t="s">
        <v>279</v>
      </c>
      <c r="G215" s="56" t="s">
        <v>251</v>
      </c>
      <c r="H215" s="57" t="s">
        <v>243</v>
      </c>
      <c r="I215" s="57" t="s">
        <v>244</v>
      </c>
      <c r="J215" s="57" t="s">
        <v>257</v>
      </c>
      <c r="K215" s="57" t="s">
        <v>271</v>
      </c>
      <c r="L215" s="57" t="s">
        <v>271</v>
      </c>
      <c r="M215" s="58" t="s">
        <v>52</v>
      </c>
      <c r="N215" s="59">
        <v>1</v>
      </c>
      <c r="O215" s="59">
        <v>61</v>
      </c>
      <c r="P215" s="59" t="s">
        <v>242</v>
      </c>
      <c r="Q215" s="59" t="s">
        <v>242</v>
      </c>
      <c r="R215" s="59">
        <v>61</v>
      </c>
      <c r="S215" s="59">
        <v>1</v>
      </c>
      <c r="T215" s="61" t="s">
        <v>242</v>
      </c>
      <c r="U215" s="56">
        <v>61</v>
      </c>
      <c r="V215" s="62"/>
      <c r="W215" s="63" t="s">
        <v>179</v>
      </c>
      <c r="X215" s="64" t="s">
        <v>259</v>
      </c>
    </row>
    <row r="216" spans="1:24" ht="15" customHeight="1" x14ac:dyDescent="0.2">
      <c r="A216" s="54" t="s">
        <v>241</v>
      </c>
      <c r="B216" s="55" t="s">
        <v>297</v>
      </c>
      <c r="C216" s="55" t="s">
        <v>249</v>
      </c>
      <c r="D216" s="55" t="s">
        <v>250</v>
      </c>
      <c r="E216" s="56" t="s">
        <v>41</v>
      </c>
      <c r="F216" s="56" t="s">
        <v>279</v>
      </c>
      <c r="G216" s="56" t="s">
        <v>251</v>
      </c>
      <c r="H216" s="57" t="s">
        <v>243</v>
      </c>
      <c r="I216" s="57" t="s">
        <v>244</v>
      </c>
      <c r="J216" s="57" t="s">
        <v>257</v>
      </c>
      <c r="K216" s="57" t="s">
        <v>271</v>
      </c>
      <c r="L216" s="57" t="s">
        <v>271</v>
      </c>
      <c r="M216" s="58" t="s">
        <v>50</v>
      </c>
      <c r="N216" s="59">
        <v>1</v>
      </c>
      <c r="O216" s="59">
        <v>32</v>
      </c>
      <c r="P216" s="59" t="s">
        <v>242</v>
      </c>
      <c r="Q216" s="59" t="s">
        <v>242</v>
      </c>
      <c r="R216" s="59">
        <v>32</v>
      </c>
      <c r="S216" s="59">
        <v>1</v>
      </c>
      <c r="T216" s="61" t="s">
        <v>242</v>
      </c>
      <c r="U216" s="56">
        <v>32</v>
      </c>
      <c r="V216" s="62"/>
      <c r="W216" s="63" t="s">
        <v>179</v>
      </c>
      <c r="X216" s="64" t="s">
        <v>259</v>
      </c>
    </row>
    <row r="217" spans="1:24" ht="15" customHeight="1" x14ac:dyDescent="0.2">
      <c r="A217" s="54" t="s">
        <v>241</v>
      </c>
      <c r="B217" s="55" t="s">
        <v>242</v>
      </c>
      <c r="C217" s="55" t="s">
        <v>242</v>
      </c>
      <c r="D217" s="55" t="s">
        <v>242</v>
      </c>
      <c r="E217" s="56" t="s">
        <v>242</v>
      </c>
      <c r="F217" s="56" t="s">
        <v>242</v>
      </c>
      <c r="G217" s="56" t="s">
        <v>242</v>
      </c>
      <c r="H217" s="57" t="s">
        <v>243</v>
      </c>
      <c r="I217" s="57" t="s">
        <v>244</v>
      </c>
      <c r="J217" s="57" t="s">
        <v>257</v>
      </c>
      <c r="K217" s="57" t="s">
        <v>275</v>
      </c>
      <c r="L217" s="57" t="s">
        <v>275</v>
      </c>
      <c r="M217" s="58" t="s">
        <v>242</v>
      </c>
      <c r="N217" s="59" t="s">
        <v>242</v>
      </c>
      <c r="O217" s="59" t="s">
        <v>242</v>
      </c>
      <c r="P217" s="59" t="s">
        <v>242</v>
      </c>
      <c r="Q217" s="59" t="s">
        <v>242</v>
      </c>
      <c r="R217" s="59" t="s">
        <v>242</v>
      </c>
      <c r="S217" s="59" t="s">
        <v>242</v>
      </c>
      <c r="T217" s="61" t="s">
        <v>242</v>
      </c>
      <c r="U217" s="56" t="s">
        <v>242</v>
      </c>
      <c r="V217" s="62">
        <v>19</v>
      </c>
      <c r="W217" s="63" t="s">
        <v>74</v>
      </c>
      <c r="X217" s="64" t="s">
        <v>259</v>
      </c>
    </row>
    <row r="218" spans="1:24" ht="15" customHeight="1" x14ac:dyDescent="0.2">
      <c r="A218" s="54" t="s">
        <v>241</v>
      </c>
      <c r="B218" s="55" t="s">
        <v>297</v>
      </c>
      <c r="C218" s="55" t="s">
        <v>249</v>
      </c>
      <c r="D218" s="55" t="s">
        <v>250</v>
      </c>
      <c r="E218" s="56" t="s">
        <v>41</v>
      </c>
      <c r="F218" s="56" t="s">
        <v>279</v>
      </c>
      <c r="G218" s="56" t="s">
        <v>251</v>
      </c>
      <c r="H218" s="57" t="s">
        <v>243</v>
      </c>
      <c r="I218" s="57" t="s">
        <v>244</v>
      </c>
      <c r="J218" s="57" t="s">
        <v>257</v>
      </c>
      <c r="K218" s="57" t="s">
        <v>275</v>
      </c>
      <c r="L218" s="57" t="s">
        <v>275</v>
      </c>
      <c r="M218" s="58" t="s">
        <v>242</v>
      </c>
      <c r="N218" s="59">
        <v>10</v>
      </c>
      <c r="O218" s="59" t="s">
        <v>242</v>
      </c>
      <c r="P218" s="59" t="s">
        <v>242</v>
      </c>
      <c r="Q218" s="59" t="s">
        <v>242</v>
      </c>
      <c r="R218" s="59">
        <v>10</v>
      </c>
      <c r="S218" s="59">
        <v>1</v>
      </c>
      <c r="T218" s="61" t="s">
        <v>242</v>
      </c>
      <c r="U218" s="56">
        <v>10</v>
      </c>
      <c r="V218" s="62"/>
      <c r="W218" s="63" t="s">
        <v>74</v>
      </c>
      <c r="X218" s="64" t="s">
        <v>259</v>
      </c>
    </row>
    <row r="219" spans="1:24" ht="15" customHeight="1" x14ac:dyDescent="0.2">
      <c r="A219" s="54" t="s">
        <v>241</v>
      </c>
      <c r="B219" s="55" t="s">
        <v>297</v>
      </c>
      <c r="C219" s="55" t="s">
        <v>249</v>
      </c>
      <c r="D219" s="55" t="s">
        <v>254</v>
      </c>
      <c r="E219" s="56" t="s">
        <v>45</v>
      </c>
      <c r="F219" s="56" t="s">
        <v>279</v>
      </c>
      <c r="G219" s="56" t="s">
        <v>251</v>
      </c>
      <c r="H219" s="57" t="s">
        <v>243</v>
      </c>
      <c r="I219" s="57" t="s">
        <v>244</v>
      </c>
      <c r="J219" s="57" t="s">
        <v>257</v>
      </c>
      <c r="K219" s="57" t="s">
        <v>275</v>
      </c>
      <c r="L219" s="57" t="s">
        <v>275</v>
      </c>
      <c r="M219" s="58" t="s">
        <v>242</v>
      </c>
      <c r="N219" s="59">
        <v>9</v>
      </c>
      <c r="O219" s="59" t="s">
        <v>242</v>
      </c>
      <c r="P219" s="59" t="s">
        <v>242</v>
      </c>
      <c r="Q219" s="59" t="s">
        <v>242</v>
      </c>
      <c r="R219" s="59">
        <v>9</v>
      </c>
      <c r="S219" s="59">
        <v>1</v>
      </c>
      <c r="T219" s="61" t="s">
        <v>242</v>
      </c>
      <c r="U219" s="56">
        <v>9</v>
      </c>
      <c r="V219" s="62"/>
      <c r="W219" s="63" t="s">
        <v>74</v>
      </c>
      <c r="X219" s="64" t="s">
        <v>259</v>
      </c>
    </row>
    <row r="220" spans="1:24" ht="15" customHeight="1" x14ac:dyDescent="0.2">
      <c r="A220" s="54" t="s">
        <v>241</v>
      </c>
      <c r="B220" s="55" t="s">
        <v>242</v>
      </c>
      <c r="C220" s="55" t="s">
        <v>242</v>
      </c>
      <c r="D220" s="55" t="s">
        <v>242</v>
      </c>
      <c r="E220" s="56" t="s">
        <v>242</v>
      </c>
      <c r="F220" s="56" t="s">
        <v>242</v>
      </c>
      <c r="G220" s="56" t="s">
        <v>242</v>
      </c>
      <c r="H220" s="57" t="s">
        <v>243</v>
      </c>
      <c r="I220" s="57" t="s">
        <v>244</v>
      </c>
      <c r="J220" s="57" t="s">
        <v>257</v>
      </c>
      <c r="K220" s="57" t="s">
        <v>276</v>
      </c>
      <c r="L220" s="57" t="s">
        <v>276</v>
      </c>
      <c r="M220" s="58" t="s">
        <v>242</v>
      </c>
      <c r="N220" s="59" t="s">
        <v>242</v>
      </c>
      <c r="O220" s="59" t="s">
        <v>242</v>
      </c>
      <c r="P220" s="59" t="s">
        <v>242</v>
      </c>
      <c r="Q220" s="59" t="s">
        <v>242</v>
      </c>
      <c r="R220" s="59" t="s">
        <v>242</v>
      </c>
      <c r="S220" s="59" t="s">
        <v>242</v>
      </c>
      <c r="T220" s="61" t="s">
        <v>242</v>
      </c>
      <c r="U220" s="56" t="s">
        <v>242</v>
      </c>
      <c r="V220" s="62">
        <v>1.2</v>
      </c>
      <c r="W220" s="63" t="s">
        <v>270</v>
      </c>
      <c r="X220" s="64" t="s">
        <v>259</v>
      </c>
    </row>
    <row r="221" spans="1:24" ht="15" customHeight="1" x14ac:dyDescent="0.2">
      <c r="A221" s="54" t="s">
        <v>241</v>
      </c>
      <c r="B221" s="55" t="s">
        <v>297</v>
      </c>
      <c r="C221" s="55" t="s">
        <v>249</v>
      </c>
      <c r="D221" s="55" t="s">
        <v>250</v>
      </c>
      <c r="E221" s="56" t="s">
        <v>41</v>
      </c>
      <c r="F221" s="56" t="s">
        <v>46</v>
      </c>
      <c r="G221" s="56" t="s">
        <v>251</v>
      </c>
      <c r="H221" s="57" t="s">
        <v>243</v>
      </c>
      <c r="I221" s="57" t="s">
        <v>244</v>
      </c>
      <c r="J221" s="57" t="s">
        <v>257</v>
      </c>
      <c r="K221" s="57" t="s">
        <v>276</v>
      </c>
      <c r="L221" s="57" t="s">
        <v>276</v>
      </c>
      <c r="M221" s="58" t="s">
        <v>242</v>
      </c>
      <c r="N221" s="59">
        <v>1</v>
      </c>
      <c r="O221" s="59">
        <v>6</v>
      </c>
      <c r="P221" s="59">
        <v>0.2</v>
      </c>
      <c r="Q221" s="59" t="s">
        <v>242</v>
      </c>
      <c r="R221" s="59">
        <v>1.2</v>
      </c>
      <c r="S221" s="59">
        <v>1</v>
      </c>
      <c r="T221" s="61" t="s">
        <v>242</v>
      </c>
      <c r="U221" s="56">
        <v>1.2</v>
      </c>
      <c r="V221" s="62"/>
      <c r="W221" s="63" t="s">
        <v>270</v>
      </c>
      <c r="X221" s="64" t="s">
        <v>259</v>
      </c>
    </row>
    <row r="222" spans="1:24" ht="15" customHeight="1" x14ac:dyDescent="0.25">
      <c r="A222" s="48"/>
      <c r="B222" s="49"/>
      <c r="C222" s="48"/>
      <c r="D222" s="48"/>
      <c r="E222" s="53"/>
      <c r="F222" s="46"/>
      <c r="G222" s="46"/>
      <c r="H222" s="46"/>
      <c r="I222" s="46"/>
      <c r="J222" s="46"/>
      <c r="K222" s="46"/>
      <c r="L222" s="46"/>
      <c r="M222" s="48"/>
      <c r="N222" s="48"/>
      <c r="O222" s="49"/>
      <c r="P222" s="48"/>
      <c r="Q222" s="48"/>
      <c r="R222" s="48"/>
      <c r="S222" s="46"/>
      <c r="T222" s="48"/>
      <c r="U222" s="48"/>
      <c r="V222" s="25"/>
      <c r="W222" s="25"/>
      <c r="X222" s="25"/>
    </row>
    <row r="223" spans="1:24" ht="15" customHeight="1" x14ac:dyDescent="0.25">
      <c r="A223" s="48"/>
      <c r="B223" s="49"/>
      <c r="C223" s="48"/>
      <c r="D223" s="48"/>
      <c r="E223" s="53"/>
      <c r="F223" s="46"/>
      <c r="G223" s="46"/>
      <c r="H223" s="46"/>
      <c r="I223" s="46"/>
      <c r="J223" s="46"/>
      <c r="K223" s="46"/>
      <c r="L223" s="46"/>
      <c r="M223" s="48"/>
      <c r="N223" s="48"/>
      <c r="O223" s="49"/>
      <c r="P223" s="48"/>
      <c r="Q223" s="48"/>
      <c r="R223" s="48"/>
      <c r="S223" s="46"/>
      <c r="T223" s="48"/>
      <c r="U223" s="48"/>
      <c r="V223" s="25"/>
      <c r="W223" s="25"/>
      <c r="X223" s="25"/>
    </row>
    <row r="224" spans="1:24" ht="15" customHeight="1" x14ac:dyDescent="0.2">
      <c r="A224" s="54" t="s">
        <v>241</v>
      </c>
      <c r="B224" s="55" t="s">
        <v>242</v>
      </c>
      <c r="C224" s="55" t="s">
        <v>242</v>
      </c>
      <c r="D224" s="55" t="s">
        <v>242</v>
      </c>
      <c r="E224" s="56" t="s">
        <v>242</v>
      </c>
      <c r="F224" s="56" t="s">
        <v>242</v>
      </c>
      <c r="G224" s="56" t="s">
        <v>242</v>
      </c>
      <c r="H224" s="57" t="s">
        <v>243</v>
      </c>
      <c r="I224" s="57" t="s">
        <v>244</v>
      </c>
      <c r="J224" s="57" t="s">
        <v>245</v>
      </c>
      <c r="K224" s="57" t="s">
        <v>253</v>
      </c>
      <c r="L224" s="57" t="s">
        <v>253</v>
      </c>
      <c r="M224" s="58" t="s">
        <v>242</v>
      </c>
      <c r="N224" s="59" t="s">
        <v>242</v>
      </c>
      <c r="O224" s="59" t="s">
        <v>242</v>
      </c>
      <c r="P224" s="59" t="s">
        <v>242</v>
      </c>
      <c r="Q224" s="59" t="s">
        <v>242</v>
      </c>
      <c r="R224" s="59" t="s">
        <v>242</v>
      </c>
      <c r="S224" s="60" t="s">
        <v>242</v>
      </c>
      <c r="T224" s="61" t="s">
        <v>242</v>
      </c>
      <c r="U224" s="56" t="s">
        <v>242</v>
      </c>
      <c r="V224" s="62">
        <v>11</v>
      </c>
      <c r="W224" s="63" t="s">
        <v>179</v>
      </c>
      <c r="X224" s="64" t="s">
        <v>247</v>
      </c>
    </row>
    <row r="225" spans="1:24" ht="15" customHeight="1" x14ac:dyDescent="0.2">
      <c r="A225" s="54" t="s">
        <v>241</v>
      </c>
      <c r="B225" s="55" t="s">
        <v>303</v>
      </c>
      <c r="C225" s="55" t="s">
        <v>249</v>
      </c>
      <c r="D225" s="55" t="s">
        <v>260</v>
      </c>
      <c r="E225" s="56" t="s">
        <v>223</v>
      </c>
      <c r="F225" s="56" t="s">
        <v>42</v>
      </c>
      <c r="G225" s="56" t="s">
        <v>251</v>
      </c>
      <c r="H225" s="57" t="s">
        <v>243</v>
      </c>
      <c r="I225" s="57" t="s">
        <v>244</v>
      </c>
      <c r="J225" s="57" t="s">
        <v>245</v>
      </c>
      <c r="K225" s="57" t="s">
        <v>253</v>
      </c>
      <c r="L225" s="57" t="s">
        <v>253</v>
      </c>
      <c r="M225" s="58" t="s">
        <v>242</v>
      </c>
      <c r="N225" s="59">
        <v>1</v>
      </c>
      <c r="O225" s="59">
        <v>11</v>
      </c>
      <c r="P225" s="59" t="s">
        <v>242</v>
      </c>
      <c r="Q225" s="59" t="s">
        <v>242</v>
      </c>
      <c r="R225" s="59">
        <v>11</v>
      </c>
      <c r="S225" s="59">
        <v>1</v>
      </c>
      <c r="T225" s="61" t="s">
        <v>242</v>
      </c>
      <c r="U225" s="56">
        <v>11</v>
      </c>
      <c r="V225" s="62"/>
      <c r="W225" s="63" t="s">
        <v>179</v>
      </c>
      <c r="X225" s="64" t="s">
        <v>247</v>
      </c>
    </row>
    <row r="226" spans="1:24" ht="15" customHeight="1" x14ac:dyDescent="0.2">
      <c r="A226" s="54" t="s">
        <v>241</v>
      </c>
      <c r="B226" s="55" t="s">
        <v>242</v>
      </c>
      <c r="C226" s="55" t="s">
        <v>242</v>
      </c>
      <c r="D226" s="55" t="s">
        <v>242</v>
      </c>
      <c r="E226" s="56" t="s">
        <v>242</v>
      </c>
      <c r="F226" s="56" t="s">
        <v>242</v>
      </c>
      <c r="G226" s="56" t="s">
        <v>242</v>
      </c>
      <c r="H226" s="57" t="s">
        <v>243</v>
      </c>
      <c r="I226" s="57" t="s">
        <v>244</v>
      </c>
      <c r="J226" s="57" t="s">
        <v>245</v>
      </c>
      <c r="K226" s="57" t="s">
        <v>255</v>
      </c>
      <c r="L226" s="57" t="s">
        <v>255</v>
      </c>
      <c r="M226" s="58" t="s">
        <v>242</v>
      </c>
      <c r="N226" s="59" t="s">
        <v>242</v>
      </c>
      <c r="O226" s="59" t="s">
        <v>242</v>
      </c>
      <c r="P226" s="59" t="s">
        <v>242</v>
      </c>
      <c r="Q226" s="59" t="s">
        <v>242</v>
      </c>
      <c r="R226" s="59" t="s">
        <v>242</v>
      </c>
      <c r="S226" s="59" t="s">
        <v>242</v>
      </c>
      <c r="T226" s="61" t="s">
        <v>242</v>
      </c>
      <c r="U226" s="56" t="s">
        <v>242</v>
      </c>
      <c r="V226" s="62">
        <v>17</v>
      </c>
      <c r="W226" s="63" t="s">
        <v>179</v>
      </c>
      <c r="X226" s="64" t="s">
        <v>247</v>
      </c>
    </row>
    <row r="227" spans="1:24" ht="15" customHeight="1" x14ac:dyDescent="0.2">
      <c r="A227" s="54" t="s">
        <v>241</v>
      </c>
      <c r="B227" s="55" t="s">
        <v>303</v>
      </c>
      <c r="C227" s="55" t="s">
        <v>249</v>
      </c>
      <c r="D227" s="55" t="s">
        <v>254</v>
      </c>
      <c r="E227" s="56" t="s">
        <v>45</v>
      </c>
      <c r="F227" s="56" t="s">
        <v>47</v>
      </c>
      <c r="G227" s="56" t="s">
        <v>251</v>
      </c>
      <c r="H227" s="57" t="s">
        <v>243</v>
      </c>
      <c r="I227" s="57" t="s">
        <v>244</v>
      </c>
      <c r="J227" s="57" t="s">
        <v>245</v>
      </c>
      <c r="K227" s="57" t="s">
        <v>255</v>
      </c>
      <c r="L227" s="57" t="s">
        <v>255</v>
      </c>
      <c r="M227" s="58" t="s">
        <v>51</v>
      </c>
      <c r="N227" s="59">
        <v>1</v>
      </c>
      <c r="O227" s="59">
        <v>17</v>
      </c>
      <c r="P227" s="59" t="s">
        <v>242</v>
      </c>
      <c r="Q227" s="59" t="s">
        <v>242</v>
      </c>
      <c r="R227" s="59">
        <v>17</v>
      </c>
      <c r="S227" s="59">
        <v>1</v>
      </c>
      <c r="T227" s="61" t="s">
        <v>242</v>
      </c>
      <c r="U227" s="56">
        <v>17</v>
      </c>
      <c r="V227" s="62"/>
      <c r="W227" s="63" t="s">
        <v>179</v>
      </c>
      <c r="X227" s="64" t="s">
        <v>247</v>
      </c>
    </row>
    <row r="228" spans="1:24" ht="15" customHeight="1" x14ac:dyDescent="0.2">
      <c r="A228" s="54" t="s">
        <v>241</v>
      </c>
      <c r="B228" s="55" t="s">
        <v>242</v>
      </c>
      <c r="C228" s="55" t="s">
        <v>242</v>
      </c>
      <c r="D228" s="55" t="s">
        <v>242</v>
      </c>
      <c r="E228" s="56" t="s">
        <v>242</v>
      </c>
      <c r="F228" s="56" t="s">
        <v>242</v>
      </c>
      <c r="G228" s="56" t="s">
        <v>242</v>
      </c>
      <c r="H228" s="57" t="s">
        <v>243</v>
      </c>
      <c r="I228" s="57" t="s">
        <v>244</v>
      </c>
      <c r="J228" s="57" t="s">
        <v>257</v>
      </c>
      <c r="K228" s="57" t="s">
        <v>278</v>
      </c>
      <c r="L228" s="57" t="s">
        <v>278</v>
      </c>
      <c r="M228" s="58" t="s">
        <v>49</v>
      </c>
      <c r="N228" s="59" t="s">
        <v>242</v>
      </c>
      <c r="O228" s="59" t="s">
        <v>242</v>
      </c>
      <c r="P228" s="59" t="s">
        <v>242</v>
      </c>
      <c r="Q228" s="59" t="s">
        <v>242</v>
      </c>
      <c r="R228" s="59" t="s">
        <v>242</v>
      </c>
      <c r="S228" s="59" t="s">
        <v>242</v>
      </c>
      <c r="T228" s="61" t="s">
        <v>242</v>
      </c>
      <c r="U228" s="56" t="s">
        <v>242</v>
      </c>
      <c r="V228" s="62">
        <v>7</v>
      </c>
      <c r="W228" s="63" t="s">
        <v>179</v>
      </c>
      <c r="X228" s="64" t="s">
        <v>259</v>
      </c>
    </row>
    <row r="229" spans="1:24" ht="15" customHeight="1" x14ac:dyDescent="0.2">
      <c r="A229" s="54" t="s">
        <v>241</v>
      </c>
      <c r="B229" s="55" t="s">
        <v>303</v>
      </c>
      <c r="C229" s="55" t="s">
        <v>249</v>
      </c>
      <c r="D229" s="55" t="s">
        <v>260</v>
      </c>
      <c r="E229" s="56" t="s">
        <v>54</v>
      </c>
      <c r="F229" s="56" t="s">
        <v>46</v>
      </c>
      <c r="G229" s="56" t="s">
        <v>251</v>
      </c>
      <c r="H229" s="57" t="s">
        <v>243</v>
      </c>
      <c r="I229" s="57" t="s">
        <v>244</v>
      </c>
      <c r="J229" s="57" t="s">
        <v>257</v>
      </c>
      <c r="K229" s="57" t="s">
        <v>278</v>
      </c>
      <c r="L229" s="57" t="s">
        <v>278</v>
      </c>
      <c r="M229" s="58" t="s">
        <v>52</v>
      </c>
      <c r="N229" s="59">
        <v>1</v>
      </c>
      <c r="O229" s="59">
        <v>3</v>
      </c>
      <c r="P229" s="59" t="s">
        <v>242</v>
      </c>
      <c r="Q229" s="59" t="s">
        <v>242</v>
      </c>
      <c r="R229" s="59">
        <v>3</v>
      </c>
      <c r="S229" s="59">
        <v>1</v>
      </c>
      <c r="T229" s="61" t="s">
        <v>242</v>
      </c>
      <c r="U229" s="56">
        <v>3</v>
      </c>
      <c r="V229" s="62"/>
      <c r="W229" s="63" t="s">
        <v>179</v>
      </c>
      <c r="X229" s="64" t="s">
        <v>259</v>
      </c>
    </row>
    <row r="230" spans="1:24" ht="15" customHeight="1" x14ac:dyDescent="0.2">
      <c r="A230" s="54" t="s">
        <v>241</v>
      </c>
      <c r="B230" s="55" t="s">
        <v>303</v>
      </c>
      <c r="C230" s="55" t="s">
        <v>249</v>
      </c>
      <c r="D230" s="55" t="s">
        <v>260</v>
      </c>
      <c r="E230" s="56" t="s">
        <v>299</v>
      </c>
      <c r="F230" s="56" t="s">
        <v>46</v>
      </c>
      <c r="G230" s="56" t="s">
        <v>251</v>
      </c>
      <c r="H230" s="57" t="s">
        <v>243</v>
      </c>
      <c r="I230" s="57" t="s">
        <v>244</v>
      </c>
      <c r="J230" s="57" t="s">
        <v>257</v>
      </c>
      <c r="K230" s="57" t="s">
        <v>278</v>
      </c>
      <c r="L230" s="57" t="s">
        <v>278</v>
      </c>
      <c r="M230" s="58" t="s">
        <v>50</v>
      </c>
      <c r="N230" s="59">
        <v>1</v>
      </c>
      <c r="O230" s="59" t="s">
        <v>300</v>
      </c>
      <c r="P230" s="59" t="s">
        <v>242</v>
      </c>
      <c r="Q230" s="59" t="s">
        <v>242</v>
      </c>
      <c r="R230" s="59">
        <v>4</v>
      </c>
      <c r="S230" s="59">
        <v>1</v>
      </c>
      <c r="T230" s="61" t="s">
        <v>242</v>
      </c>
      <c r="U230" s="56">
        <v>4</v>
      </c>
      <c r="V230" s="62"/>
      <c r="W230" s="63" t="s">
        <v>179</v>
      </c>
      <c r="X230" s="64" t="s">
        <v>259</v>
      </c>
    </row>
    <row r="231" spans="1:24" ht="15" customHeight="1" x14ac:dyDescent="0.2">
      <c r="A231" s="54" t="s">
        <v>241</v>
      </c>
      <c r="B231" s="55" t="s">
        <v>242</v>
      </c>
      <c r="C231" s="55" t="s">
        <v>242</v>
      </c>
      <c r="D231" s="55" t="s">
        <v>242</v>
      </c>
      <c r="E231" s="56" t="s">
        <v>242</v>
      </c>
      <c r="F231" s="56" t="s">
        <v>242</v>
      </c>
      <c r="G231" s="56" t="s">
        <v>242</v>
      </c>
      <c r="H231" s="57" t="s">
        <v>243</v>
      </c>
      <c r="I231" s="57" t="s">
        <v>244</v>
      </c>
      <c r="J231" s="57" t="s">
        <v>257</v>
      </c>
      <c r="K231" s="57" t="s">
        <v>258</v>
      </c>
      <c r="L231" s="57" t="s">
        <v>258</v>
      </c>
      <c r="M231" s="58" t="s">
        <v>242</v>
      </c>
      <c r="N231" s="59" t="s">
        <v>242</v>
      </c>
      <c r="O231" s="59" t="s">
        <v>242</v>
      </c>
      <c r="P231" s="59" t="s">
        <v>242</v>
      </c>
      <c r="Q231" s="59" t="s">
        <v>242</v>
      </c>
      <c r="R231" s="59" t="s">
        <v>242</v>
      </c>
      <c r="S231" s="59" t="s">
        <v>242</v>
      </c>
      <c r="T231" s="61" t="s">
        <v>242</v>
      </c>
      <c r="U231" s="56" t="s">
        <v>242</v>
      </c>
      <c r="V231" s="62">
        <v>219</v>
      </c>
      <c r="W231" s="63" t="s">
        <v>179</v>
      </c>
      <c r="X231" s="64" t="s">
        <v>259</v>
      </c>
    </row>
    <row r="232" spans="1:24" ht="15" customHeight="1" x14ac:dyDescent="0.2">
      <c r="A232" s="54" t="s">
        <v>241</v>
      </c>
      <c r="B232" s="55" t="s">
        <v>303</v>
      </c>
      <c r="C232" s="55" t="s">
        <v>249</v>
      </c>
      <c r="D232" s="55" t="s">
        <v>260</v>
      </c>
      <c r="E232" s="56" t="s">
        <v>301</v>
      </c>
      <c r="F232" s="56" t="s">
        <v>46</v>
      </c>
      <c r="G232" s="56" t="s">
        <v>251</v>
      </c>
      <c r="H232" s="57" t="s">
        <v>243</v>
      </c>
      <c r="I232" s="57" t="s">
        <v>244</v>
      </c>
      <c r="J232" s="57" t="s">
        <v>257</v>
      </c>
      <c r="K232" s="57" t="s">
        <v>258</v>
      </c>
      <c r="L232" s="57" t="s">
        <v>258</v>
      </c>
      <c r="M232" s="58" t="s">
        <v>242</v>
      </c>
      <c r="N232" s="59">
        <v>1</v>
      </c>
      <c r="O232" s="59">
        <v>80</v>
      </c>
      <c r="P232" s="59" t="s">
        <v>242</v>
      </c>
      <c r="Q232" s="59" t="s">
        <v>242</v>
      </c>
      <c r="R232" s="59">
        <v>80</v>
      </c>
      <c r="S232" s="59">
        <v>1</v>
      </c>
      <c r="T232" s="61" t="s">
        <v>242</v>
      </c>
      <c r="U232" s="56">
        <v>80</v>
      </c>
      <c r="V232" s="62"/>
      <c r="W232" s="63" t="s">
        <v>179</v>
      </c>
      <c r="X232" s="64" t="s">
        <v>259</v>
      </c>
    </row>
    <row r="233" spans="1:24" ht="15" customHeight="1" x14ac:dyDescent="0.2">
      <c r="A233" s="54" t="s">
        <v>241</v>
      </c>
      <c r="B233" s="55" t="s">
        <v>303</v>
      </c>
      <c r="C233" s="55" t="s">
        <v>249</v>
      </c>
      <c r="D233" s="55" t="s">
        <v>254</v>
      </c>
      <c r="E233" s="56" t="s">
        <v>53</v>
      </c>
      <c r="F233" s="56" t="s">
        <v>44</v>
      </c>
      <c r="G233" s="56" t="s">
        <v>251</v>
      </c>
      <c r="H233" s="57" t="s">
        <v>243</v>
      </c>
      <c r="I233" s="57" t="s">
        <v>244</v>
      </c>
      <c r="J233" s="57" t="s">
        <v>257</v>
      </c>
      <c r="K233" s="57" t="s">
        <v>258</v>
      </c>
      <c r="L233" s="57" t="s">
        <v>258</v>
      </c>
      <c r="M233" s="58" t="s">
        <v>242</v>
      </c>
      <c r="N233" s="59">
        <v>1</v>
      </c>
      <c r="O233" s="59">
        <v>75</v>
      </c>
      <c r="P233" s="59" t="s">
        <v>242</v>
      </c>
      <c r="Q233" s="59" t="s">
        <v>242</v>
      </c>
      <c r="R233" s="59">
        <v>75</v>
      </c>
      <c r="S233" s="59">
        <v>1</v>
      </c>
      <c r="T233" s="61" t="s">
        <v>242</v>
      </c>
      <c r="U233" s="56">
        <v>75</v>
      </c>
      <c r="V233" s="62"/>
      <c r="W233" s="63" t="s">
        <v>179</v>
      </c>
      <c r="X233" s="64" t="s">
        <v>259</v>
      </c>
    </row>
    <row r="234" spans="1:24" ht="15" customHeight="1" x14ac:dyDescent="0.2">
      <c r="A234" s="54" t="s">
        <v>241</v>
      </c>
      <c r="B234" s="55" t="s">
        <v>303</v>
      </c>
      <c r="C234" s="55" t="s">
        <v>249</v>
      </c>
      <c r="D234" s="55" t="s">
        <v>260</v>
      </c>
      <c r="E234" s="56" t="s">
        <v>223</v>
      </c>
      <c r="F234" s="56" t="s">
        <v>42</v>
      </c>
      <c r="G234" s="56" t="s">
        <v>251</v>
      </c>
      <c r="H234" s="57" t="s">
        <v>243</v>
      </c>
      <c r="I234" s="57" t="s">
        <v>244</v>
      </c>
      <c r="J234" s="57" t="s">
        <v>257</v>
      </c>
      <c r="K234" s="57" t="s">
        <v>258</v>
      </c>
      <c r="L234" s="57" t="s">
        <v>258</v>
      </c>
      <c r="M234" s="58" t="s">
        <v>242</v>
      </c>
      <c r="N234" s="59">
        <v>1</v>
      </c>
      <c r="O234" s="59">
        <v>9</v>
      </c>
      <c r="P234" s="59" t="s">
        <v>242</v>
      </c>
      <c r="Q234" s="59" t="s">
        <v>242</v>
      </c>
      <c r="R234" s="59">
        <v>9</v>
      </c>
      <c r="S234" s="59">
        <v>1</v>
      </c>
      <c r="T234" s="61" t="s">
        <v>242</v>
      </c>
      <c r="U234" s="56">
        <v>9</v>
      </c>
      <c r="V234" s="62"/>
      <c r="W234" s="63" t="s">
        <v>179</v>
      </c>
      <c r="X234" s="64" t="s">
        <v>259</v>
      </c>
    </row>
    <row r="235" spans="1:24" ht="15" customHeight="1" x14ac:dyDescent="0.2">
      <c r="A235" s="54" t="s">
        <v>241</v>
      </c>
      <c r="B235" s="55" t="s">
        <v>303</v>
      </c>
      <c r="C235" s="55" t="s">
        <v>249</v>
      </c>
      <c r="D235" s="55" t="s">
        <v>260</v>
      </c>
      <c r="E235" s="56" t="s">
        <v>302</v>
      </c>
      <c r="F235" s="56" t="s">
        <v>44</v>
      </c>
      <c r="G235" s="56" t="s">
        <v>251</v>
      </c>
      <c r="H235" s="57" t="s">
        <v>243</v>
      </c>
      <c r="I235" s="57" t="s">
        <v>244</v>
      </c>
      <c r="J235" s="57" t="s">
        <v>257</v>
      </c>
      <c r="K235" s="57" t="s">
        <v>258</v>
      </c>
      <c r="L235" s="57" t="s">
        <v>258</v>
      </c>
      <c r="M235" s="58" t="s">
        <v>242</v>
      </c>
      <c r="N235" s="59">
        <v>1</v>
      </c>
      <c r="O235" s="59">
        <v>55</v>
      </c>
      <c r="P235" s="59" t="s">
        <v>242</v>
      </c>
      <c r="Q235" s="59" t="s">
        <v>242</v>
      </c>
      <c r="R235" s="59">
        <v>55</v>
      </c>
      <c r="S235" s="59">
        <v>1</v>
      </c>
      <c r="T235" s="61" t="s">
        <v>242</v>
      </c>
      <c r="U235" s="56">
        <v>55</v>
      </c>
      <c r="V235" s="62"/>
      <c r="W235" s="63" t="s">
        <v>179</v>
      </c>
      <c r="X235" s="64" t="s">
        <v>259</v>
      </c>
    </row>
    <row r="236" spans="1:24" ht="15" customHeight="1" x14ac:dyDescent="0.2">
      <c r="A236" s="54" t="s">
        <v>241</v>
      </c>
      <c r="B236" s="55" t="s">
        <v>242</v>
      </c>
      <c r="C236" s="55" t="s">
        <v>242</v>
      </c>
      <c r="D236" s="55" t="s">
        <v>242</v>
      </c>
      <c r="E236" s="56" t="s">
        <v>242</v>
      </c>
      <c r="F236" s="56" t="s">
        <v>242</v>
      </c>
      <c r="G236" s="56" t="s">
        <v>242</v>
      </c>
      <c r="H236" s="57" t="s">
        <v>243</v>
      </c>
      <c r="I236" s="57" t="s">
        <v>244</v>
      </c>
      <c r="J236" s="57" t="s">
        <v>257</v>
      </c>
      <c r="K236" s="57" t="s">
        <v>261</v>
      </c>
      <c r="L236" s="57" t="s">
        <v>261</v>
      </c>
      <c r="M236" s="58" t="s">
        <v>242</v>
      </c>
      <c r="N236" s="59" t="s">
        <v>242</v>
      </c>
      <c r="O236" s="59" t="s">
        <v>242</v>
      </c>
      <c r="P236" s="59" t="s">
        <v>242</v>
      </c>
      <c r="Q236" s="59" t="s">
        <v>242</v>
      </c>
      <c r="R236" s="59" t="s">
        <v>242</v>
      </c>
      <c r="S236" s="59" t="s">
        <v>242</v>
      </c>
      <c r="T236" s="61" t="s">
        <v>242</v>
      </c>
      <c r="U236" s="56" t="s">
        <v>242</v>
      </c>
      <c r="V236" s="62">
        <v>200</v>
      </c>
      <c r="W236" s="63" t="s">
        <v>262</v>
      </c>
      <c r="X236" s="64" t="s">
        <v>259</v>
      </c>
    </row>
    <row r="237" spans="1:24" ht="15" customHeight="1" x14ac:dyDescent="0.2">
      <c r="A237" s="54" t="s">
        <v>241</v>
      </c>
      <c r="B237" s="55" t="s">
        <v>303</v>
      </c>
      <c r="C237" s="55" t="s">
        <v>249</v>
      </c>
      <c r="D237" s="55" t="s">
        <v>242</v>
      </c>
      <c r="E237" s="56" t="s">
        <v>242</v>
      </c>
      <c r="F237" s="56" t="s">
        <v>242</v>
      </c>
      <c r="G237" s="56" t="s">
        <v>251</v>
      </c>
      <c r="H237" s="57" t="s">
        <v>243</v>
      </c>
      <c r="I237" s="57" t="s">
        <v>244</v>
      </c>
      <c r="J237" s="57" t="s">
        <v>257</v>
      </c>
      <c r="K237" s="57" t="s">
        <v>261</v>
      </c>
      <c r="L237" s="57" t="s">
        <v>261</v>
      </c>
      <c r="M237" s="58" t="s">
        <v>242</v>
      </c>
      <c r="N237" s="59">
        <v>200</v>
      </c>
      <c r="O237" s="59" t="s">
        <v>242</v>
      </c>
      <c r="P237" s="59" t="s">
        <v>242</v>
      </c>
      <c r="Q237" s="59" t="s">
        <v>242</v>
      </c>
      <c r="R237" s="59">
        <v>200</v>
      </c>
      <c r="S237" s="59">
        <v>1</v>
      </c>
      <c r="T237" s="61" t="s">
        <v>242</v>
      </c>
      <c r="U237" s="56">
        <v>200</v>
      </c>
      <c r="V237" s="62"/>
      <c r="W237" s="63" t="s">
        <v>262</v>
      </c>
      <c r="X237" s="64" t="s">
        <v>259</v>
      </c>
    </row>
    <row r="238" spans="1:24" ht="15" customHeight="1" x14ac:dyDescent="0.2">
      <c r="A238" s="54" t="s">
        <v>241</v>
      </c>
      <c r="B238" s="55" t="s">
        <v>242</v>
      </c>
      <c r="C238" s="55" t="s">
        <v>242</v>
      </c>
      <c r="D238" s="55" t="s">
        <v>242</v>
      </c>
      <c r="E238" s="56" t="s">
        <v>242</v>
      </c>
      <c r="F238" s="56" t="s">
        <v>242</v>
      </c>
      <c r="G238" s="56" t="s">
        <v>242</v>
      </c>
      <c r="H238" s="57" t="s">
        <v>243</v>
      </c>
      <c r="I238" s="57" t="s">
        <v>244</v>
      </c>
      <c r="J238" s="57" t="s">
        <v>257</v>
      </c>
      <c r="K238" s="57" t="s">
        <v>264</v>
      </c>
      <c r="L238" s="57" t="s">
        <v>264</v>
      </c>
      <c r="M238" s="58" t="s">
        <v>242</v>
      </c>
      <c r="N238" s="59" t="s">
        <v>242</v>
      </c>
      <c r="O238" s="59" t="s">
        <v>242</v>
      </c>
      <c r="P238" s="59" t="s">
        <v>242</v>
      </c>
      <c r="Q238" s="59" t="s">
        <v>242</v>
      </c>
      <c r="R238" s="59" t="s">
        <v>242</v>
      </c>
      <c r="S238" s="59" t="s">
        <v>242</v>
      </c>
      <c r="T238" s="61" t="s">
        <v>242</v>
      </c>
      <c r="U238" s="56" t="s">
        <v>242</v>
      </c>
      <c r="V238" s="62">
        <v>114.36</v>
      </c>
      <c r="W238" s="63" t="s">
        <v>99</v>
      </c>
      <c r="X238" s="64" t="s">
        <v>259</v>
      </c>
    </row>
    <row r="239" spans="1:24" ht="15" customHeight="1" x14ac:dyDescent="0.2">
      <c r="A239" s="54" t="s">
        <v>241</v>
      </c>
      <c r="B239" s="55" t="s">
        <v>303</v>
      </c>
      <c r="C239" s="55" t="s">
        <v>249</v>
      </c>
      <c r="D239" s="55" t="s">
        <v>242</v>
      </c>
      <c r="E239" s="56" t="s">
        <v>242</v>
      </c>
      <c r="F239" s="56" t="s">
        <v>242</v>
      </c>
      <c r="G239" s="56" t="s">
        <v>251</v>
      </c>
      <c r="H239" s="57" t="s">
        <v>243</v>
      </c>
      <c r="I239" s="57" t="s">
        <v>244</v>
      </c>
      <c r="J239" s="57" t="s">
        <v>257</v>
      </c>
      <c r="K239" s="57" t="s">
        <v>264</v>
      </c>
      <c r="L239" s="57" t="s">
        <v>264</v>
      </c>
      <c r="M239" s="58" t="s">
        <v>242</v>
      </c>
      <c r="N239" s="59">
        <v>114.36</v>
      </c>
      <c r="O239" s="59" t="s">
        <v>242</v>
      </c>
      <c r="P239" s="59" t="s">
        <v>242</v>
      </c>
      <c r="Q239" s="59" t="s">
        <v>242</v>
      </c>
      <c r="R239" s="59">
        <v>114.36</v>
      </c>
      <c r="S239" s="59">
        <v>1</v>
      </c>
      <c r="T239" s="61" t="s">
        <v>242</v>
      </c>
      <c r="U239" s="56">
        <v>114.36</v>
      </c>
      <c r="V239" s="62"/>
      <c r="W239" s="63" t="s">
        <v>99</v>
      </c>
      <c r="X239" s="64" t="s">
        <v>259</v>
      </c>
    </row>
    <row r="240" spans="1:24" ht="15" customHeight="1" x14ac:dyDescent="0.2">
      <c r="A240" s="54" t="s">
        <v>241</v>
      </c>
      <c r="B240" s="55" t="s">
        <v>242</v>
      </c>
      <c r="C240" s="55" t="s">
        <v>242</v>
      </c>
      <c r="D240" s="55" t="s">
        <v>242</v>
      </c>
      <c r="E240" s="56" t="s">
        <v>242</v>
      </c>
      <c r="F240" s="56" t="s">
        <v>242</v>
      </c>
      <c r="G240" s="56" t="s">
        <v>242</v>
      </c>
      <c r="H240" s="57" t="s">
        <v>243</v>
      </c>
      <c r="I240" s="57" t="s">
        <v>244</v>
      </c>
      <c r="J240" s="57" t="s">
        <v>257</v>
      </c>
      <c r="K240" s="57" t="s">
        <v>267</v>
      </c>
      <c r="L240" s="57" t="s">
        <v>267</v>
      </c>
      <c r="M240" s="58" t="s">
        <v>242</v>
      </c>
      <c r="N240" s="59" t="s">
        <v>242</v>
      </c>
      <c r="O240" s="59" t="s">
        <v>242</v>
      </c>
      <c r="P240" s="59" t="s">
        <v>242</v>
      </c>
      <c r="Q240" s="59" t="s">
        <v>242</v>
      </c>
      <c r="R240" s="59" t="s">
        <v>242</v>
      </c>
      <c r="S240" s="59" t="s">
        <v>242</v>
      </c>
      <c r="T240" s="61" t="s">
        <v>242</v>
      </c>
      <c r="U240" s="56" t="s">
        <v>242</v>
      </c>
      <c r="V240" s="62">
        <v>6</v>
      </c>
      <c r="W240" s="63" t="s">
        <v>74</v>
      </c>
      <c r="X240" s="64" t="s">
        <v>259</v>
      </c>
    </row>
    <row r="241" spans="1:24" ht="15" customHeight="1" x14ac:dyDescent="0.2">
      <c r="A241" s="54" t="s">
        <v>241</v>
      </c>
      <c r="B241" s="55" t="s">
        <v>303</v>
      </c>
      <c r="C241" s="55" t="s">
        <v>249</v>
      </c>
      <c r="D241" s="55" t="s">
        <v>260</v>
      </c>
      <c r="E241" s="56" t="s">
        <v>222</v>
      </c>
      <c r="F241" s="56" t="s">
        <v>44</v>
      </c>
      <c r="G241" s="56" t="s">
        <v>251</v>
      </c>
      <c r="H241" s="57" t="s">
        <v>243</v>
      </c>
      <c r="I241" s="57" t="s">
        <v>244</v>
      </c>
      <c r="J241" s="57" t="s">
        <v>257</v>
      </c>
      <c r="K241" s="57" t="s">
        <v>267</v>
      </c>
      <c r="L241" s="57" t="s">
        <v>267</v>
      </c>
      <c r="M241" s="58" t="s">
        <v>242</v>
      </c>
      <c r="N241" s="59">
        <v>4</v>
      </c>
      <c r="O241" s="59" t="s">
        <v>242</v>
      </c>
      <c r="P241" s="59" t="s">
        <v>242</v>
      </c>
      <c r="Q241" s="59" t="s">
        <v>242</v>
      </c>
      <c r="R241" s="59">
        <v>4</v>
      </c>
      <c r="S241" s="59">
        <v>1</v>
      </c>
      <c r="T241" s="61" t="s">
        <v>242</v>
      </c>
      <c r="U241" s="56">
        <v>4</v>
      </c>
      <c r="V241" s="62"/>
      <c r="W241" s="63" t="s">
        <v>74</v>
      </c>
      <c r="X241" s="64" t="s">
        <v>259</v>
      </c>
    </row>
    <row r="242" spans="1:24" ht="15" customHeight="1" x14ac:dyDescent="0.2">
      <c r="A242" s="54" t="s">
        <v>241</v>
      </c>
      <c r="B242" s="55" t="s">
        <v>303</v>
      </c>
      <c r="C242" s="55" t="s">
        <v>249</v>
      </c>
      <c r="D242" s="55" t="s">
        <v>260</v>
      </c>
      <c r="E242" s="56" t="s">
        <v>223</v>
      </c>
      <c r="F242" s="56" t="s">
        <v>46</v>
      </c>
      <c r="G242" s="56" t="s">
        <v>251</v>
      </c>
      <c r="H242" s="57" t="s">
        <v>243</v>
      </c>
      <c r="I242" s="57" t="s">
        <v>244</v>
      </c>
      <c r="J242" s="57" t="s">
        <v>257</v>
      </c>
      <c r="K242" s="57" t="s">
        <v>267</v>
      </c>
      <c r="L242" s="57" t="s">
        <v>267</v>
      </c>
      <c r="M242" s="58" t="s">
        <v>242</v>
      </c>
      <c r="N242" s="59">
        <v>2</v>
      </c>
      <c r="O242" s="59" t="s">
        <v>242</v>
      </c>
      <c r="P242" s="59" t="s">
        <v>242</v>
      </c>
      <c r="Q242" s="59" t="s">
        <v>242</v>
      </c>
      <c r="R242" s="59">
        <v>2</v>
      </c>
      <c r="S242" s="59">
        <v>1</v>
      </c>
      <c r="T242" s="61" t="s">
        <v>242</v>
      </c>
      <c r="U242" s="56">
        <v>2</v>
      </c>
      <c r="V242" s="62"/>
      <c r="W242" s="63" t="s">
        <v>74</v>
      </c>
      <c r="X242" s="64" t="s">
        <v>259</v>
      </c>
    </row>
    <row r="243" spans="1:24" ht="15" customHeight="1" x14ac:dyDescent="0.2">
      <c r="A243" s="54" t="s">
        <v>241</v>
      </c>
      <c r="B243" s="55" t="s">
        <v>242</v>
      </c>
      <c r="C243" s="55" t="s">
        <v>242</v>
      </c>
      <c r="D243" s="55" t="s">
        <v>242</v>
      </c>
      <c r="E243" s="56" t="s">
        <v>242</v>
      </c>
      <c r="F243" s="56" t="s">
        <v>242</v>
      </c>
      <c r="G243" s="56" t="s">
        <v>242</v>
      </c>
      <c r="H243" s="57" t="s">
        <v>243</v>
      </c>
      <c r="I243" s="57" t="s">
        <v>244</v>
      </c>
      <c r="J243" s="57" t="s">
        <v>257</v>
      </c>
      <c r="K243" s="57" t="s">
        <v>268</v>
      </c>
      <c r="L243" s="57" t="s">
        <v>268</v>
      </c>
      <c r="M243" s="58" t="s">
        <v>242</v>
      </c>
      <c r="N243" s="59" t="s">
        <v>242</v>
      </c>
      <c r="O243" s="59" t="s">
        <v>242</v>
      </c>
      <c r="P243" s="59" t="s">
        <v>242</v>
      </c>
      <c r="Q243" s="59" t="s">
        <v>242</v>
      </c>
      <c r="R243" s="59" t="s">
        <v>242</v>
      </c>
      <c r="S243" s="59" t="s">
        <v>242</v>
      </c>
      <c r="T243" s="61" t="s">
        <v>242</v>
      </c>
      <c r="U243" s="56" t="s">
        <v>242</v>
      </c>
      <c r="V243" s="62">
        <v>295</v>
      </c>
      <c r="W243" s="63" t="s">
        <v>74</v>
      </c>
      <c r="X243" s="64" t="s">
        <v>259</v>
      </c>
    </row>
    <row r="244" spans="1:24" ht="15" customHeight="1" x14ac:dyDescent="0.2">
      <c r="A244" s="54" t="s">
        <v>241</v>
      </c>
      <c r="B244" s="55" t="s">
        <v>303</v>
      </c>
      <c r="C244" s="55" t="s">
        <v>249</v>
      </c>
      <c r="D244" s="55" t="s">
        <v>242</v>
      </c>
      <c r="E244" s="56" t="s">
        <v>242</v>
      </c>
      <c r="F244" s="56" t="s">
        <v>242</v>
      </c>
      <c r="G244" s="56" t="s">
        <v>251</v>
      </c>
      <c r="H244" s="57" t="s">
        <v>243</v>
      </c>
      <c r="I244" s="57" t="s">
        <v>244</v>
      </c>
      <c r="J244" s="57" t="s">
        <v>257</v>
      </c>
      <c r="K244" s="57" t="s">
        <v>268</v>
      </c>
      <c r="L244" s="57" t="s">
        <v>268</v>
      </c>
      <c r="M244" s="58" t="s">
        <v>242</v>
      </c>
      <c r="N244" s="59">
        <v>295</v>
      </c>
      <c r="O244" s="59" t="s">
        <v>242</v>
      </c>
      <c r="P244" s="59" t="s">
        <v>242</v>
      </c>
      <c r="Q244" s="59" t="s">
        <v>242</v>
      </c>
      <c r="R244" s="59">
        <v>295</v>
      </c>
      <c r="S244" s="59">
        <v>1</v>
      </c>
      <c r="T244" s="61" t="s">
        <v>242</v>
      </c>
      <c r="U244" s="56">
        <v>295</v>
      </c>
      <c r="V244" s="62"/>
      <c r="W244" s="63" t="s">
        <v>74</v>
      </c>
      <c r="X244" s="64" t="s">
        <v>259</v>
      </c>
    </row>
    <row r="245" spans="1:24" ht="15" customHeight="1" x14ac:dyDescent="0.2">
      <c r="A245" s="54" t="s">
        <v>241</v>
      </c>
      <c r="B245" s="55" t="s">
        <v>242</v>
      </c>
      <c r="C245" s="55" t="s">
        <v>242</v>
      </c>
      <c r="D245" s="55" t="s">
        <v>242</v>
      </c>
      <c r="E245" s="56" t="s">
        <v>242</v>
      </c>
      <c r="F245" s="56" t="s">
        <v>242</v>
      </c>
      <c r="G245" s="56" t="s">
        <v>242</v>
      </c>
      <c r="H245" s="57" t="s">
        <v>243</v>
      </c>
      <c r="I245" s="57" t="s">
        <v>244</v>
      </c>
      <c r="J245" s="57" t="s">
        <v>257</v>
      </c>
      <c r="K245" s="57" t="s">
        <v>269</v>
      </c>
      <c r="L245" s="57" t="s">
        <v>269</v>
      </c>
      <c r="M245" s="58" t="s">
        <v>242</v>
      </c>
      <c r="N245" s="59" t="s">
        <v>242</v>
      </c>
      <c r="O245" s="59" t="s">
        <v>242</v>
      </c>
      <c r="P245" s="59" t="s">
        <v>242</v>
      </c>
      <c r="Q245" s="59" t="s">
        <v>242</v>
      </c>
      <c r="R245" s="59" t="s">
        <v>242</v>
      </c>
      <c r="S245" s="59" t="s">
        <v>242</v>
      </c>
      <c r="T245" s="61" t="s">
        <v>242</v>
      </c>
      <c r="U245" s="56" t="s">
        <v>242</v>
      </c>
      <c r="V245" s="62">
        <v>6.4</v>
      </c>
      <c r="W245" s="63" t="s">
        <v>270</v>
      </c>
      <c r="X245" s="64" t="s">
        <v>259</v>
      </c>
    </row>
    <row r="246" spans="1:24" ht="15" customHeight="1" x14ac:dyDescent="0.2">
      <c r="A246" s="54" t="s">
        <v>241</v>
      </c>
      <c r="B246" s="55" t="s">
        <v>303</v>
      </c>
      <c r="C246" s="55" t="s">
        <v>249</v>
      </c>
      <c r="D246" s="55" t="s">
        <v>250</v>
      </c>
      <c r="E246" s="56" t="s">
        <v>41</v>
      </c>
      <c r="F246" s="56" t="s">
        <v>47</v>
      </c>
      <c r="G246" s="56" t="s">
        <v>251</v>
      </c>
      <c r="H246" s="57" t="s">
        <v>243</v>
      </c>
      <c r="I246" s="57" t="s">
        <v>244</v>
      </c>
      <c r="J246" s="57" t="s">
        <v>257</v>
      </c>
      <c r="K246" s="57" t="s">
        <v>269</v>
      </c>
      <c r="L246" s="57" t="s">
        <v>269</v>
      </c>
      <c r="M246" s="58" t="s">
        <v>242</v>
      </c>
      <c r="N246" s="59">
        <v>4</v>
      </c>
      <c r="O246" s="59">
        <v>1.6</v>
      </c>
      <c r="P246" s="59">
        <v>1</v>
      </c>
      <c r="Q246" s="59" t="s">
        <v>242</v>
      </c>
      <c r="R246" s="59">
        <v>6.4</v>
      </c>
      <c r="S246" s="59">
        <v>1</v>
      </c>
      <c r="T246" s="61" t="s">
        <v>242</v>
      </c>
      <c r="U246" s="56">
        <v>6.4</v>
      </c>
      <c r="V246" s="62"/>
      <c r="W246" s="63" t="s">
        <v>270</v>
      </c>
      <c r="X246" s="64" t="s">
        <v>259</v>
      </c>
    </row>
    <row r="247" spans="1:24" ht="15" customHeight="1" x14ac:dyDescent="0.2">
      <c r="A247" s="54" t="s">
        <v>241</v>
      </c>
      <c r="B247" s="55" t="s">
        <v>242</v>
      </c>
      <c r="C247" s="55" t="s">
        <v>242</v>
      </c>
      <c r="D247" s="55" t="s">
        <v>242</v>
      </c>
      <c r="E247" s="56" t="s">
        <v>242</v>
      </c>
      <c r="F247" s="56" t="s">
        <v>242</v>
      </c>
      <c r="G247" s="56" t="s">
        <v>242</v>
      </c>
      <c r="H247" s="57" t="s">
        <v>243</v>
      </c>
      <c r="I247" s="57" t="s">
        <v>244</v>
      </c>
      <c r="J247" s="57" t="s">
        <v>257</v>
      </c>
      <c r="K247" s="57" t="s">
        <v>271</v>
      </c>
      <c r="L247" s="57" t="s">
        <v>271</v>
      </c>
      <c r="M247" s="58" t="s">
        <v>242</v>
      </c>
      <c r="N247" s="59" t="s">
        <v>242</v>
      </c>
      <c r="O247" s="59" t="s">
        <v>242</v>
      </c>
      <c r="P247" s="59" t="s">
        <v>242</v>
      </c>
      <c r="Q247" s="59" t="s">
        <v>242</v>
      </c>
      <c r="R247" s="59" t="s">
        <v>242</v>
      </c>
      <c r="S247" s="59" t="s">
        <v>242</v>
      </c>
      <c r="T247" s="61" t="s">
        <v>242</v>
      </c>
      <c r="U247" s="56" t="s">
        <v>242</v>
      </c>
      <c r="V247" s="62">
        <v>320</v>
      </c>
      <c r="W247" s="63" t="s">
        <v>179</v>
      </c>
      <c r="X247" s="64" t="s">
        <v>259</v>
      </c>
    </row>
    <row r="248" spans="1:24" ht="15" customHeight="1" x14ac:dyDescent="0.2">
      <c r="A248" s="54" t="s">
        <v>241</v>
      </c>
      <c r="B248" s="55" t="s">
        <v>303</v>
      </c>
      <c r="C248" s="55" t="s">
        <v>249</v>
      </c>
      <c r="D248" s="55" t="s">
        <v>242</v>
      </c>
      <c r="E248" s="56" t="s">
        <v>242</v>
      </c>
      <c r="F248" s="56" t="s">
        <v>242</v>
      </c>
      <c r="G248" s="56" t="s">
        <v>251</v>
      </c>
      <c r="H248" s="57" t="s">
        <v>243</v>
      </c>
      <c r="I248" s="57" t="s">
        <v>244</v>
      </c>
      <c r="J248" s="57" t="s">
        <v>257</v>
      </c>
      <c r="K248" s="57" t="s">
        <v>271</v>
      </c>
      <c r="L248" s="57" t="s">
        <v>271</v>
      </c>
      <c r="M248" s="58" t="s">
        <v>51</v>
      </c>
      <c r="N248" s="59">
        <v>1</v>
      </c>
      <c r="O248" s="59">
        <v>128</v>
      </c>
      <c r="P248" s="59" t="s">
        <v>242</v>
      </c>
      <c r="Q248" s="59" t="s">
        <v>242</v>
      </c>
      <c r="R248" s="59">
        <v>128</v>
      </c>
      <c r="S248" s="59">
        <v>1</v>
      </c>
      <c r="T248" s="61" t="s">
        <v>242</v>
      </c>
      <c r="U248" s="56">
        <v>128</v>
      </c>
      <c r="V248" s="62"/>
      <c r="W248" s="63" t="s">
        <v>179</v>
      </c>
      <c r="X248" s="64" t="s">
        <v>259</v>
      </c>
    </row>
    <row r="249" spans="1:24" ht="15" customHeight="1" x14ac:dyDescent="0.2">
      <c r="A249" s="54" t="s">
        <v>241</v>
      </c>
      <c r="B249" s="55" t="s">
        <v>303</v>
      </c>
      <c r="C249" s="55" t="s">
        <v>249</v>
      </c>
      <c r="D249" s="55" t="s">
        <v>242</v>
      </c>
      <c r="E249" s="56" t="s">
        <v>242</v>
      </c>
      <c r="F249" s="56" t="s">
        <v>242</v>
      </c>
      <c r="G249" s="56" t="s">
        <v>251</v>
      </c>
      <c r="H249" s="57" t="s">
        <v>243</v>
      </c>
      <c r="I249" s="57" t="s">
        <v>244</v>
      </c>
      <c r="J249" s="57" t="s">
        <v>257</v>
      </c>
      <c r="K249" s="57" t="s">
        <v>271</v>
      </c>
      <c r="L249" s="57" t="s">
        <v>271</v>
      </c>
      <c r="M249" s="58" t="s">
        <v>49</v>
      </c>
      <c r="N249" s="59">
        <v>1</v>
      </c>
      <c r="O249" s="59">
        <v>8</v>
      </c>
      <c r="P249" s="59" t="s">
        <v>242</v>
      </c>
      <c r="Q249" s="59" t="s">
        <v>242</v>
      </c>
      <c r="R249" s="59">
        <v>8</v>
      </c>
      <c r="S249" s="59">
        <v>12</v>
      </c>
      <c r="T249" s="61" t="s">
        <v>242</v>
      </c>
      <c r="U249" s="56">
        <v>96</v>
      </c>
      <c r="V249" s="62"/>
      <c r="W249" s="63" t="s">
        <v>179</v>
      </c>
      <c r="X249" s="64" t="s">
        <v>259</v>
      </c>
    </row>
    <row r="250" spans="1:24" ht="15" customHeight="1" x14ac:dyDescent="0.2">
      <c r="A250" s="54" t="s">
        <v>241</v>
      </c>
      <c r="B250" s="55" t="s">
        <v>303</v>
      </c>
      <c r="C250" s="55" t="s">
        <v>249</v>
      </c>
      <c r="D250" s="55" t="s">
        <v>242</v>
      </c>
      <c r="E250" s="56" t="s">
        <v>242</v>
      </c>
      <c r="F250" s="56" t="s">
        <v>242</v>
      </c>
      <c r="G250" s="56" t="s">
        <v>251</v>
      </c>
      <c r="H250" s="57" t="s">
        <v>243</v>
      </c>
      <c r="I250" s="57" t="s">
        <v>244</v>
      </c>
      <c r="J250" s="57" t="s">
        <v>257</v>
      </c>
      <c r="K250" s="57" t="s">
        <v>271</v>
      </c>
      <c r="L250" s="57" t="s">
        <v>271</v>
      </c>
      <c r="M250" s="58" t="s">
        <v>52</v>
      </c>
      <c r="N250" s="59">
        <v>1</v>
      </c>
      <c r="O250" s="59">
        <v>64</v>
      </c>
      <c r="P250" s="59" t="s">
        <v>242</v>
      </c>
      <c r="Q250" s="59" t="s">
        <v>242</v>
      </c>
      <c r="R250" s="59">
        <v>64</v>
      </c>
      <c r="S250" s="59">
        <v>1</v>
      </c>
      <c r="T250" s="61" t="s">
        <v>242</v>
      </c>
      <c r="U250" s="56">
        <v>64</v>
      </c>
      <c r="V250" s="62"/>
      <c r="W250" s="63" t="s">
        <v>179</v>
      </c>
      <c r="X250" s="64" t="s">
        <v>259</v>
      </c>
    </row>
    <row r="251" spans="1:24" ht="15" customHeight="1" x14ac:dyDescent="0.2">
      <c r="A251" s="54" t="s">
        <v>241</v>
      </c>
      <c r="B251" s="55" t="s">
        <v>303</v>
      </c>
      <c r="C251" s="55" t="s">
        <v>249</v>
      </c>
      <c r="D251" s="55" t="s">
        <v>242</v>
      </c>
      <c r="E251" s="56" t="s">
        <v>242</v>
      </c>
      <c r="F251" s="56" t="s">
        <v>242</v>
      </c>
      <c r="G251" s="56" t="s">
        <v>251</v>
      </c>
      <c r="H251" s="57" t="s">
        <v>243</v>
      </c>
      <c r="I251" s="57" t="s">
        <v>244</v>
      </c>
      <c r="J251" s="57" t="s">
        <v>257</v>
      </c>
      <c r="K251" s="57" t="s">
        <v>271</v>
      </c>
      <c r="L251" s="57" t="s">
        <v>271</v>
      </c>
      <c r="M251" s="58" t="s">
        <v>50</v>
      </c>
      <c r="N251" s="59">
        <v>1</v>
      </c>
      <c r="O251" s="59">
        <v>32</v>
      </c>
      <c r="P251" s="59" t="s">
        <v>242</v>
      </c>
      <c r="Q251" s="59" t="s">
        <v>242</v>
      </c>
      <c r="R251" s="59">
        <v>32</v>
      </c>
      <c r="S251" s="59">
        <v>1</v>
      </c>
      <c r="T251" s="61" t="s">
        <v>242</v>
      </c>
      <c r="U251" s="56">
        <v>32</v>
      </c>
      <c r="V251" s="62"/>
      <c r="W251" s="63" t="s">
        <v>179</v>
      </c>
      <c r="X251" s="64" t="s">
        <v>259</v>
      </c>
    </row>
    <row r="252" spans="1:24" ht="15" customHeight="1" x14ac:dyDescent="0.2">
      <c r="A252" s="54" t="s">
        <v>241</v>
      </c>
      <c r="B252" s="55" t="s">
        <v>242</v>
      </c>
      <c r="C252" s="55" t="s">
        <v>242</v>
      </c>
      <c r="D252" s="55" t="s">
        <v>242</v>
      </c>
      <c r="E252" s="56" t="s">
        <v>242</v>
      </c>
      <c r="F252" s="56" t="s">
        <v>242</v>
      </c>
      <c r="G252" s="56" t="s">
        <v>242</v>
      </c>
      <c r="H252" s="57" t="s">
        <v>243</v>
      </c>
      <c r="I252" s="57" t="s">
        <v>244</v>
      </c>
      <c r="J252" s="57" t="s">
        <v>257</v>
      </c>
      <c r="K252" s="57" t="s">
        <v>276</v>
      </c>
      <c r="L252" s="57" t="s">
        <v>276</v>
      </c>
      <c r="M252" s="58" t="s">
        <v>242</v>
      </c>
      <c r="N252" s="59" t="s">
        <v>242</v>
      </c>
      <c r="O252" s="59" t="s">
        <v>242</v>
      </c>
      <c r="P252" s="59" t="s">
        <v>242</v>
      </c>
      <c r="Q252" s="59" t="s">
        <v>242</v>
      </c>
      <c r="R252" s="59" t="s">
        <v>242</v>
      </c>
      <c r="S252" s="59" t="s">
        <v>242</v>
      </c>
      <c r="T252" s="61" t="s">
        <v>242</v>
      </c>
      <c r="U252" s="56" t="s">
        <v>242</v>
      </c>
      <c r="V252" s="62">
        <v>2.86</v>
      </c>
      <c r="W252" s="63" t="s">
        <v>270</v>
      </c>
      <c r="X252" s="64" t="s">
        <v>259</v>
      </c>
    </row>
    <row r="253" spans="1:24" ht="15" customHeight="1" x14ac:dyDescent="0.2">
      <c r="A253" s="54" t="s">
        <v>241</v>
      </c>
      <c r="B253" s="55" t="s">
        <v>303</v>
      </c>
      <c r="C253" s="55" t="s">
        <v>249</v>
      </c>
      <c r="D253" s="55" t="s">
        <v>254</v>
      </c>
      <c r="E253" s="56" t="s">
        <v>43</v>
      </c>
      <c r="F253" s="56" t="s">
        <v>47</v>
      </c>
      <c r="G253" s="56" t="s">
        <v>251</v>
      </c>
      <c r="H253" s="57" t="s">
        <v>243</v>
      </c>
      <c r="I253" s="57" t="s">
        <v>244</v>
      </c>
      <c r="J253" s="57" t="s">
        <v>257</v>
      </c>
      <c r="K253" s="57" t="s">
        <v>276</v>
      </c>
      <c r="L253" s="57" t="s">
        <v>276</v>
      </c>
      <c r="M253" s="58" t="s">
        <v>242</v>
      </c>
      <c r="N253" s="59">
        <v>1</v>
      </c>
      <c r="O253" s="59">
        <v>1.8</v>
      </c>
      <c r="P253" s="59">
        <v>0.2</v>
      </c>
      <c r="Q253" s="59" t="s">
        <v>242</v>
      </c>
      <c r="R253" s="59">
        <v>0.36</v>
      </c>
      <c r="S253" s="59">
        <v>1</v>
      </c>
      <c r="T253" s="61" t="s">
        <v>242</v>
      </c>
      <c r="U253" s="56">
        <v>0.36</v>
      </c>
      <c r="V253" s="62"/>
      <c r="W253" s="63" t="s">
        <v>270</v>
      </c>
      <c r="X253" s="64" t="s">
        <v>259</v>
      </c>
    </row>
    <row r="254" spans="1:24" ht="15" customHeight="1" x14ac:dyDescent="0.2">
      <c r="A254" s="54" t="s">
        <v>241</v>
      </c>
      <c r="B254" s="55" t="s">
        <v>303</v>
      </c>
      <c r="C254" s="55" t="s">
        <v>249</v>
      </c>
      <c r="D254" s="55" t="s">
        <v>252</v>
      </c>
      <c r="E254" s="56" t="s">
        <v>48</v>
      </c>
      <c r="F254" s="56" t="s">
        <v>47</v>
      </c>
      <c r="G254" s="56" t="s">
        <v>251</v>
      </c>
      <c r="H254" s="57" t="s">
        <v>243</v>
      </c>
      <c r="I254" s="57" t="s">
        <v>244</v>
      </c>
      <c r="J254" s="57" t="s">
        <v>257</v>
      </c>
      <c r="K254" s="57" t="s">
        <v>276</v>
      </c>
      <c r="L254" s="57" t="s">
        <v>276</v>
      </c>
      <c r="M254" s="58" t="s">
        <v>242</v>
      </c>
      <c r="N254" s="59">
        <v>1</v>
      </c>
      <c r="O254" s="59">
        <v>12.5</v>
      </c>
      <c r="P254" s="59">
        <v>0.2</v>
      </c>
      <c r="Q254" s="59" t="s">
        <v>242</v>
      </c>
      <c r="R254" s="59">
        <v>2.5</v>
      </c>
      <c r="S254" s="59">
        <v>1</v>
      </c>
      <c r="T254" s="61" t="s">
        <v>242</v>
      </c>
      <c r="U254" s="56">
        <v>2.5</v>
      </c>
      <c r="V254" s="62"/>
      <c r="W254" s="63" t="s">
        <v>270</v>
      </c>
      <c r="X254" s="64" t="s">
        <v>259</v>
      </c>
    </row>
    <row r="255" spans="1:24" ht="15" customHeight="1" x14ac:dyDescent="0.25">
      <c r="A255" s="48"/>
      <c r="B255" s="49"/>
      <c r="C255" s="48"/>
      <c r="D255" s="48"/>
      <c r="E255" s="53"/>
      <c r="F255" s="46"/>
      <c r="G255" s="46"/>
      <c r="H255" s="46"/>
      <c r="I255" s="46"/>
      <c r="J255" s="46"/>
      <c r="K255" s="46"/>
      <c r="L255" s="46"/>
      <c r="M255" s="48"/>
      <c r="N255" s="48"/>
      <c r="O255" s="49"/>
      <c r="P255" s="48"/>
      <c r="Q255" s="48"/>
      <c r="R255" s="48"/>
      <c r="S255" s="46"/>
      <c r="T255" s="48"/>
      <c r="U255" s="48"/>
      <c r="V255" s="25"/>
      <c r="W255" s="25"/>
      <c r="X255" s="25"/>
    </row>
    <row r="256" spans="1:24" ht="15" customHeight="1" x14ac:dyDescent="0.25">
      <c r="A256" s="48"/>
      <c r="B256" s="49"/>
      <c r="C256" s="48"/>
      <c r="D256" s="48"/>
      <c r="E256" s="53"/>
      <c r="F256" s="46"/>
      <c r="G256" s="46"/>
      <c r="H256" s="46"/>
      <c r="I256" s="46"/>
      <c r="J256" s="46"/>
      <c r="K256" s="46"/>
      <c r="L256" s="46"/>
      <c r="M256" s="48"/>
      <c r="N256" s="48"/>
      <c r="O256" s="49"/>
      <c r="P256" s="48"/>
      <c r="Q256" s="48"/>
      <c r="R256" s="48"/>
      <c r="S256" s="46"/>
      <c r="T256" s="48"/>
      <c r="U256" s="48"/>
      <c r="V256" s="25"/>
      <c r="W256" s="25"/>
      <c r="X256" s="25"/>
    </row>
    <row r="257" spans="1:24" ht="15" customHeight="1" x14ac:dyDescent="0.2">
      <c r="A257" s="54" t="s">
        <v>241</v>
      </c>
      <c r="B257" s="55" t="s">
        <v>242</v>
      </c>
      <c r="C257" s="55" t="s">
        <v>242</v>
      </c>
      <c r="D257" s="55" t="s">
        <v>242</v>
      </c>
      <c r="E257" s="56" t="s">
        <v>242</v>
      </c>
      <c r="F257" s="56" t="s">
        <v>242</v>
      </c>
      <c r="G257" s="56" t="s">
        <v>242</v>
      </c>
      <c r="H257" s="57" t="s">
        <v>243</v>
      </c>
      <c r="I257" s="57" t="s">
        <v>244</v>
      </c>
      <c r="J257" s="57" t="s">
        <v>257</v>
      </c>
      <c r="K257" s="57" t="s">
        <v>278</v>
      </c>
      <c r="L257" s="57" t="s">
        <v>278</v>
      </c>
      <c r="M257" s="58" t="s">
        <v>242</v>
      </c>
      <c r="N257" s="59" t="s">
        <v>242</v>
      </c>
      <c r="O257" s="59" t="s">
        <v>242</v>
      </c>
      <c r="P257" s="59" t="s">
        <v>242</v>
      </c>
      <c r="Q257" s="59" t="s">
        <v>242</v>
      </c>
      <c r="R257" s="59" t="s">
        <v>242</v>
      </c>
      <c r="S257" s="60" t="s">
        <v>242</v>
      </c>
      <c r="T257" s="61" t="s">
        <v>242</v>
      </c>
      <c r="U257" s="56" t="s">
        <v>242</v>
      </c>
      <c r="V257" s="62">
        <v>29</v>
      </c>
      <c r="W257" s="63" t="s">
        <v>179</v>
      </c>
      <c r="X257" s="64" t="s">
        <v>259</v>
      </c>
    </row>
    <row r="258" spans="1:24" ht="15" customHeight="1" x14ac:dyDescent="0.2">
      <c r="A258" s="54" t="s">
        <v>241</v>
      </c>
      <c r="B258" s="55" t="s">
        <v>304</v>
      </c>
      <c r="C258" s="55" t="s">
        <v>249</v>
      </c>
      <c r="D258" s="55" t="s">
        <v>260</v>
      </c>
      <c r="E258" s="56" t="s">
        <v>223</v>
      </c>
      <c r="F258" s="56" t="s">
        <v>42</v>
      </c>
      <c r="G258" s="56" t="s">
        <v>251</v>
      </c>
      <c r="H258" s="57" t="s">
        <v>243</v>
      </c>
      <c r="I258" s="57" t="s">
        <v>244</v>
      </c>
      <c r="J258" s="57" t="s">
        <v>257</v>
      </c>
      <c r="K258" s="57" t="s">
        <v>278</v>
      </c>
      <c r="L258" s="57" t="s">
        <v>278</v>
      </c>
      <c r="M258" s="58" t="s">
        <v>242</v>
      </c>
      <c r="N258" s="59">
        <v>1</v>
      </c>
      <c r="O258" s="59">
        <v>15</v>
      </c>
      <c r="P258" s="59" t="s">
        <v>242</v>
      </c>
      <c r="Q258" s="59" t="s">
        <v>242</v>
      </c>
      <c r="R258" s="59">
        <v>15</v>
      </c>
      <c r="S258" s="59">
        <v>1</v>
      </c>
      <c r="T258" s="61" t="s">
        <v>242</v>
      </c>
      <c r="U258" s="56">
        <v>15</v>
      </c>
      <c r="V258" s="62"/>
      <c r="W258" s="63" t="s">
        <v>179</v>
      </c>
      <c r="X258" s="64" t="s">
        <v>259</v>
      </c>
    </row>
    <row r="259" spans="1:24" ht="15" customHeight="1" x14ac:dyDescent="0.2">
      <c r="A259" s="54" t="s">
        <v>241</v>
      </c>
      <c r="B259" s="55" t="s">
        <v>304</v>
      </c>
      <c r="C259" s="55" t="s">
        <v>249</v>
      </c>
      <c r="D259" s="55" t="s">
        <v>260</v>
      </c>
      <c r="E259" s="56" t="s">
        <v>223</v>
      </c>
      <c r="F259" s="56" t="s">
        <v>44</v>
      </c>
      <c r="G259" s="56" t="s">
        <v>251</v>
      </c>
      <c r="H259" s="57" t="s">
        <v>243</v>
      </c>
      <c r="I259" s="57" t="s">
        <v>244</v>
      </c>
      <c r="J259" s="57" t="s">
        <v>257</v>
      </c>
      <c r="K259" s="57" t="s">
        <v>278</v>
      </c>
      <c r="L259" s="57" t="s">
        <v>278</v>
      </c>
      <c r="M259" s="58" t="s">
        <v>242</v>
      </c>
      <c r="N259" s="59">
        <v>1</v>
      </c>
      <c r="O259" s="59">
        <v>14</v>
      </c>
      <c r="P259" s="59" t="s">
        <v>242</v>
      </c>
      <c r="Q259" s="59" t="s">
        <v>242</v>
      </c>
      <c r="R259" s="59">
        <v>14</v>
      </c>
      <c r="S259" s="59">
        <v>1</v>
      </c>
      <c r="T259" s="61" t="s">
        <v>242</v>
      </c>
      <c r="U259" s="56">
        <v>14</v>
      </c>
      <c r="V259" s="62"/>
      <c r="W259" s="63" t="s">
        <v>179</v>
      </c>
      <c r="X259" s="64" t="s">
        <v>259</v>
      </c>
    </row>
    <row r="260" spans="1:24" ht="15" customHeight="1" x14ac:dyDescent="0.2">
      <c r="A260" s="54" t="s">
        <v>241</v>
      </c>
      <c r="B260" s="55" t="s">
        <v>242</v>
      </c>
      <c r="C260" s="55" t="s">
        <v>242</v>
      </c>
      <c r="D260" s="55" t="s">
        <v>242</v>
      </c>
      <c r="E260" s="56" t="s">
        <v>242</v>
      </c>
      <c r="F260" s="56" t="s">
        <v>242</v>
      </c>
      <c r="G260" s="56" t="s">
        <v>242</v>
      </c>
      <c r="H260" s="57" t="s">
        <v>243</v>
      </c>
      <c r="I260" s="57" t="s">
        <v>244</v>
      </c>
      <c r="J260" s="57" t="s">
        <v>257</v>
      </c>
      <c r="K260" s="57" t="s">
        <v>258</v>
      </c>
      <c r="L260" s="57" t="s">
        <v>258</v>
      </c>
      <c r="M260" s="58" t="s">
        <v>242</v>
      </c>
      <c r="N260" s="59" t="s">
        <v>242</v>
      </c>
      <c r="O260" s="59" t="s">
        <v>242</v>
      </c>
      <c r="P260" s="59" t="s">
        <v>242</v>
      </c>
      <c r="Q260" s="59" t="s">
        <v>242</v>
      </c>
      <c r="R260" s="59" t="s">
        <v>242</v>
      </c>
      <c r="S260" s="59" t="s">
        <v>242</v>
      </c>
      <c r="T260" s="61" t="s">
        <v>242</v>
      </c>
      <c r="U260" s="56" t="s">
        <v>242</v>
      </c>
      <c r="V260" s="62">
        <v>97</v>
      </c>
      <c r="W260" s="63" t="s">
        <v>179</v>
      </c>
      <c r="X260" s="64" t="s">
        <v>259</v>
      </c>
    </row>
    <row r="261" spans="1:24" ht="15" customHeight="1" x14ac:dyDescent="0.2">
      <c r="A261" s="54" t="s">
        <v>241</v>
      </c>
      <c r="B261" s="55" t="s">
        <v>304</v>
      </c>
      <c r="C261" s="55" t="s">
        <v>249</v>
      </c>
      <c r="D261" s="55" t="s">
        <v>250</v>
      </c>
      <c r="E261" s="56" t="s">
        <v>41</v>
      </c>
      <c r="F261" s="56" t="s">
        <v>279</v>
      </c>
      <c r="G261" s="56" t="s">
        <v>251</v>
      </c>
      <c r="H261" s="57" t="s">
        <v>243</v>
      </c>
      <c r="I261" s="57" t="s">
        <v>244</v>
      </c>
      <c r="J261" s="57" t="s">
        <v>257</v>
      </c>
      <c r="K261" s="57" t="s">
        <v>258</v>
      </c>
      <c r="L261" s="57" t="s">
        <v>258</v>
      </c>
      <c r="M261" s="58" t="s">
        <v>242</v>
      </c>
      <c r="N261" s="59">
        <v>1</v>
      </c>
      <c r="O261" s="59">
        <v>82</v>
      </c>
      <c r="P261" s="59" t="s">
        <v>242</v>
      </c>
      <c r="Q261" s="59" t="s">
        <v>242</v>
      </c>
      <c r="R261" s="59">
        <v>82</v>
      </c>
      <c r="S261" s="59">
        <v>1</v>
      </c>
      <c r="T261" s="61" t="s">
        <v>242</v>
      </c>
      <c r="U261" s="56">
        <v>82</v>
      </c>
      <c r="V261" s="62"/>
      <c r="W261" s="63" t="s">
        <v>179</v>
      </c>
      <c r="X261" s="64" t="s">
        <v>259</v>
      </c>
    </row>
    <row r="262" spans="1:24" ht="15" customHeight="1" x14ac:dyDescent="0.2">
      <c r="A262" s="54" t="s">
        <v>241</v>
      </c>
      <c r="B262" s="55" t="s">
        <v>304</v>
      </c>
      <c r="C262" s="55" t="s">
        <v>249</v>
      </c>
      <c r="D262" s="55" t="s">
        <v>260</v>
      </c>
      <c r="E262" s="56" t="s">
        <v>302</v>
      </c>
      <c r="F262" s="56" t="s">
        <v>44</v>
      </c>
      <c r="G262" s="56" t="s">
        <v>251</v>
      </c>
      <c r="H262" s="57" t="s">
        <v>243</v>
      </c>
      <c r="I262" s="57" t="s">
        <v>244</v>
      </c>
      <c r="J262" s="57" t="s">
        <v>257</v>
      </c>
      <c r="K262" s="57" t="s">
        <v>258</v>
      </c>
      <c r="L262" s="57" t="s">
        <v>258</v>
      </c>
      <c r="M262" s="58" t="s">
        <v>242</v>
      </c>
      <c r="N262" s="59">
        <v>1</v>
      </c>
      <c r="O262" s="59">
        <v>15</v>
      </c>
      <c r="P262" s="59" t="s">
        <v>242</v>
      </c>
      <c r="Q262" s="59" t="s">
        <v>242</v>
      </c>
      <c r="R262" s="59">
        <v>15</v>
      </c>
      <c r="S262" s="59">
        <v>1</v>
      </c>
      <c r="T262" s="61" t="s">
        <v>242</v>
      </c>
      <c r="U262" s="56">
        <v>15</v>
      </c>
      <c r="V262" s="62"/>
      <c r="W262" s="63" t="s">
        <v>179</v>
      </c>
      <c r="X262" s="64" t="s">
        <v>259</v>
      </c>
    </row>
    <row r="263" spans="1:24" ht="15" customHeight="1" x14ac:dyDescent="0.2">
      <c r="A263" s="54" t="s">
        <v>241</v>
      </c>
      <c r="B263" s="55" t="s">
        <v>242</v>
      </c>
      <c r="C263" s="55" t="s">
        <v>242</v>
      </c>
      <c r="D263" s="55" t="s">
        <v>242</v>
      </c>
      <c r="E263" s="56" t="s">
        <v>242</v>
      </c>
      <c r="F263" s="56" t="s">
        <v>242</v>
      </c>
      <c r="G263" s="56" t="s">
        <v>242</v>
      </c>
      <c r="H263" s="57" t="s">
        <v>243</v>
      </c>
      <c r="I263" s="57" t="s">
        <v>244</v>
      </c>
      <c r="J263" s="57" t="s">
        <v>257</v>
      </c>
      <c r="K263" s="57" t="s">
        <v>261</v>
      </c>
      <c r="L263" s="57" t="s">
        <v>261</v>
      </c>
      <c r="M263" s="58" t="s">
        <v>242</v>
      </c>
      <c r="N263" s="59" t="s">
        <v>242</v>
      </c>
      <c r="O263" s="59" t="s">
        <v>242</v>
      </c>
      <c r="P263" s="59" t="s">
        <v>242</v>
      </c>
      <c r="Q263" s="59" t="s">
        <v>242</v>
      </c>
      <c r="R263" s="59" t="s">
        <v>242</v>
      </c>
      <c r="S263" s="59" t="s">
        <v>242</v>
      </c>
      <c r="T263" s="61" t="s">
        <v>242</v>
      </c>
      <c r="U263" s="56" t="s">
        <v>242</v>
      </c>
      <c r="V263" s="62">
        <v>200</v>
      </c>
      <c r="W263" s="63" t="s">
        <v>262</v>
      </c>
      <c r="X263" s="64" t="s">
        <v>259</v>
      </c>
    </row>
    <row r="264" spans="1:24" ht="15" customHeight="1" x14ac:dyDescent="0.2">
      <c r="A264" s="54" t="s">
        <v>241</v>
      </c>
      <c r="B264" s="55" t="s">
        <v>304</v>
      </c>
      <c r="C264" s="55" t="s">
        <v>249</v>
      </c>
      <c r="D264" s="55" t="s">
        <v>242</v>
      </c>
      <c r="E264" s="56" t="s">
        <v>242</v>
      </c>
      <c r="F264" s="56" t="s">
        <v>242</v>
      </c>
      <c r="G264" s="56" t="s">
        <v>251</v>
      </c>
      <c r="H264" s="57" t="s">
        <v>243</v>
      </c>
      <c r="I264" s="57" t="s">
        <v>244</v>
      </c>
      <c r="J264" s="57" t="s">
        <v>257</v>
      </c>
      <c r="K264" s="57" t="s">
        <v>261</v>
      </c>
      <c r="L264" s="57" t="s">
        <v>261</v>
      </c>
      <c r="M264" s="58" t="s">
        <v>242</v>
      </c>
      <c r="N264" s="59">
        <v>200</v>
      </c>
      <c r="O264" s="59" t="s">
        <v>242</v>
      </c>
      <c r="P264" s="59" t="s">
        <v>242</v>
      </c>
      <c r="Q264" s="59" t="s">
        <v>242</v>
      </c>
      <c r="R264" s="59">
        <v>200</v>
      </c>
      <c r="S264" s="59">
        <v>1</v>
      </c>
      <c r="T264" s="61" t="s">
        <v>242</v>
      </c>
      <c r="U264" s="56">
        <v>200</v>
      </c>
      <c r="V264" s="62"/>
      <c r="W264" s="63" t="s">
        <v>262</v>
      </c>
      <c r="X264" s="64" t="s">
        <v>259</v>
      </c>
    </row>
    <row r="265" spans="1:24" ht="15" customHeight="1" x14ac:dyDescent="0.2">
      <c r="A265" s="54" t="s">
        <v>241</v>
      </c>
      <c r="B265" s="55" t="s">
        <v>242</v>
      </c>
      <c r="C265" s="55" t="s">
        <v>242</v>
      </c>
      <c r="D265" s="55" t="s">
        <v>242</v>
      </c>
      <c r="E265" s="56" t="s">
        <v>242</v>
      </c>
      <c r="F265" s="56" t="s">
        <v>242</v>
      </c>
      <c r="G265" s="56" t="s">
        <v>242</v>
      </c>
      <c r="H265" s="57" t="s">
        <v>243</v>
      </c>
      <c r="I265" s="57" t="s">
        <v>244</v>
      </c>
      <c r="J265" s="57" t="s">
        <v>257</v>
      </c>
      <c r="K265" s="57" t="s">
        <v>264</v>
      </c>
      <c r="L265" s="57" t="s">
        <v>264</v>
      </c>
      <c r="M265" s="58" t="s">
        <v>242</v>
      </c>
      <c r="N265" s="59" t="s">
        <v>242</v>
      </c>
      <c r="O265" s="59" t="s">
        <v>242</v>
      </c>
      <c r="P265" s="59" t="s">
        <v>242</v>
      </c>
      <c r="Q265" s="59" t="s">
        <v>242</v>
      </c>
      <c r="R265" s="59" t="s">
        <v>242</v>
      </c>
      <c r="S265" s="59" t="s">
        <v>242</v>
      </c>
      <c r="T265" s="61" t="s">
        <v>242</v>
      </c>
      <c r="U265" s="56" t="s">
        <v>242</v>
      </c>
      <c r="V265" s="62">
        <v>87.56</v>
      </c>
      <c r="W265" s="63" t="s">
        <v>99</v>
      </c>
      <c r="X265" s="64" t="s">
        <v>259</v>
      </c>
    </row>
    <row r="266" spans="1:24" ht="15" customHeight="1" x14ac:dyDescent="0.2">
      <c r="A266" s="54" t="s">
        <v>241</v>
      </c>
      <c r="B266" s="55" t="s">
        <v>304</v>
      </c>
      <c r="C266" s="55" t="s">
        <v>249</v>
      </c>
      <c r="D266" s="55" t="s">
        <v>260</v>
      </c>
      <c r="E266" s="56" t="s">
        <v>302</v>
      </c>
      <c r="F266" s="56" t="s">
        <v>44</v>
      </c>
      <c r="G266" s="56" t="s">
        <v>251</v>
      </c>
      <c r="H266" s="57" t="s">
        <v>243</v>
      </c>
      <c r="I266" s="57" t="s">
        <v>244</v>
      </c>
      <c r="J266" s="57" t="s">
        <v>257</v>
      </c>
      <c r="K266" s="57" t="s">
        <v>264</v>
      </c>
      <c r="L266" s="57" t="s">
        <v>264</v>
      </c>
      <c r="M266" s="58" t="s">
        <v>242</v>
      </c>
      <c r="N266" s="59">
        <v>87.56</v>
      </c>
      <c r="O266" s="59" t="s">
        <v>242</v>
      </c>
      <c r="P266" s="59" t="s">
        <v>242</v>
      </c>
      <c r="Q266" s="59" t="s">
        <v>242</v>
      </c>
      <c r="R266" s="59">
        <v>87.56</v>
      </c>
      <c r="S266" s="59">
        <v>1</v>
      </c>
      <c r="T266" s="61" t="s">
        <v>242</v>
      </c>
      <c r="U266" s="56">
        <v>87.56</v>
      </c>
      <c r="V266" s="62"/>
      <c r="W266" s="63" t="s">
        <v>99</v>
      </c>
      <c r="X266" s="64" t="s">
        <v>259</v>
      </c>
    </row>
    <row r="267" spans="1:24" ht="15" customHeight="1" x14ac:dyDescent="0.2">
      <c r="A267" s="54" t="s">
        <v>241</v>
      </c>
      <c r="B267" s="55" t="s">
        <v>242</v>
      </c>
      <c r="C267" s="55" t="s">
        <v>242</v>
      </c>
      <c r="D267" s="55" t="s">
        <v>242</v>
      </c>
      <c r="E267" s="56" t="s">
        <v>242</v>
      </c>
      <c r="F267" s="56" t="s">
        <v>242</v>
      </c>
      <c r="G267" s="56" t="s">
        <v>242</v>
      </c>
      <c r="H267" s="57" t="s">
        <v>243</v>
      </c>
      <c r="I267" s="57" t="s">
        <v>244</v>
      </c>
      <c r="J267" s="57" t="s">
        <v>257</v>
      </c>
      <c r="K267" s="57" t="s">
        <v>267</v>
      </c>
      <c r="L267" s="57" t="s">
        <v>267</v>
      </c>
      <c r="M267" s="58" t="s">
        <v>242</v>
      </c>
      <c r="N267" s="59" t="s">
        <v>242</v>
      </c>
      <c r="O267" s="59" t="s">
        <v>242</v>
      </c>
      <c r="P267" s="59" t="s">
        <v>242</v>
      </c>
      <c r="Q267" s="59" t="s">
        <v>242</v>
      </c>
      <c r="R267" s="59" t="s">
        <v>242</v>
      </c>
      <c r="S267" s="59" t="s">
        <v>242</v>
      </c>
      <c r="T267" s="61" t="s">
        <v>242</v>
      </c>
      <c r="U267" s="56" t="s">
        <v>242</v>
      </c>
      <c r="V267" s="62">
        <v>8</v>
      </c>
      <c r="W267" s="63" t="s">
        <v>74</v>
      </c>
      <c r="X267" s="64" t="s">
        <v>259</v>
      </c>
    </row>
    <row r="268" spans="1:24" ht="15" customHeight="1" x14ac:dyDescent="0.2">
      <c r="A268" s="54" t="s">
        <v>241</v>
      </c>
      <c r="B268" s="55" t="s">
        <v>304</v>
      </c>
      <c r="C268" s="55" t="s">
        <v>249</v>
      </c>
      <c r="D268" s="55" t="s">
        <v>260</v>
      </c>
      <c r="E268" s="56" t="s">
        <v>223</v>
      </c>
      <c r="F268" s="56" t="s">
        <v>46</v>
      </c>
      <c r="G268" s="56" t="s">
        <v>251</v>
      </c>
      <c r="H268" s="57" t="s">
        <v>243</v>
      </c>
      <c r="I268" s="57" t="s">
        <v>244</v>
      </c>
      <c r="J268" s="57" t="s">
        <v>257</v>
      </c>
      <c r="K268" s="57" t="s">
        <v>267</v>
      </c>
      <c r="L268" s="57" t="s">
        <v>267</v>
      </c>
      <c r="M268" s="58" t="s">
        <v>242</v>
      </c>
      <c r="N268" s="59">
        <v>8</v>
      </c>
      <c r="O268" s="59" t="s">
        <v>242</v>
      </c>
      <c r="P268" s="59" t="s">
        <v>242</v>
      </c>
      <c r="Q268" s="59" t="s">
        <v>242</v>
      </c>
      <c r="R268" s="59">
        <v>8</v>
      </c>
      <c r="S268" s="59">
        <v>1</v>
      </c>
      <c r="T268" s="61" t="s">
        <v>242</v>
      </c>
      <c r="U268" s="56">
        <v>8</v>
      </c>
      <c r="V268" s="62"/>
      <c r="W268" s="63" t="s">
        <v>74</v>
      </c>
      <c r="X268" s="64" t="s">
        <v>259</v>
      </c>
    </row>
    <row r="269" spans="1:24" ht="15" customHeight="1" x14ac:dyDescent="0.2">
      <c r="A269" s="54" t="s">
        <v>241</v>
      </c>
      <c r="B269" s="55" t="s">
        <v>242</v>
      </c>
      <c r="C269" s="55" t="s">
        <v>242</v>
      </c>
      <c r="D269" s="55" t="s">
        <v>242</v>
      </c>
      <c r="E269" s="56" t="s">
        <v>242</v>
      </c>
      <c r="F269" s="56" t="s">
        <v>242</v>
      </c>
      <c r="G269" s="56" t="s">
        <v>242</v>
      </c>
      <c r="H269" s="57" t="s">
        <v>243</v>
      </c>
      <c r="I269" s="57" t="s">
        <v>244</v>
      </c>
      <c r="J269" s="57" t="s">
        <v>257</v>
      </c>
      <c r="K269" s="57" t="s">
        <v>268</v>
      </c>
      <c r="L269" s="57" t="s">
        <v>268</v>
      </c>
      <c r="M269" s="58" t="s">
        <v>242</v>
      </c>
      <c r="N269" s="59" t="s">
        <v>242</v>
      </c>
      <c r="O269" s="59" t="s">
        <v>242</v>
      </c>
      <c r="P269" s="59" t="s">
        <v>242</v>
      </c>
      <c r="Q269" s="59" t="s">
        <v>242</v>
      </c>
      <c r="R269" s="59" t="s">
        <v>242</v>
      </c>
      <c r="S269" s="59" t="s">
        <v>242</v>
      </c>
      <c r="T269" s="61" t="s">
        <v>242</v>
      </c>
      <c r="U269" s="56" t="s">
        <v>242</v>
      </c>
      <c r="V269" s="62">
        <v>170</v>
      </c>
      <c r="W269" s="63" t="s">
        <v>74</v>
      </c>
      <c r="X269" s="64" t="s">
        <v>259</v>
      </c>
    </row>
    <row r="270" spans="1:24" ht="15" customHeight="1" x14ac:dyDescent="0.2">
      <c r="A270" s="54" t="s">
        <v>241</v>
      </c>
      <c r="B270" s="55" t="s">
        <v>304</v>
      </c>
      <c r="C270" s="55" t="s">
        <v>249</v>
      </c>
      <c r="D270" s="55" t="s">
        <v>242</v>
      </c>
      <c r="E270" s="56" t="s">
        <v>242</v>
      </c>
      <c r="F270" s="56" t="s">
        <v>242</v>
      </c>
      <c r="G270" s="56" t="s">
        <v>251</v>
      </c>
      <c r="H270" s="57" t="s">
        <v>243</v>
      </c>
      <c r="I270" s="57" t="s">
        <v>244</v>
      </c>
      <c r="J270" s="57" t="s">
        <v>257</v>
      </c>
      <c r="K270" s="57" t="s">
        <v>268</v>
      </c>
      <c r="L270" s="57" t="s">
        <v>268</v>
      </c>
      <c r="M270" s="58" t="s">
        <v>242</v>
      </c>
      <c r="N270" s="59">
        <v>170</v>
      </c>
      <c r="O270" s="59" t="s">
        <v>242</v>
      </c>
      <c r="P270" s="59" t="s">
        <v>242</v>
      </c>
      <c r="Q270" s="59" t="s">
        <v>242</v>
      </c>
      <c r="R270" s="59">
        <v>170</v>
      </c>
      <c r="S270" s="59">
        <v>1</v>
      </c>
      <c r="T270" s="61" t="s">
        <v>242</v>
      </c>
      <c r="U270" s="56">
        <v>170</v>
      </c>
      <c r="V270" s="62"/>
      <c r="W270" s="63" t="s">
        <v>74</v>
      </c>
      <c r="X270" s="64" t="s">
        <v>259</v>
      </c>
    </row>
    <row r="271" spans="1:24" ht="15" customHeight="1" x14ac:dyDescent="0.2">
      <c r="A271" s="54" t="s">
        <v>241</v>
      </c>
      <c r="B271" s="55" t="s">
        <v>242</v>
      </c>
      <c r="C271" s="55" t="s">
        <v>242</v>
      </c>
      <c r="D271" s="55" t="s">
        <v>242</v>
      </c>
      <c r="E271" s="56" t="s">
        <v>242</v>
      </c>
      <c r="F271" s="56" t="s">
        <v>242</v>
      </c>
      <c r="G271" s="56" t="s">
        <v>242</v>
      </c>
      <c r="H271" s="57" t="s">
        <v>243</v>
      </c>
      <c r="I271" s="57" t="s">
        <v>244</v>
      </c>
      <c r="J271" s="57" t="s">
        <v>257</v>
      </c>
      <c r="K271" s="57" t="s">
        <v>269</v>
      </c>
      <c r="L271" s="57" t="s">
        <v>269</v>
      </c>
      <c r="M271" s="58" t="s">
        <v>242</v>
      </c>
      <c r="N271" s="59" t="s">
        <v>242</v>
      </c>
      <c r="O271" s="59" t="s">
        <v>242</v>
      </c>
      <c r="P271" s="59" t="s">
        <v>242</v>
      </c>
      <c r="Q271" s="59" t="s">
        <v>242</v>
      </c>
      <c r="R271" s="59" t="s">
        <v>242</v>
      </c>
      <c r="S271" s="59" t="s">
        <v>242</v>
      </c>
      <c r="T271" s="61" t="s">
        <v>242</v>
      </c>
      <c r="U271" s="56" t="s">
        <v>242</v>
      </c>
      <c r="V271" s="62">
        <v>0.96</v>
      </c>
      <c r="W271" s="63" t="s">
        <v>270</v>
      </c>
      <c r="X271" s="64" t="s">
        <v>259</v>
      </c>
    </row>
    <row r="272" spans="1:24" ht="15" customHeight="1" x14ac:dyDescent="0.2">
      <c r="A272" s="54" t="s">
        <v>241</v>
      </c>
      <c r="B272" s="55" t="s">
        <v>304</v>
      </c>
      <c r="C272" s="55" t="s">
        <v>249</v>
      </c>
      <c r="D272" s="55" t="s">
        <v>254</v>
      </c>
      <c r="E272" s="56" t="s">
        <v>43</v>
      </c>
      <c r="F272" s="56" t="s">
        <v>44</v>
      </c>
      <c r="G272" s="56" t="s">
        <v>251</v>
      </c>
      <c r="H272" s="57" t="s">
        <v>243</v>
      </c>
      <c r="I272" s="57" t="s">
        <v>244</v>
      </c>
      <c r="J272" s="57" t="s">
        <v>257</v>
      </c>
      <c r="K272" s="57" t="s">
        <v>269</v>
      </c>
      <c r="L272" s="57" t="s">
        <v>269</v>
      </c>
      <c r="M272" s="58" t="s">
        <v>242</v>
      </c>
      <c r="N272" s="59">
        <v>1</v>
      </c>
      <c r="O272" s="59">
        <v>1.2</v>
      </c>
      <c r="P272" s="59">
        <v>0.8</v>
      </c>
      <c r="Q272" s="59" t="s">
        <v>242</v>
      </c>
      <c r="R272" s="59">
        <v>0.96</v>
      </c>
      <c r="S272" s="59">
        <v>1</v>
      </c>
      <c r="T272" s="61" t="s">
        <v>242</v>
      </c>
      <c r="U272" s="56">
        <v>0.96</v>
      </c>
      <c r="V272" s="62"/>
      <c r="W272" s="63" t="s">
        <v>270</v>
      </c>
      <c r="X272" s="64" t="s">
        <v>259</v>
      </c>
    </row>
    <row r="273" spans="1:24" ht="15" customHeight="1" x14ac:dyDescent="0.2">
      <c r="A273" s="54" t="s">
        <v>241</v>
      </c>
      <c r="B273" s="55" t="s">
        <v>242</v>
      </c>
      <c r="C273" s="55" t="s">
        <v>242</v>
      </c>
      <c r="D273" s="55" t="s">
        <v>242</v>
      </c>
      <c r="E273" s="56" t="s">
        <v>242</v>
      </c>
      <c r="F273" s="56" t="s">
        <v>242</v>
      </c>
      <c r="G273" s="56" t="s">
        <v>242</v>
      </c>
      <c r="H273" s="57" t="s">
        <v>243</v>
      </c>
      <c r="I273" s="57" t="s">
        <v>244</v>
      </c>
      <c r="J273" s="57" t="s">
        <v>257</v>
      </c>
      <c r="K273" s="57" t="s">
        <v>271</v>
      </c>
      <c r="L273" s="57" t="s">
        <v>271</v>
      </c>
      <c r="M273" s="58" t="s">
        <v>242</v>
      </c>
      <c r="N273" s="59" t="s">
        <v>242</v>
      </c>
      <c r="O273" s="59" t="s">
        <v>242</v>
      </c>
      <c r="P273" s="59" t="s">
        <v>242</v>
      </c>
      <c r="Q273" s="59" t="s">
        <v>242</v>
      </c>
      <c r="R273" s="59" t="s">
        <v>242</v>
      </c>
      <c r="S273" s="59" t="s">
        <v>242</v>
      </c>
      <c r="T273" s="61" t="s">
        <v>242</v>
      </c>
      <c r="U273" s="56" t="s">
        <v>242</v>
      </c>
      <c r="V273" s="62">
        <v>250</v>
      </c>
      <c r="W273" s="63" t="s">
        <v>179</v>
      </c>
      <c r="X273" s="64" t="s">
        <v>259</v>
      </c>
    </row>
    <row r="274" spans="1:24" ht="15" customHeight="1" x14ac:dyDescent="0.2">
      <c r="A274" s="54" t="s">
        <v>241</v>
      </c>
      <c r="B274" s="55" t="s">
        <v>304</v>
      </c>
      <c r="C274" s="55" t="s">
        <v>249</v>
      </c>
      <c r="D274" s="55" t="s">
        <v>242</v>
      </c>
      <c r="E274" s="56" t="s">
        <v>242</v>
      </c>
      <c r="F274" s="56" t="s">
        <v>242</v>
      </c>
      <c r="G274" s="56" t="s">
        <v>251</v>
      </c>
      <c r="H274" s="57" t="s">
        <v>243</v>
      </c>
      <c r="I274" s="57" t="s">
        <v>244</v>
      </c>
      <c r="J274" s="57" t="s">
        <v>257</v>
      </c>
      <c r="K274" s="57" t="s">
        <v>271</v>
      </c>
      <c r="L274" s="57" t="s">
        <v>271</v>
      </c>
      <c r="M274" s="58" t="s">
        <v>51</v>
      </c>
      <c r="N274" s="59">
        <v>1</v>
      </c>
      <c r="O274" s="59">
        <v>100</v>
      </c>
      <c r="P274" s="59" t="s">
        <v>242</v>
      </c>
      <c r="Q274" s="59" t="s">
        <v>242</v>
      </c>
      <c r="R274" s="59">
        <v>100</v>
      </c>
      <c r="S274" s="59">
        <v>1</v>
      </c>
      <c r="T274" s="61" t="s">
        <v>242</v>
      </c>
      <c r="U274" s="56">
        <v>100</v>
      </c>
      <c r="V274" s="62"/>
      <c r="W274" s="63" t="s">
        <v>179</v>
      </c>
      <c r="X274" s="64" t="s">
        <v>259</v>
      </c>
    </row>
    <row r="275" spans="1:24" ht="15" customHeight="1" x14ac:dyDescent="0.2">
      <c r="A275" s="54" t="s">
        <v>241</v>
      </c>
      <c r="B275" s="55" t="s">
        <v>304</v>
      </c>
      <c r="C275" s="55" t="s">
        <v>249</v>
      </c>
      <c r="D275" s="55" t="s">
        <v>242</v>
      </c>
      <c r="E275" s="56" t="s">
        <v>242</v>
      </c>
      <c r="F275" s="56" t="s">
        <v>242</v>
      </c>
      <c r="G275" s="56" t="s">
        <v>251</v>
      </c>
      <c r="H275" s="57" t="s">
        <v>243</v>
      </c>
      <c r="I275" s="57" t="s">
        <v>244</v>
      </c>
      <c r="J275" s="57" t="s">
        <v>257</v>
      </c>
      <c r="K275" s="57" t="s">
        <v>271</v>
      </c>
      <c r="L275" s="57" t="s">
        <v>271</v>
      </c>
      <c r="M275" s="58" t="s">
        <v>49</v>
      </c>
      <c r="N275" s="59">
        <v>1</v>
      </c>
      <c r="O275" s="59">
        <v>8</v>
      </c>
      <c r="P275" s="59" t="s">
        <v>242</v>
      </c>
      <c r="Q275" s="59" t="s">
        <v>242</v>
      </c>
      <c r="R275" s="59">
        <v>8</v>
      </c>
      <c r="S275" s="59">
        <v>9</v>
      </c>
      <c r="T275" s="61" t="s">
        <v>242</v>
      </c>
      <c r="U275" s="56">
        <v>72</v>
      </c>
      <c r="V275" s="62"/>
      <c r="W275" s="63" t="s">
        <v>179</v>
      </c>
      <c r="X275" s="64" t="s">
        <v>259</v>
      </c>
    </row>
    <row r="276" spans="1:24" ht="15" customHeight="1" x14ac:dyDescent="0.2">
      <c r="A276" s="54" t="s">
        <v>241</v>
      </c>
      <c r="B276" s="55" t="s">
        <v>304</v>
      </c>
      <c r="C276" s="55" t="s">
        <v>249</v>
      </c>
      <c r="D276" s="55" t="s">
        <v>242</v>
      </c>
      <c r="E276" s="56" t="s">
        <v>242</v>
      </c>
      <c r="F276" s="56" t="s">
        <v>242</v>
      </c>
      <c r="G276" s="56" t="s">
        <v>251</v>
      </c>
      <c r="H276" s="57" t="s">
        <v>243</v>
      </c>
      <c r="I276" s="57" t="s">
        <v>244</v>
      </c>
      <c r="J276" s="57" t="s">
        <v>257</v>
      </c>
      <c r="K276" s="57" t="s">
        <v>271</v>
      </c>
      <c r="L276" s="57" t="s">
        <v>271</v>
      </c>
      <c r="M276" s="58" t="s">
        <v>52</v>
      </c>
      <c r="N276" s="59">
        <v>1</v>
      </c>
      <c r="O276" s="59" t="s">
        <v>305</v>
      </c>
      <c r="P276" s="59" t="s">
        <v>242</v>
      </c>
      <c r="Q276" s="59" t="s">
        <v>242</v>
      </c>
      <c r="R276" s="59">
        <v>52</v>
      </c>
      <c r="S276" s="59">
        <v>1</v>
      </c>
      <c r="T276" s="61" t="s">
        <v>242</v>
      </c>
      <c r="U276" s="56">
        <v>52</v>
      </c>
      <c r="V276" s="62"/>
      <c r="W276" s="63" t="s">
        <v>179</v>
      </c>
      <c r="X276" s="64" t="s">
        <v>259</v>
      </c>
    </row>
    <row r="277" spans="1:24" ht="15" customHeight="1" x14ac:dyDescent="0.2">
      <c r="A277" s="54" t="s">
        <v>241</v>
      </c>
      <c r="B277" s="55" t="s">
        <v>304</v>
      </c>
      <c r="C277" s="55" t="s">
        <v>249</v>
      </c>
      <c r="D277" s="55" t="s">
        <v>242</v>
      </c>
      <c r="E277" s="56" t="s">
        <v>242</v>
      </c>
      <c r="F277" s="56" t="s">
        <v>242</v>
      </c>
      <c r="G277" s="56" t="s">
        <v>251</v>
      </c>
      <c r="H277" s="57" t="s">
        <v>243</v>
      </c>
      <c r="I277" s="57" t="s">
        <v>244</v>
      </c>
      <c r="J277" s="57" t="s">
        <v>257</v>
      </c>
      <c r="K277" s="57" t="s">
        <v>271</v>
      </c>
      <c r="L277" s="57" t="s">
        <v>271</v>
      </c>
      <c r="M277" s="58" t="s">
        <v>50</v>
      </c>
      <c r="N277" s="59">
        <v>1</v>
      </c>
      <c r="O277" s="59" t="s">
        <v>306</v>
      </c>
      <c r="P277" s="59" t="s">
        <v>242</v>
      </c>
      <c r="Q277" s="59" t="s">
        <v>242</v>
      </c>
      <c r="R277" s="59">
        <v>26</v>
      </c>
      <c r="S277" s="59">
        <v>1</v>
      </c>
      <c r="T277" s="61" t="s">
        <v>242</v>
      </c>
      <c r="U277" s="56">
        <v>26</v>
      </c>
      <c r="V277" s="62"/>
      <c r="W277" s="63" t="s">
        <v>179</v>
      </c>
      <c r="X277" s="64" t="s">
        <v>259</v>
      </c>
    </row>
    <row r="278" spans="1:24" ht="15" customHeight="1" x14ac:dyDescent="0.2">
      <c r="A278" s="54" t="s">
        <v>241</v>
      </c>
      <c r="B278" s="55" t="s">
        <v>242</v>
      </c>
      <c r="C278" s="55" t="s">
        <v>242</v>
      </c>
      <c r="D278" s="55" t="s">
        <v>242</v>
      </c>
      <c r="E278" s="56" t="s">
        <v>242</v>
      </c>
      <c r="F278" s="56" t="s">
        <v>242</v>
      </c>
      <c r="G278" s="56" t="s">
        <v>242</v>
      </c>
      <c r="H278" s="57" t="s">
        <v>243</v>
      </c>
      <c r="I278" s="57" t="s">
        <v>244</v>
      </c>
      <c r="J278" s="57" t="s">
        <v>257</v>
      </c>
      <c r="K278" s="57" t="s">
        <v>276</v>
      </c>
      <c r="L278" s="57" t="s">
        <v>276</v>
      </c>
      <c r="M278" s="58" t="s">
        <v>242</v>
      </c>
      <c r="N278" s="59" t="s">
        <v>242</v>
      </c>
      <c r="O278" s="59" t="s">
        <v>242</v>
      </c>
      <c r="P278" s="59" t="s">
        <v>242</v>
      </c>
      <c r="Q278" s="59" t="s">
        <v>242</v>
      </c>
      <c r="R278" s="59" t="s">
        <v>242</v>
      </c>
      <c r="S278" s="59" t="s">
        <v>242</v>
      </c>
      <c r="T278" s="61" t="s">
        <v>242</v>
      </c>
      <c r="U278" s="56" t="s">
        <v>242</v>
      </c>
      <c r="V278" s="62">
        <v>0.8</v>
      </c>
      <c r="W278" s="63" t="s">
        <v>270</v>
      </c>
      <c r="X278" s="64" t="s">
        <v>259</v>
      </c>
    </row>
    <row r="279" spans="1:24" ht="15" customHeight="1" x14ac:dyDescent="0.2">
      <c r="A279" s="54" t="s">
        <v>241</v>
      </c>
      <c r="B279" s="55" t="s">
        <v>304</v>
      </c>
      <c r="C279" s="55" t="s">
        <v>249</v>
      </c>
      <c r="D279" s="55" t="s">
        <v>252</v>
      </c>
      <c r="E279" s="56" t="s">
        <v>48</v>
      </c>
      <c r="F279" s="56" t="s">
        <v>47</v>
      </c>
      <c r="G279" s="56" t="s">
        <v>251</v>
      </c>
      <c r="H279" s="57" t="s">
        <v>243</v>
      </c>
      <c r="I279" s="57" t="s">
        <v>244</v>
      </c>
      <c r="J279" s="57" t="s">
        <v>257</v>
      </c>
      <c r="K279" s="57" t="s">
        <v>276</v>
      </c>
      <c r="L279" s="57" t="s">
        <v>276</v>
      </c>
      <c r="M279" s="58" t="s">
        <v>242</v>
      </c>
      <c r="N279" s="59">
        <v>1</v>
      </c>
      <c r="O279" s="59">
        <v>4</v>
      </c>
      <c r="P279" s="59">
        <v>0.2</v>
      </c>
      <c r="Q279" s="59" t="s">
        <v>242</v>
      </c>
      <c r="R279" s="59">
        <v>0.8</v>
      </c>
      <c r="S279" s="59">
        <v>1</v>
      </c>
      <c r="T279" s="61" t="s">
        <v>242</v>
      </c>
      <c r="U279" s="56">
        <v>0.8</v>
      </c>
      <c r="V279" s="62"/>
      <c r="W279" s="63" t="s">
        <v>270</v>
      </c>
      <c r="X279" s="64" t="s">
        <v>259</v>
      </c>
    </row>
    <row r="280" spans="1:24" ht="15" customHeight="1" x14ac:dyDescent="0.25">
      <c r="A280" s="48"/>
      <c r="B280" s="49"/>
      <c r="C280" s="48"/>
      <c r="D280" s="48"/>
      <c r="E280" s="53"/>
      <c r="F280" s="46"/>
      <c r="G280" s="46"/>
      <c r="H280" s="46"/>
      <c r="I280" s="46"/>
      <c r="J280" s="46"/>
      <c r="K280" s="46"/>
      <c r="L280" s="46"/>
      <c r="M280" s="48"/>
      <c r="N280" s="48"/>
      <c r="O280" s="49"/>
      <c r="P280" s="48"/>
      <c r="Q280" s="48"/>
      <c r="R280" s="48"/>
      <c r="S280" s="46"/>
      <c r="T280" s="48"/>
      <c r="U280" s="48"/>
      <c r="V280" s="25"/>
      <c r="W280" s="25"/>
      <c r="X280" s="25"/>
    </row>
    <row r="281" spans="1:24" ht="15" customHeight="1" x14ac:dyDescent="0.25">
      <c r="A281" s="48"/>
      <c r="B281" s="49"/>
      <c r="C281" s="48"/>
      <c r="D281" s="48"/>
      <c r="E281" s="53"/>
      <c r="F281" s="46"/>
      <c r="G281" s="46"/>
      <c r="H281" s="46"/>
      <c r="I281" s="46"/>
      <c r="J281" s="46"/>
      <c r="K281" s="46"/>
      <c r="L281" s="46"/>
      <c r="M281" s="48"/>
      <c r="N281" s="48"/>
      <c r="O281" s="49"/>
      <c r="P281" s="48"/>
      <c r="Q281" s="48"/>
      <c r="R281" s="48"/>
      <c r="S281" s="46"/>
      <c r="T281" s="48"/>
      <c r="U281" s="48"/>
      <c r="V281" s="25"/>
      <c r="W281" s="25"/>
      <c r="X281" s="25"/>
    </row>
    <row r="282" spans="1:24" ht="15" customHeight="1" x14ac:dyDescent="0.2">
      <c r="A282" s="89" t="s">
        <v>241</v>
      </c>
      <c r="B282" s="90" t="s">
        <v>242</v>
      </c>
      <c r="C282" s="90" t="s">
        <v>242</v>
      </c>
      <c r="D282" s="90" t="s">
        <v>242</v>
      </c>
      <c r="E282" s="91" t="s">
        <v>242</v>
      </c>
      <c r="F282" s="91" t="s">
        <v>242</v>
      </c>
      <c r="G282" s="91" t="s">
        <v>242</v>
      </c>
      <c r="H282" s="92" t="s">
        <v>243</v>
      </c>
      <c r="I282" s="92" t="s">
        <v>244</v>
      </c>
      <c r="J282" s="92" t="s">
        <v>245</v>
      </c>
      <c r="K282" s="92" t="s">
        <v>253</v>
      </c>
      <c r="L282" s="92" t="s">
        <v>253</v>
      </c>
      <c r="M282" s="93" t="s">
        <v>242</v>
      </c>
      <c r="N282" s="94" t="s">
        <v>242</v>
      </c>
      <c r="O282" s="94" t="s">
        <v>242</v>
      </c>
      <c r="P282" s="94" t="s">
        <v>242</v>
      </c>
      <c r="Q282" s="94" t="s">
        <v>242</v>
      </c>
      <c r="R282" s="94" t="s">
        <v>242</v>
      </c>
      <c r="S282" s="95" t="s">
        <v>242</v>
      </c>
      <c r="T282" s="96" t="s">
        <v>242</v>
      </c>
      <c r="U282" s="91" t="s">
        <v>242</v>
      </c>
      <c r="V282" s="97">
        <v>6</v>
      </c>
      <c r="W282" s="98" t="s">
        <v>179</v>
      </c>
      <c r="X282" s="99" t="s">
        <v>247</v>
      </c>
    </row>
    <row r="283" spans="1:24" ht="15" customHeight="1" x14ac:dyDescent="0.2">
      <c r="A283" s="89" t="s">
        <v>241</v>
      </c>
      <c r="B283" s="90" t="s">
        <v>307</v>
      </c>
      <c r="C283" s="90" t="s">
        <v>249</v>
      </c>
      <c r="D283" s="90" t="s">
        <v>254</v>
      </c>
      <c r="E283" s="91" t="s">
        <v>43</v>
      </c>
      <c r="F283" s="91" t="s">
        <v>42</v>
      </c>
      <c r="G283" s="91" t="s">
        <v>251</v>
      </c>
      <c r="H283" s="92" t="s">
        <v>243</v>
      </c>
      <c r="I283" s="92" t="s">
        <v>244</v>
      </c>
      <c r="J283" s="92" t="s">
        <v>245</v>
      </c>
      <c r="K283" s="92" t="s">
        <v>253</v>
      </c>
      <c r="L283" s="92" t="s">
        <v>253</v>
      </c>
      <c r="M283" s="93" t="s">
        <v>242</v>
      </c>
      <c r="N283" s="94">
        <v>1</v>
      </c>
      <c r="O283" s="94">
        <v>6</v>
      </c>
      <c r="P283" s="94" t="s">
        <v>242</v>
      </c>
      <c r="Q283" s="94" t="s">
        <v>242</v>
      </c>
      <c r="R283" s="94">
        <v>6</v>
      </c>
      <c r="S283" s="94">
        <v>1</v>
      </c>
      <c r="T283" s="96" t="s">
        <v>242</v>
      </c>
      <c r="U283" s="91">
        <v>6</v>
      </c>
      <c r="V283" s="97"/>
      <c r="W283" s="98" t="s">
        <v>179</v>
      </c>
      <c r="X283" s="99" t="s">
        <v>247</v>
      </c>
    </row>
    <row r="284" spans="1:24" ht="15" customHeight="1" x14ac:dyDescent="0.2">
      <c r="A284" s="89" t="s">
        <v>241</v>
      </c>
      <c r="B284" s="90" t="s">
        <v>242</v>
      </c>
      <c r="C284" s="90" t="s">
        <v>242</v>
      </c>
      <c r="D284" s="90" t="s">
        <v>242</v>
      </c>
      <c r="E284" s="91" t="s">
        <v>242</v>
      </c>
      <c r="F284" s="91" t="s">
        <v>242</v>
      </c>
      <c r="G284" s="91" t="s">
        <v>242</v>
      </c>
      <c r="H284" s="92" t="s">
        <v>243</v>
      </c>
      <c r="I284" s="92" t="s">
        <v>244</v>
      </c>
      <c r="J284" s="92" t="s">
        <v>257</v>
      </c>
      <c r="K284" s="92" t="s">
        <v>261</v>
      </c>
      <c r="L284" s="92" t="s">
        <v>261</v>
      </c>
      <c r="M284" s="93" t="s">
        <v>242</v>
      </c>
      <c r="N284" s="94" t="s">
        <v>242</v>
      </c>
      <c r="O284" s="94" t="s">
        <v>242</v>
      </c>
      <c r="P284" s="94" t="s">
        <v>242</v>
      </c>
      <c r="Q284" s="94" t="s">
        <v>242</v>
      </c>
      <c r="R284" s="94" t="s">
        <v>242</v>
      </c>
      <c r="S284" s="94" t="s">
        <v>242</v>
      </c>
      <c r="T284" s="96" t="s">
        <v>242</v>
      </c>
      <c r="U284" s="91" t="s">
        <v>242</v>
      </c>
      <c r="V284" s="97">
        <v>200</v>
      </c>
      <c r="W284" s="98" t="s">
        <v>262</v>
      </c>
      <c r="X284" s="99" t="s">
        <v>259</v>
      </c>
    </row>
    <row r="285" spans="1:24" ht="15" customHeight="1" x14ac:dyDescent="0.2">
      <c r="A285" s="89" t="s">
        <v>241</v>
      </c>
      <c r="B285" s="90" t="s">
        <v>307</v>
      </c>
      <c r="C285" s="90" t="s">
        <v>249</v>
      </c>
      <c r="D285" s="90" t="s">
        <v>242</v>
      </c>
      <c r="E285" s="91" t="s">
        <v>242</v>
      </c>
      <c r="F285" s="91" t="s">
        <v>242</v>
      </c>
      <c r="G285" s="91" t="s">
        <v>251</v>
      </c>
      <c r="H285" s="92" t="s">
        <v>243</v>
      </c>
      <c r="I285" s="92" t="s">
        <v>244</v>
      </c>
      <c r="J285" s="92" t="s">
        <v>257</v>
      </c>
      <c r="K285" s="92" t="s">
        <v>261</v>
      </c>
      <c r="L285" s="92" t="s">
        <v>261</v>
      </c>
      <c r="M285" s="93" t="s">
        <v>242</v>
      </c>
      <c r="N285" s="94">
        <v>200</v>
      </c>
      <c r="O285" s="94" t="s">
        <v>242</v>
      </c>
      <c r="P285" s="94" t="s">
        <v>242</v>
      </c>
      <c r="Q285" s="94" t="s">
        <v>242</v>
      </c>
      <c r="R285" s="94">
        <v>200</v>
      </c>
      <c r="S285" s="94">
        <v>1</v>
      </c>
      <c r="T285" s="96" t="s">
        <v>242</v>
      </c>
      <c r="U285" s="91">
        <v>200</v>
      </c>
      <c r="V285" s="97"/>
      <c r="W285" s="98" t="s">
        <v>262</v>
      </c>
      <c r="X285" s="99" t="s">
        <v>259</v>
      </c>
    </row>
    <row r="286" spans="1:24" ht="15" customHeight="1" x14ac:dyDescent="0.2">
      <c r="A286" s="89" t="s">
        <v>241</v>
      </c>
      <c r="B286" s="90" t="s">
        <v>242</v>
      </c>
      <c r="C286" s="90" t="s">
        <v>242</v>
      </c>
      <c r="D286" s="90" t="s">
        <v>242</v>
      </c>
      <c r="E286" s="91" t="s">
        <v>242</v>
      </c>
      <c r="F286" s="91" t="s">
        <v>242</v>
      </c>
      <c r="G286" s="91" t="s">
        <v>242</v>
      </c>
      <c r="H286" s="92" t="s">
        <v>243</v>
      </c>
      <c r="I286" s="92" t="s">
        <v>244</v>
      </c>
      <c r="J286" s="92" t="s">
        <v>257</v>
      </c>
      <c r="K286" s="92" t="s">
        <v>280</v>
      </c>
      <c r="L286" s="92" t="s">
        <v>280</v>
      </c>
      <c r="M286" s="93" t="s">
        <v>242</v>
      </c>
      <c r="N286" s="94" t="s">
        <v>242</v>
      </c>
      <c r="O286" s="94" t="s">
        <v>242</v>
      </c>
      <c r="P286" s="94" t="s">
        <v>242</v>
      </c>
      <c r="Q286" s="94" t="s">
        <v>242</v>
      </c>
      <c r="R286" s="94" t="s">
        <v>242</v>
      </c>
      <c r="S286" s="94" t="s">
        <v>242</v>
      </c>
      <c r="T286" s="96" t="s">
        <v>242</v>
      </c>
      <c r="U286" s="91" t="s">
        <v>242</v>
      </c>
      <c r="V286" s="97">
        <v>120</v>
      </c>
      <c r="W286" s="98" t="s">
        <v>262</v>
      </c>
      <c r="X286" s="99" t="s">
        <v>259</v>
      </c>
    </row>
    <row r="287" spans="1:24" ht="15" customHeight="1" x14ac:dyDescent="0.2">
      <c r="A287" s="89" t="s">
        <v>241</v>
      </c>
      <c r="B287" s="90" t="s">
        <v>307</v>
      </c>
      <c r="C287" s="90" t="s">
        <v>249</v>
      </c>
      <c r="D287" s="90" t="s">
        <v>242</v>
      </c>
      <c r="E287" s="91" t="s">
        <v>242</v>
      </c>
      <c r="F287" s="91" t="s">
        <v>242</v>
      </c>
      <c r="G287" s="91" t="s">
        <v>251</v>
      </c>
      <c r="H287" s="92" t="s">
        <v>243</v>
      </c>
      <c r="I287" s="92" t="s">
        <v>244</v>
      </c>
      <c r="J287" s="92" t="s">
        <v>257</v>
      </c>
      <c r="K287" s="92" t="s">
        <v>280</v>
      </c>
      <c r="L287" s="92" t="s">
        <v>280</v>
      </c>
      <c r="M287" s="93" t="s">
        <v>242</v>
      </c>
      <c r="N287" s="94">
        <v>120</v>
      </c>
      <c r="O287" s="94" t="s">
        <v>242</v>
      </c>
      <c r="P287" s="94" t="s">
        <v>242</v>
      </c>
      <c r="Q287" s="94" t="s">
        <v>242</v>
      </c>
      <c r="R287" s="94">
        <v>120</v>
      </c>
      <c r="S287" s="94">
        <v>1</v>
      </c>
      <c r="T287" s="96" t="s">
        <v>242</v>
      </c>
      <c r="U287" s="91">
        <v>120</v>
      </c>
      <c r="V287" s="97"/>
      <c r="W287" s="98" t="s">
        <v>262</v>
      </c>
      <c r="X287" s="99" t="s">
        <v>259</v>
      </c>
    </row>
    <row r="288" spans="1:24" ht="15" customHeight="1" x14ac:dyDescent="0.2">
      <c r="A288" s="89" t="s">
        <v>241</v>
      </c>
      <c r="B288" s="90" t="s">
        <v>242</v>
      </c>
      <c r="C288" s="90" t="s">
        <v>242</v>
      </c>
      <c r="D288" s="90" t="s">
        <v>242</v>
      </c>
      <c r="E288" s="91" t="s">
        <v>242</v>
      </c>
      <c r="F288" s="91" t="s">
        <v>242</v>
      </c>
      <c r="G288" s="91" t="s">
        <v>242</v>
      </c>
      <c r="H288" s="92" t="s">
        <v>243</v>
      </c>
      <c r="I288" s="92" t="s">
        <v>244</v>
      </c>
      <c r="J288" s="92" t="s">
        <v>257</v>
      </c>
      <c r="K288" s="92" t="s">
        <v>264</v>
      </c>
      <c r="L288" s="92" t="s">
        <v>264</v>
      </c>
      <c r="M288" s="93" t="s">
        <v>242</v>
      </c>
      <c r="N288" s="94" t="s">
        <v>242</v>
      </c>
      <c r="O288" s="94" t="s">
        <v>242</v>
      </c>
      <c r="P288" s="94" t="s">
        <v>242</v>
      </c>
      <c r="Q288" s="94" t="s">
        <v>242</v>
      </c>
      <c r="R288" s="94" t="s">
        <v>242</v>
      </c>
      <c r="S288" s="94" t="s">
        <v>242</v>
      </c>
      <c r="T288" s="96" t="s">
        <v>242</v>
      </c>
      <c r="U288" s="91" t="s">
        <v>242</v>
      </c>
      <c r="V288" s="97">
        <v>78.48</v>
      </c>
      <c r="W288" s="98" t="s">
        <v>99</v>
      </c>
      <c r="X288" s="99" t="s">
        <v>259</v>
      </c>
    </row>
    <row r="289" spans="1:24" ht="15" customHeight="1" x14ac:dyDescent="0.2">
      <c r="A289" s="89" t="s">
        <v>241</v>
      </c>
      <c r="B289" s="90" t="s">
        <v>307</v>
      </c>
      <c r="C289" s="90" t="s">
        <v>249</v>
      </c>
      <c r="D289" s="90" t="s">
        <v>242</v>
      </c>
      <c r="E289" s="91" t="s">
        <v>242</v>
      </c>
      <c r="F289" s="91" t="s">
        <v>242</v>
      </c>
      <c r="G289" s="91" t="s">
        <v>251</v>
      </c>
      <c r="H289" s="92" t="s">
        <v>243</v>
      </c>
      <c r="I289" s="92" t="s">
        <v>244</v>
      </c>
      <c r="J289" s="92" t="s">
        <v>257</v>
      </c>
      <c r="K289" s="92" t="s">
        <v>264</v>
      </c>
      <c r="L289" s="92" t="s">
        <v>264</v>
      </c>
      <c r="M289" s="93" t="s">
        <v>242</v>
      </c>
      <c r="N289" s="94">
        <v>78.48</v>
      </c>
      <c r="O289" s="94" t="s">
        <v>242</v>
      </c>
      <c r="P289" s="94" t="s">
        <v>242</v>
      </c>
      <c r="Q289" s="94" t="s">
        <v>242</v>
      </c>
      <c r="R289" s="94">
        <v>78.48</v>
      </c>
      <c r="S289" s="94">
        <v>1</v>
      </c>
      <c r="T289" s="96" t="s">
        <v>242</v>
      </c>
      <c r="U289" s="91">
        <v>78.48</v>
      </c>
      <c r="V289" s="97"/>
      <c r="W289" s="98" t="s">
        <v>99</v>
      </c>
      <c r="X289" s="99" t="s">
        <v>259</v>
      </c>
    </row>
    <row r="290" spans="1:24" ht="15" customHeight="1" x14ac:dyDescent="0.2">
      <c r="A290" s="89" t="s">
        <v>241</v>
      </c>
      <c r="B290" s="90" t="s">
        <v>242</v>
      </c>
      <c r="C290" s="90" t="s">
        <v>242</v>
      </c>
      <c r="D290" s="90" t="s">
        <v>242</v>
      </c>
      <c r="E290" s="91" t="s">
        <v>242</v>
      </c>
      <c r="F290" s="91" t="s">
        <v>242</v>
      </c>
      <c r="G290" s="91" t="s">
        <v>242</v>
      </c>
      <c r="H290" s="92" t="s">
        <v>243</v>
      </c>
      <c r="I290" s="92" t="s">
        <v>244</v>
      </c>
      <c r="J290" s="92" t="s">
        <v>257</v>
      </c>
      <c r="K290" s="92" t="s">
        <v>268</v>
      </c>
      <c r="L290" s="92" t="s">
        <v>268</v>
      </c>
      <c r="M290" s="93" t="s">
        <v>242</v>
      </c>
      <c r="N290" s="94" t="s">
        <v>242</v>
      </c>
      <c r="O290" s="94" t="s">
        <v>242</v>
      </c>
      <c r="P290" s="94" t="s">
        <v>242</v>
      </c>
      <c r="Q290" s="94" t="s">
        <v>242</v>
      </c>
      <c r="R290" s="94" t="s">
        <v>242</v>
      </c>
      <c r="S290" s="94" t="s">
        <v>242</v>
      </c>
      <c r="T290" s="96" t="s">
        <v>242</v>
      </c>
      <c r="U290" s="91" t="s">
        <v>242</v>
      </c>
      <c r="V290" s="97">
        <v>49</v>
      </c>
      <c r="W290" s="98" t="s">
        <v>74</v>
      </c>
      <c r="X290" s="99" t="s">
        <v>259</v>
      </c>
    </row>
    <row r="291" spans="1:24" ht="15" customHeight="1" x14ac:dyDescent="0.2">
      <c r="A291" s="89" t="s">
        <v>241</v>
      </c>
      <c r="B291" s="90" t="s">
        <v>307</v>
      </c>
      <c r="C291" s="90" t="s">
        <v>249</v>
      </c>
      <c r="D291" s="90" t="s">
        <v>242</v>
      </c>
      <c r="E291" s="91" t="s">
        <v>242</v>
      </c>
      <c r="F291" s="91" t="s">
        <v>242</v>
      </c>
      <c r="G291" s="91" t="s">
        <v>251</v>
      </c>
      <c r="H291" s="92" t="s">
        <v>243</v>
      </c>
      <c r="I291" s="92" t="s">
        <v>244</v>
      </c>
      <c r="J291" s="92" t="s">
        <v>257</v>
      </c>
      <c r="K291" s="92" t="s">
        <v>268</v>
      </c>
      <c r="L291" s="92" t="s">
        <v>268</v>
      </c>
      <c r="M291" s="93" t="s">
        <v>242</v>
      </c>
      <c r="N291" s="94">
        <v>49</v>
      </c>
      <c r="O291" s="94" t="s">
        <v>242</v>
      </c>
      <c r="P291" s="94" t="s">
        <v>242</v>
      </c>
      <c r="Q291" s="94" t="s">
        <v>242</v>
      </c>
      <c r="R291" s="94">
        <v>49</v>
      </c>
      <c r="S291" s="94">
        <v>1</v>
      </c>
      <c r="T291" s="96" t="s">
        <v>242</v>
      </c>
      <c r="U291" s="91">
        <v>49</v>
      </c>
      <c r="V291" s="97"/>
      <c r="W291" s="98" t="s">
        <v>74</v>
      </c>
      <c r="X291" s="99" t="s">
        <v>259</v>
      </c>
    </row>
    <row r="292" spans="1:24" ht="15" customHeight="1" x14ac:dyDescent="0.2">
      <c r="A292" s="89" t="s">
        <v>241</v>
      </c>
      <c r="B292" s="90" t="s">
        <v>242</v>
      </c>
      <c r="C292" s="90" t="s">
        <v>242</v>
      </c>
      <c r="D292" s="90" t="s">
        <v>242</v>
      </c>
      <c r="E292" s="91" t="s">
        <v>242</v>
      </c>
      <c r="F292" s="91" t="s">
        <v>242</v>
      </c>
      <c r="G292" s="91" t="s">
        <v>242</v>
      </c>
      <c r="H292" s="92" t="s">
        <v>243</v>
      </c>
      <c r="I292" s="92" t="s">
        <v>244</v>
      </c>
      <c r="J292" s="92" t="s">
        <v>257</v>
      </c>
      <c r="K292" s="92" t="s">
        <v>269</v>
      </c>
      <c r="L292" s="92" t="s">
        <v>269</v>
      </c>
      <c r="M292" s="93" t="s">
        <v>242</v>
      </c>
      <c r="N292" s="94" t="s">
        <v>242</v>
      </c>
      <c r="O292" s="94" t="s">
        <v>242</v>
      </c>
      <c r="P292" s="94" t="s">
        <v>242</v>
      </c>
      <c r="Q292" s="94" t="s">
        <v>242</v>
      </c>
      <c r="R292" s="94" t="s">
        <v>242</v>
      </c>
      <c r="S292" s="94" t="s">
        <v>242</v>
      </c>
      <c r="T292" s="96" t="s">
        <v>242</v>
      </c>
      <c r="U292" s="91" t="s">
        <v>242</v>
      </c>
      <c r="V292" s="97">
        <v>4.8</v>
      </c>
      <c r="W292" s="98" t="s">
        <v>270</v>
      </c>
      <c r="X292" s="99" t="s">
        <v>259</v>
      </c>
    </row>
    <row r="293" spans="1:24" ht="15" customHeight="1" x14ac:dyDescent="0.2">
      <c r="A293" s="89" t="s">
        <v>241</v>
      </c>
      <c r="B293" s="90" t="s">
        <v>307</v>
      </c>
      <c r="C293" s="90" t="s">
        <v>249</v>
      </c>
      <c r="D293" s="90" t="s">
        <v>254</v>
      </c>
      <c r="E293" s="91" t="s">
        <v>45</v>
      </c>
      <c r="F293" s="91" t="s">
        <v>47</v>
      </c>
      <c r="G293" s="91" t="s">
        <v>251</v>
      </c>
      <c r="H293" s="92" t="s">
        <v>243</v>
      </c>
      <c r="I293" s="92" t="s">
        <v>244</v>
      </c>
      <c r="J293" s="92" t="s">
        <v>257</v>
      </c>
      <c r="K293" s="92" t="s">
        <v>269</v>
      </c>
      <c r="L293" s="92" t="s">
        <v>269</v>
      </c>
      <c r="M293" s="93" t="s">
        <v>242</v>
      </c>
      <c r="N293" s="94">
        <v>1</v>
      </c>
      <c r="O293" s="94">
        <v>1.5</v>
      </c>
      <c r="P293" s="94">
        <v>0.8</v>
      </c>
      <c r="Q293" s="94" t="s">
        <v>242</v>
      </c>
      <c r="R293" s="94">
        <v>1.2</v>
      </c>
      <c r="S293" s="94">
        <v>4</v>
      </c>
      <c r="T293" s="96" t="s">
        <v>242</v>
      </c>
      <c r="U293" s="91">
        <v>4.8</v>
      </c>
      <c r="V293" s="97"/>
      <c r="W293" s="98" t="s">
        <v>270</v>
      </c>
      <c r="X293" s="99" t="s">
        <v>259</v>
      </c>
    </row>
    <row r="294" spans="1:24" ht="15" customHeight="1" x14ac:dyDescent="0.2">
      <c r="A294" s="89" t="s">
        <v>241</v>
      </c>
      <c r="B294" s="90" t="s">
        <v>242</v>
      </c>
      <c r="C294" s="90" t="s">
        <v>242</v>
      </c>
      <c r="D294" s="90" t="s">
        <v>242</v>
      </c>
      <c r="E294" s="91" t="s">
        <v>242</v>
      </c>
      <c r="F294" s="91" t="s">
        <v>242</v>
      </c>
      <c r="G294" s="91" t="s">
        <v>242</v>
      </c>
      <c r="H294" s="92" t="s">
        <v>243</v>
      </c>
      <c r="I294" s="92" t="s">
        <v>244</v>
      </c>
      <c r="J294" s="92" t="s">
        <v>257</v>
      </c>
      <c r="K294" s="92" t="s">
        <v>308</v>
      </c>
      <c r="L294" s="92" t="s">
        <v>308</v>
      </c>
      <c r="M294" s="93" t="s">
        <v>242</v>
      </c>
      <c r="N294" s="94" t="s">
        <v>242</v>
      </c>
      <c r="O294" s="94" t="s">
        <v>242</v>
      </c>
      <c r="P294" s="94" t="s">
        <v>242</v>
      </c>
      <c r="Q294" s="94" t="s">
        <v>242</v>
      </c>
      <c r="R294" s="94" t="s">
        <v>242</v>
      </c>
      <c r="S294" s="94" t="s">
        <v>242</v>
      </c>
      <c r="T294" s="96" t="s">
        <v>242</v>
      </c>
      <c r="U294" s="91" t="s">
        <v>242</v>
      </c>
      <c r="V294" s="97">
        <v>20</v>
      </c>
      <c r="W294" s="98" t="s">
        <v>74</v>
      </c>
      <c r="X294" s="99" t="s">
        <v>259</v>
      </c>
    </row>
    <row r="295" spans="1:24" ht="15" customHeight="1" x14ac:dyDescent="0.2">
      <c r="A295" s="89" t="s">
        <v>241</v>
      </c>
      <c r="B295" s="90" t="s">
        <v>307</v>
      </c>
      <c r="C295" s="90" t="s">
        <v>249</v>
      </c>
      <c r="D295" s="90" t="s">
        <v>242</v>
      </c>
      <c r="E295" s="91" t="s">
        <v>242</v>
      </c>
      <c r="F295" s="91" t="s">
        <v>242</v>
      </c>
      <c r="G295" s="91" t="s">
        <v>251</v>
      </c>
      <c r="H295" s="92" t="s">
        <v>243</v>
      </c>
      <c r="I295" s="92" t="s">
        <v>244</v>
      </c>
      <c r="J295" s="92" t="s">
        <v>257</v>
      </c>
      <c r="K295" s="92" t="s">
        <v>308</v>
      </c>
      <c r="L295" s="92" t="s">
        <v>308</v>
      </c>
      <c r="M295" s="93" t="s">
        <v>242</v>
      </c>
      <c r="N295" s="94">
        <v>20</v>
      </c>
      <c r="O295" s="94" t="s">
        <v>242</v>
      </c>
      <c r="P295" s="94" t="s">
        <v>242</v>
      </c>
      <c r="Q295" s="94" t="s">
        <v>242</v>
      </c>
      <c r="R295" s="94">
        <v>20</v>
      </c>
      <c r="S295" s="94">
        <v>1</v>
      </c>
      <c r="T295" s="96" t="s">
        <v>242</v>
      </c>
      <c r="U295" s="91">
        <v>20</v>
      </c>
      <c r="V295" s="97"/>
      <c r="W295" s="98" t="s">
        <v>74</v>
      </c>
      <c r="X295" s="99" t="s">
        <v>259</v>
      </c>
    </row>
    <row r="296" spans="1:24" ht="15" customHeight="1" x14ac:dyDescent="0.2">
      <c r="A296" s="89" t="s">
        <v>241</v>
      </c>
      <c r="B296" s="90" t="s">
        <v>242</v>
      </c>
      <c r="C296" s="90" t="s">
        <v>242</v>
      </c>
      <c r="D296" s="90" t="s">
        <v>242</v>
      </c>
      <c r="E296" s="91" t="s">
        <v>242</v>
      </c>
      <c r="F296" s="91" t="s">
        <v>242</v>
      </c>
      <c r="G296" s="91" t="s">
        <v>242</v>
      </c>
      <c r="H296" s="92" t="s">
        <v>243</v>
      </c>
      <c r="I296" s="92" t="s">
        <v>244</v>
      </c>
      <c r="J296" s="92" t="s">
        <v>257</v>
      </c>
      <c r="K296" s="92" t="s">
        <v>271</v>
      </c>
      <c r="L296" s="92" t="s">
        <v>271</v>
      </c>
      <c r="M296" s="93" t="s">
        <v>242</v>
      </c>
      <c r="N296" s="94" t="s">
        <v>242</v>
      </c>
      <c r="O296" s="94" t="s">
        <v>242</v>
      </c>
      <c r="P296" s="94" t="s">
        <v>242</v>
      </c>
      <c r="Q296" s="94" t="s">
        <v>242</v>
      </c>
      <c r="R296" s="94" t="s">
        <v>242</v>
      </c>
      <c r="S296" s="94" t="s">
        <v>242</v>
      </c>
      <c r="T296" s="96" t="s">
        <v>242</v>
      </c>
      <c r="U296" s="91" t="s">
        <v>242</v>
      </c>
      <c r="V296" s="97">
        <v>308</v>
      </c>
      <c r="W296" s="98" t="s">
        <v>179</v>
      </c>
      <c r="X296" s="99" t="s">
        <v>259</v>
      </c>
    </row>
    <row r="297" spans="1:24" ht="15" customHeight="1" x14ac:dyDescent="0.2">
      <c r="A297" s="89" t="s">
        <v>241</v>
      </c>
      <c r="B297" s="90" t="s">
        <v>307</v>
      </c>
      <c r="C297" s="90" t="s">
        <v>249</v>
      </c>
      <c r="D297" s="90" t="s">
        <v>254</v>
      </c>
      <c r="E297" s="91" t="s">
        <v>45</v>
      </c>
      <c r="F297" s="91" t="s">
        <v>47</v>
      </c>
      <c r="G297" s="91" t="s">
        <v>251</v>
      </c>
      <c r="H297" s="92" t="s">
        <v>243</v>
      </c>
      <c r="I297" s="92" t="s">
        <v>244</v>
      </c>
      <c r="J297" s="92" t="s">
        <v>257</v>
      </c>
      <c r="K297" s="92" t="s">
        <v>271</v>
      </c>
      <c r="L297" s="92" t="s">
        <v>271</v>
      </c>
      <c r="M297" s="58" t="s">
        <v>51</v>
      </c>
      <c r="N297" s="94">
        <v>1</v>
      </c>
      <c r="O297" s="94" t="s">
        <v>309</v>
      </c>
      <c r="P297" s="94" t="s">
        <v>242</v>
      </c>
      <c r="Q297" s="94" t="s">
        <v>242</v>
      </c>
      <c r="R297" s="94">
        <v>121</v>
      </c>
      <c r="S297" s="94">
        <v>1</v>
      </c>
      <c r="T297" s="96" t="s">
        <v>242</v>
      </c>
      <c r="U297" s="91">
        <v>121</v>
      </c>
      <c r="V297" s="97"/>
      <c r="W297" s="98" t="s">
        <v>179</v>
      </c>
      <c r="X297" s="99" t="s">
        <v>259</v>
      </c>
    </row>
    <row r="298" spans="1:24" ht="15" customHeight="1" x14ac:dyDescent="0.2">
      <c r="A298" s="89" t="s">
        <v>241</v>
      </c>
      <c r="B298" s="90" t="s">
        <v>307</v>
      </c>
      <c r="C298" s="90" t="s">
        <v>249</v>
      </c>
      <c r="D298" s="90" t="s">
        <v>254</v>
      </c>
      <c r="E298" s="91" t="s">
        <v>45</v>
      </c>
      <c r="F298" s="91" t="s">
        <v>47</v>
      </c>
      <c r="G298" s="91" t="s">
        <v>251</v>
      </c>
      <c r="H298" s="92" t="s">
        <v>243</v>
      </c>
      <c r="I298" s="92" t="s">
        <v>244</v>
      </c>
      <c r="J298" s="92" t="s">
        <v>257</v>
      </c>
      <c r="K298" s="92" t="s">
        <v>271</v>
      </c>
      <c r="L298" s="92" t="s">
        <v>271</v>
      </c>
      <c r="M298" s="58" t="s">
        <v>49</v>
      </c>
      <c r="N298" s="94">
        <v>1</v>
      </c>
      <c r="O298" s="94">
        <v>8</v>
      </c>
      <c r="P298" s="94" t="s">
        <v>242</v>
      </c>
      <c r="Q298" s="94" t="s">
        <v>242</v>
      </c>
      <c r="R298" s="94">
        <v>8</v>
      </c>
      <c r="S298" s="94">
        <v>12</v>
      </c>
      <c r="T298" s="96" t="s">
        <v>242</v>
      </c>
      <c r="U298" s="91">
        <v>96</v>
      </c>
      <c r="V298" s="97"/>
      <c r="W298" s="98" t="s">
        <v>179</v>
      </c>
      <c r="X298" s="99" t="s">
        <v>259</v>
      </c>
    </row>
    <row r="299" spans="1:24" ht="15" customHeight="1" x14ac:dyDescent="0.2">
      <c r="A299" s="89" t="s">
        <v>241</v>
      </c>
      <c r="B299" s="90" t="s">
        <v>307</v>
      </c>
      <c r="C299" s="90" t="s">
        <v>249</v>
      </c>
      <c r="D299" s="90" t="s">
        <v>254</v>
      </c>
      <c r="E299" s="91" t="s">
        <v>45</v>
      </c>
      <c r="F299" s="91" t="s">
        <v>47</v>
      </c>
      <c r="G299" s="91" t="s">
        <v>251</v>
      </c>
      <c r="H299" s="92" t="s">
        <v>243</v>
      </c>
      <c r="I299" s="92" t="s">
        <v>244</v>
      </c>
      <c r="J299" s="92" t="s">
        <v>257</v>
      </c>
      <c r="K299" s="92" t="s">
        <v>271</v>
      </c>
      <c r="L299" s="92" t="s">
        <v>271</v>
      </c>
      <c r="M299" s="58" t="s">
        <v>52</v>
      </c>
      <c r="N299" s="94">
        <v>1</v>
      </c>
      <c r="O299" s="94" t="s">
        <v>310</v>
      </c>
      <c r="P299" s="94" t="s">
        <v>242</v>
      </c>
      <c r="Q299" s="94" t="s">
        <v>242</v>
      </c>
      <c r="R299" s="94">
        <v>61</v>
      </c>
      <c r="S299" s="94">
        <v>1</v>
      </c>
      <c r="T299" s="96" t="s">
        <v>242</v>
      </c>
      <c r="U299" s="91">
        <v>61</v>
      </c>
      <c r="V299" s="97"/>
      <c r="W299" s="98" t="s">
        <v>179</v>
      </c>
      <c r="X299" s="99" t="s">
        <v>259</v>
      </c>
    </row>
    <row r="300" spans="1:24" ht="15" customHeight="1" x14ac:dyDescent="0.2">
      <c r="A300" s="89" t="s">
        <v>241</v>
      </c>
      <c r="B300" s="90" t="s">
        <v>307</v>
      </c>
      <c r="C300" s="90" t="s">
        <v>249</v>
      </c>
      <c r="D300" s="90" t="s">
        <v>254</v>
      </c>
      <c r="E300" s="91" t="s">
        <v>45</v>
      </c>
      <c r="F300" s="91" t="s">
        <v>47</v>
      </c>
      <c r="G300" s="91" t="s">
        <v>251</v>
      </c>
      <c r="H300" s="92" t="s">
        <v>243</v>
      </c>
      <c r="I300" s="92" t="s">
        <v>244</v>
      </c>
      <c r="J300" s="92" t="s">
        <v>257</v>
      </c>
      <c r="K300" s="92" t="s">
        <v>271</v>
      </c>
      <c r="L300" s="92" t="s">
        <v>271</v>
      </c>
      <c r="M300" s="58" t="s">
        <v>50</v>
      </c>
      <c r="N300" s="94">
        <v>1</v>
      </c>
      <c r="O300" s="94" t="s">
        <v>291</v>
      </c>
      <c r="P300" s="94" t="s">
        <v>242</v>
      </c>
      <c r="Q300" s="94" t="s">
        <v>242</v>
      </c>
      <c r="R300" s="94">
        <v>30</v>
      </c>
      <c r="S300" s="94">
        <v>1</v>
      </c>
      <c r="T300" s="96" t="s">
        <v>242</v>
      </c>
      <c r="U300" s="91">
        <v>30</v>
      </c>
      <c r="V300" s="97"/>
      <c r="W300" s="98" t="s">
        <v>179</v>
      </c>
      <c r="X300" s="99" t="s">
        <v>259</v>
      </c>
    </row>
    <row r="301" spans="1:24" ht="15" customHeight="1" x14ac:dyDescent="0.2">
      <c r="A301" s="89" t="s">
        <v>241</v>
      </c>
      <c r="B301" s="90" t="s">
        <v>242</v>
      </c>
      <c r="C301" s="90" t="s">
        <v>242</v>
      </c>
      <c r="D301" s="90" t="s">
        <v>242</v>
      </c>
      <c r="E301" s="91" t="s">
        <v>242</v>
      </c>
      <c r="F301" s="91" t="s">
        <v>242</v>
      </c>
      <c r="G301" s="91" t="s">
        <v>242</v>
      </c>
      <c r="H301" s="92" t="s">
        <v>243</v>
      </c>
      <c r="I301" s="92" t="s">
        <v>244</v>
      </c>
      <c r="J301" s="92" t="s">
        <v>257</v>
      </c>
      <c r="K301" s="92" t="s">
        <v>276</v>
      </c>
      <c r="L301" s="92" t="s">
        <v>276</v>
      </c>
      <c r="M301" s="93" t="s">
        <v>242</v>
      </c>
      <c r="N301" s="94" t="s">
        <v>242</v>
      </c>
      <c r="O301" s="94" t="s">
        <v>242</v>
      </c>
      <c r="P301" s="94" t="s">
        <v>242</v>
      </c>
      <c r="Q301" s="94" t="s">
        <v>242</v>
      </c>
      <c r="R301" s="94" t="s">
        <v>242</v>
      </c>
      <c r="S301" s="94" t="s">
        <v>242</v>
      </c>
      <c r="T301" s="96" t="s">
        <v>242</v>
      </c>
      <c r="U301" s="91" t="s">
        <v>242</v>
      </c>
      <c r="V301" s="97">
        <v>1</v>
      </c>
      <c r="W301" s="98" t="s">
        <v>270</v>
      </c>
      <c r="X301" s="99" t="s">
        <v>259</v>
      </c>
    </row>
    <row r="302" spans="1:24" ht="15" customHeight="1" x14ac:dyDescent="0.2">
      <c r="A302" s="89" t="s">
        <v>241</v>
      </c>
      <c r="B302" s="90" t="s">
        <v>307</v>
      </c>
      <c r="C302" s="90" t="s">
        <v>249</v>
      </c>
      <c r="D302" s="90" t="s">
        <v>260</v>
      </c>
      <c r="E302" s="91" t="s">
        <v>223</v>
      </c>
      <c r="F302" s="91" t="s">
        <v>44</v>
      </c>
      <c r="G302" s="91" t="s">
        <v>251</v>
      </c>
      <c r="H302" s="92" t="s">
        <v>243</v>
      </c>
      <c r="I302" s="92" t="s">
        <v>244</v>
      </c>
      <c r="J302" s="92" t="s">
        <v>257</v>
      </c>
      <c r="K302" s="92" t="s">
        <v>276</v>
      </c>
      <c r="L302" s="92" t="s">
        <v>276</v>
      </c>
      <c r="M302" s="93" t="s">
        <v>242</v>
      </c>
      <c r="N302" s="94">
        <v>1</v>
      </c>
      <c r="O302" s="94">
        <v>5</v>
      </c>
      <c r="P302" s="94">
        <v>0.2</v>
      </c>
      <c r="Q302" s="94" t="s">
        <v>242</v>
      </c>
      <c r="R302" s="94">
        <v>1</v>
      </c>
      <c r="S302" s="94">
        <v>1</v>
      </c>
      <c r="T302" s="96" t="s">
        <v>242</v>
      </c>
      <c r="U302" s="91">
        <v>1</v>
      </c>
      <c r="V302" s="97"/>
      <c r="W302" s="98" t="s">
        <v>270</v>
      </c>
      <c r="X302" s="99" t="s">
        <v>259</v>
      </c>
    </row>
    <row r="303" spans="1:24" ht="15" customHeight="1" x14ac:dyDescent="0.25">
      <c r="A303" s="48"/>
      <c r="B303" s="49"/>
      <c r="C303" s="48"/>
      <c r="D303" s="48"/>
      <c r="E303" s="53"/>
      <c r="F303" s="46"/>
      <c r="G303" s="46"/>
      <c r="H303" s="46"/>
      <c r="I303" s="46"/>
      <c r="J303" s="46"/>
      <c r="K303" s="46"/>
      <c r="L303" s="46"/>
      <c r="M303" s="48"/>
      <c r="N303" s="48"/>
      <c r="O303" s="49"/>
      <c r="P303" s="48"/>
      <c r="Q303" s="48"/>
      <c r="R303" s="48"/>
      <c r="S303" s="46"/>
      <c r="T303" s="48"/>
      <c r="U303" s="48"/>
      <c r="V303" s="25"/>
      <c r="W303" s="25"/>
      <c r="X303" s="25"/>
    </row>
    <row r="304" spans="1:24" ht="15" customHeight="1" x14ac:dyDescent="0.25">
      <c r="A304" s="48"/>
      <c r="B304" s="49"/>
      <c r="C304" s="48"/>
      <c r="D304" s="48"/>
      <c r="E304" s="53"/>
      <c r="F304" s="46"/>
      <c r="G304" s="46"/>
      <c r="H304" s="46"/>
      <c r="I304" s="46"/>
      <c r="J304" s="46"/>
      <c r="K304" s="46"/>
      <c r="L304" s="46"/>
      <c r="M304" s="48"/>
      <c r="N304" s="48"/>
      <c r="O304" s="49"/>
      <c r="P304" s="48"/>
      <c r="Q304" s="48"/>
      <c r="R304" s="48"/>
      <c r="S304" s="46"/>
      <c r="T304" s="48"/>
      <c r="U304" s="48"/>
      <c r="V304" s="25"/>
      <c r="W304" s="25"/>
      <c r="X304" s="25"/>
    </row>
    <row r="305" spans="1:24" ht="15" customHeight="1" x14ac:dyDescent="0.2">
      <c r="A305" s="54" t="s">
        <v>241</v>
      </c>
      <c r="B305" s="55" t="s">
        <v>242</v>
      </c>
      <c r="C305" s="55" t="s">
        <v>242</v>
      </c>
      <c r="D305" s="55" t="s">
        <v>242</v>
      </c>
      <c r="E305" s="56" t="s">
        <v>242</v>
      </c>
      <c r="F305" s="56" t="s">
        <v>242</v>
      </c>
      <c r="G305" s="56" t="s">
        <v>242</v>
      </c>
      <c r="H305" s="57" t="s">
        <v>243</v>
      </c>
      <c r="I305" s="57" t="s">
        <v>244</v>
      </c>
      <c r="J305" s="57" t="s">
        <v>245</v>
      </c>
      <c r="K305" s="57" t="s">
        <v>253</v>
      </c>
      <c r="L305" s="57" t="s">
        <v>253</v>
      </c>
      <c r="M305" s="58" t="s">
        <v>242</v>
      </c>
      <c r="N305" s="59" t="s">
        <v>242</v>
      </c>
      <c r="O305" s="59" t="s">
        <v>242</v>
      </c>
      <c r="P305" s="59" t="s">
        <v>242</v>
      </c>
      <c r="Q305" s="59" t="s">
        <v>242</v>
      </c>
      <c r="R305" s="59" t="s">
        <v>242</v>
      </c>
      <c r="S305" s="60" t="s">
        <v>242</v>
      </c>
      <c r="T305" s="61" t="s">
        <v>242</v>
      </c>
      <c r="U305" s="56" t="s">
        <v>242</v>
      </c>
      <c r="V305" s="62">
        <v>3</v>
      </c>
      <c r="W305" s="63" t="s">
        <v>179</v>
      </c>
      <c r="X305" s="64" t="s">
        <v>247</v>
      </c>
    </row>
    <row r="306" spans="1:24" ht="15" customHeight="1" x14ac:dyDescent="0.2">
      <c r="A306" s="54" t="s">
        <v>241</v>
      </c>
      <c r="B306" s="55" t="s">
        <v>311</v>
      </c>
      <c r="C306" s="55" t="s">
        <v>249</v>
      </c>
      <c r="D306" s="55" t="s">
        <v>254</v>
      </c>
      <c r="E306" s="56" t="s">
        <v>43</v>
      </c>
      <c r="F306" s="56" t="s">
        <v>42</v>
      </c>
      <c r="G306" s="56" t="s">
        <v>251</v>
      </c>
      <c r="H306" s="57" t="s">
        <v>243</v>
      </c>
      <c r="I306" s="57" t="s">
        <v>244</v>
      </c>
      <c r="J306" s="57" t="s">
        <v>245</v>
      </c>
      <c r="K306" s="57" t="s">
        <v>253</v>
      </c>
      <c r="L306" s="57" t="s">
        <v>253</v>
      </c>
      <c r="M306" s="58" t="s">
        <v>242</v>
      </c>
      <c r="N306" s="59">
        <v>1</v>
      </c>
      <c r="O306" s="59" t="s">
        <v>312</v>
      </c>
      <c r="P306" s="59" t="s">
        <v>242</v>
      </c>
      <c r="Q306" s="59" t="s">
        <v>242</v>
      </c>
      <c r="R306" s="59">
        <v>3</v>
      </c>
      <c r="S306" s="59">
        <v>1</v>
      </c>
      <c r="T306" s="61" t="s">
        <v>242</v>
      </c>
      <c r="U306" s="56">
        <v>3</v>
      </c>
      <c r="V306" s="62"/>
      <c r="W306" s="63" t="s">
        <v>179</v>
      </c>
      <c r="X306" s="64" t="s">
        <v>247</v>
      </c>
    </row>
    <row r="307" spans="1:24" ht="15" customHeight="1" x14ac:dyDescent="0.2">
      <c r="A307" s="54" t="s">
        <v>241</v>
      </c>
      <c r="B307" s="55" t="s">
        <v>242</v>
      </c>
      <c r="C307" s="55" t="s">
        <v>242</v>
      </c>
      <c r="D307" s="55" t="s">
        <v>242</v>
      </c>
      <c r="E307" s="56" t="s">
        <v>242</v>
      </c>
      <c r="F307" s="56" t="s">
        <v>242</v>
      </c>
      <c r="G307" s="56" t="s">
        <v>242</v>
      </c>
      <c r="H307" s="57" t="s">
        <v>243</v>
      </c>
      <c r="I307" s="57" t="s">
        <v>244</v>
      </c>
      <c r="J307" s="57" t="s">
        <v>257</v>
      </c>
      <c r="K307" s="57" t="s">
        <v>261</v>
      </c>
      <c r="L307" s="57" t="s">
        <v>261</v>
      </c>
      <c r="M307" s="58" t="s">
        <v>242</v>
      </c>
      <c r="N307" s="59" t="s">
        <v>242</v>
      </c>
      <c r="O307" s="59" t="s">
        <v>242</v>
      </c>
      <c r="P307" s="59" t="s">
        <v>242</v>
      </c>
      <c r="Q307" s="59" t="s">
        <v>242</v>
      </c>
      <c r="R307" s="59" t="s">
        <v>242</v>
      </c>
      <c r="S307" s="59" t="s">
        <v>242</v>
      </c>
      <c r="T307" s="61" t="s">
        <v>242</v>
      </c>
      <c r="U307" s="56" t="s">
        <v>242</v>
      </c>
      <c r="V307" s="62">
        <v>200</v>
      </c>
      <c r="W307" s="63" t="s">
        <v>262</v>
      </c>
      <c r="X307" s="64" t="s">
        <v>259</v>
      </c>
    </row>
    <row r="308" spans="1:24" ht="15" customHeight="1" x14ac:dyDescent="0.2">
      <c r="A308" s="54" t="s">
        <v>241</v>
      </c>
      <c r="B308" s="55" t="s">
        <v>311</v>
      </c>
      <c r="C308" s="55" t="s">
        <v>249</v>
      </c>
      <c r="D308" s="55" t="s">
        <v>242</v>
      </c>
      <c r="E308" s="56" t="s">
        <v>242</v>
      </c>
      <c r="F308" s="56" t="s">
        <v>242</v>
      </c>
      <c r="G308" s="56" t="s">
        <v>251</v>
      </c>
      <c r="H308" s="57" t="s">
        <v>243</v>
      </c>
      <c r="I308" s="57" t="s">
        <v>244</v>
      </c>
      <c r="J308" s="57" t="s">
        <v>257</v>
      </c>
      <c r="K308" s="57" t="s">
        <v>261</v>
      </c>
      <c r="L308" s="57" t="s">
        <v>261</v>
      </c>
      <c r="M308" s="58" t="s">
        <v>242</v>
      </c>
      <c r="N308" s="59">
        <v>200</v>
      </c>
      <c r="O308" s="59" t="s">
        <v>242</v>
      </c>
      <c r="P308" s="59" t="s">
        <v>242</v>
      </c>
      <c r="Q308" s="59" t="s">
        <v>242</v>
      </c>
      <c r="R308" s="59">
        <v>200</v>
      </c>
      <c r="S308" s="59">
        <v>1</v>
      </c>
      <c r="T308" s="61" t="s">
        <v>242</v>
      </c>
      <c r="U308" s="56">
        <v>200</v>
      </c>
      <c r="V308" s="62"/>
      <c r="W308" s="63" t="s">
        <v>262</v>
      </c>
      <c r="X308" s="64" t="s">
        <v>259</v>
      </c>
    </row>
    <row r="309" spans="1:24" ht="15" customHeight="1" x14ac:dyDescent="0.2">
      <c r="A309" s="54" t="s">
        <v>241</v>
      </c>
      <c r="B309" s="55" t="s">
        <v>242</v>
      </c>
      <c r="C309" s="55" t="s">
        <v>242</v>
      </c>
      <c r="D309" s="55" t="s">
        <v>242</v>
      </c>
      <c r="E309" s="56" t="s">
        <v>242</v>
      </c>
      <c r="F309" s="56" t="s">
        <v>242</v>
      </c>
      <c r="G309" s="56" t="s">
        <v>242</v>
      </c>
      <c r="H309" s="57" t="s">
        <v>243</v>
      </c>
      <c r="I309" s="57" t="s">
        <v>244</v>
      </c>
      <c r="J309" s="57" t="s">
        <v>257</v>
      </c>
      <c r="K309" s="57" t="s">
        <v>264</v>
      </c>
      <c r="L309" s="57" t="s">
        <v>264</v>
      </c>
      <c r="M309" s="58" t="s">
        <v>242</v>
      </c>
      <c r="N309" s="59" t="s">
        <v>242</v>
      </c>
      <c r="O309" s="59" t="s">
        <v>242</v>
      </c>
      <c r="P309" s="59" t="s">
        <v>242</v>
      </c>
      <c r="Q309" s="59" t="s">
        <v>242</v>
      </c>
      <c r="R309" s="59" t="s">
        <v>242</v>
      </c>
      <c r="S309" s="59" t="s">
        <v>242</v>
      </c>
      <c r="T309" s="61" t="s">
        <v>242</v>
      </c>
      <c r="U309" s="56" t="s">
        <v>242</v>
      </c>
      <c r="V309" s="62">
        <v>83.95</v>
      </c>
      <c r="W309" s="63" t="s">
        <v>99</v>
      </c>
      <c r="X309" s="64" t="s">
        <v>259</v>
      </c>
    </row>
    <row r="310" spans="1:24" ht="15" customHeight="1" x14ac:dyDescent="0.2">
      <c r="A310" s="54" t="s">
        <v>241</v>
      </c>
      <c r="B310" s="55" t="s">
        <v>311</v>
      </c>
      <c r="C310" s="55" t="s">
        <v>249</v>
      </c>
      <c r="D310" s="55" t="s">
        <v>242</v>
      </c>
      <c r="E310" s="56" t="s">
        <v>242</v>
      </c>
      <c r="F310" s="56" t="s">
        <v>242</v>
      </c>
      <c r="G310" s="56" t="s">
        <v>251</v>
      </c>
      <c r="H310" s="57" t="s">
        <v>243</v>
      </c>
      <c r="I310" s="57" t="s">
        <v>244</v>
      </c>
      <c r="J310" s="57" t="s">
        <v>257</v>
      </c>
      <c r="K310" s="57" t="s">
        <v>264</v>
      </c>
      <c r="L310" s="57" t="s">
        <v>264</v>
      </c>
      <c r="M310" s="58" t="s">
        <v>242</v>
      </c>
      <c r="N310" s="59" t="s">
        <v>313</v>
      </c>
      <c r="O310" s="59" t="s">
        <v>242</v>
      </c>
      <c r="P310" s="59" t="s">
        <v>242</v>
      </c>
      <c r="Q310" s="59" t="s">
        <v>242</v>
      </c>
      <c r="R310" s="59">
        <v>83.95</v>
      </c>
      <c r="S310" s="59">
        <v>1</v>
      </c>
      <c r="T310" s="61" t="s">
        <v>242</v>
      </c>
      <c r="U310" s="56">
        <v>83.95</v>
      </c>
      <c r="V310" s="62"/>
      <c r="W310" s="63" t="s">
        <v>99</v>
      </c>
      <c r="X310" s="64" t="s">
        <v>259</v>
      </c>
    </row>
    <row r="311" spans="1:24" ht="15" customHeight="1" x14ac:dyDescent="0.2">
      <c r="A311" s="54" t="s">
        <v>241</v>
      </c>
      <c r="B311" s="55" t="s">
        <v>242</v>
      </c>
      <c r="C311" s="55" t="s">
        <v>242</v>
      </c>
      <c r="D311" s="55" t="s">
        <v>242</v>
      </c>
      <c r="E311" s="56" t="s">
        <v>242</v>
      </c>
      <c r="F311" s="56" t="s">
        <v>242</v>
      </c>
      <c r="G311" s="56" t="s">
        <v>242</v>
      </c>
      <c r="H311" s="57" t="s">
        <v>243</v>
      </c>
      <c r="I311" s="57" t="s">
        <v>244</v>
      </c>
      <c r="J311" s="57" t="s">
        <v>257</v>
      </c>
      <c r="K311" s="57" t="s">
        <v>268</v>
      </c>
      <c r="L311" s="57" t="s">
        <v>268</v>
      </c>
      <c r="M311" s="58" t="s">
        <v>242</v>
      </c>
      <c r="N311" s="59" t="s">
        <v>242</v>
      </c>
      <c r="O311" s="59" t="s">
        <v>242</v>
      </c>
      <c r="P311" s="59" t="s">
        <v>242</v>
      </c>
      <c r="Q311" s="59" t="s">
        <v>242</v>
      </c>
      <c r="R311" s="59" t="s">
        <v>242</v>
      </c>
      <c r="S311" s="59" t="s">
        <v>242</v>
      </c>
      <c r="T311" s="61" t="s">
        <v>242</v>
      </c>
      <c r="U311" s="56" t="s">
        <v>242</v>
      </c>
      <c r="V311" s="62">
        <v>165</v>
      </c>
      <c r="W311" s="63" t="s">
        <v>74</v>
      </c>
      <c r="X311" s="64" t="s">
        <v>259</v>
      </c>
    </row>
    <row r="312" spans="1:24" ht="15" customHeight="1" x14ac:dyDescent="0.2">
      <c r="A312" s="54" t="s">
        <v>241</v>
      </c>
      <c r="B312" s="55" t="s">
        <v>311</v>
      </c>
      <c r="C312" s="55" t="s">
        <v>249</v>
      </c>
      <c r="D312" s="55" t="s">
        <v>242</v>
      </c>
      <c r="E312" s="56" t="s">
        <v>242</v>
      </c>
      <c r="F312" s="56" t="s">
        <v>242</v>
      </c>
      <c r="G312" s="56" t="s">
        <v>251</v>
      </c>
      <c r="H312" s="57" t="s">
        <v>243</v>
      </c>
      <c r="I312" s="57" t="s">
        <v>244</v>
      </c>
      <c r="J312" s="57" t="s">
        <v>257</v>
      </c>
      <c r="K312" s="57" t="s">
        <v>268</v>
      </c>
      <c r="L312" s="57" t="s">
        <v>268</v>
      </c>
      <c r="M312" s="58" t="s">
        <v>242</v>
      </c>
      <c r="N312" s="59">
        <v>165</v>
      </c>
      <c r="O312" s="59" t="s">
        <v>242</v>
      </c>
      <c r="P312" s="59" t="s">
        <v>242</v>
      </c>
      <c r="Q312" s="59" t="s">
        <v>242</v>
      </c>
      <c r="R312" s="59">
        <v>165</v>
      </c>
      <c r="S312" s="59" t="s">
        <v>242</v>
      </c>
      <c r="T312" s="61" t="s">
        <v>242</v>
      </c>
      <c r="U312" s="56">
        <v>165</v>
      </c>
      <c r="V312" s="62"/>
      <c r="W312" s="63" t="s">
        <v>74</v>
      </c>
      <c r="X312" s="64" t="s">
        <v>259</v>
      </c>
    </row>
    <row r="313" spans="1:24" ht="15" customHeight="1" x14ac:dyDescent="0.2">
      <c r="A313" s="54" t="s">
        <v>241</v>
      </c>
      <c r="B313" s="55" t="s">
        <v>242</v>
      </c>
      <c r="C313" s="55" t="s">
        <v>242</v>
      </c>
      <c r="D313" s="55" t="s">
        <v>242</v>
      </c>
      <c r="E313" s="56" t="s">
        <v>242</v>
      </c>
      <c r="F313" s="56" t="s">
        <v>242</v>
      </c>
      <c r="G313" s="56" t="s">
        <v>242</v>
      </c>
      <c r="H313" s="57" t="s">
        <v>243</v>
      </c>
      <c r="I313" s="57" t="s">
        <v>244</v>
      </c>
      <c r="J313" s="57" t="s">
        <v>257</v>
      </c>
      <c r="K313" s="57" t="s">
        <v>269</v>
      </c>
      <c r="L313" s="57" t="s">
        <v>269</v>
      </c>
      <c r="M313" s="58" t="s">
        <v>242</v>
      </c>
      <c r="N313" s="59" t="s">
        <v>242</v>
      </c>
      <c r="O313" s="59" t="s">
        <v>242</v>
      </c>
      <c r="P313" s="59" t="s">
        <v>242</v>
      </c>
      <c r="Q313" s="59" t="s">
        <v>242</v>
      </c>
      <c r="R313" s="59" t="s">
        <v>242</v>
      </c>
      <c r="S313" s="59" t="s">
        <v>242</v>
      </c>
      <c r="T313" s="61" t="s">
        <v>242</v>
      </c>
      <c r="U313" s="56" t="s">
        <v>242</v>
      </c>
      <c r="V313" s="62">
        <v>2.4</v>
      </c>
      <c r="W313" s="63" t="s">
        <v>270</v>
      </c>
      <c r="X313" s="64" t="s">
        <v>259</v>
      </c>
    </row>
    <row r="314" spans="1:24" ht="15" customHeight="1" x14ac:dyDescent="0.2">
      <c r="A314" s="54" t="s">
        <v>241</v>
      </c>
      <c r="B314" s="55" t="s">
        <v>311</v>
      </c>
      <c r="C314" s="55" t="s">
        <v>249</v>
      </c>
      <c r="D314" s="55" t="s">
        <v>254</v>
      </c>
      <c r="E314" s="56" t="s">
        <v>45</v>
      </c>
      <c r="F314" s="56" t="s">
        <v>47</v>
      </c>
      <c r="G314" s="56" t="s">
        <v>251</v>
      </c>
      <c r="H314" s="57" t="s">
        <v>243</v>
      </c>
      <c r="I314" s="57" t="s">
        <v>244</v>
      </c>
      <c r="J314" s="57" t="s">
        <v>257</v>
      </c>
      <c r="K314" s="57" t="s">
        <v>269</v>
      </c>
      <c r="L314" s="57" t="s">
        <v>269</v>
      </c>
      <c r="M314" s="58" t="s">
        <v>242</v>
      </c>
      <c r="N314" s="59">
        <v>1</v>
      </c>
      <c r="O314" s="59" t="s">
        <v>314</v>
      </c>
      <c r="P314" s="59" t="s">
        <v>281</v>
      </c>
      <c r="Q314" s="59" t="s">
        <v>242</v>
      </c>
      <c r="R314" s="59">
        <v>1.2</v>
      </c>
      <c r="S314" s="59" t="s">
        <v>315</v>
      </c>
      <c r="T314" s="61" t="s">
        <v>242</v>
      </c>
      <c r="U314" s="56">
        <v>2.4</v>
      </c>
      <c r="V314" s="62"/>
      <c r="W314" s="63" t="s">
        <v>270</v>
      </c>
      <c r="X314" s="64" t="s">
        <v>259</v>
      </c>
    </row>
    <row r="315" spans="1:24" ht="15" customHeight="1" x14ac:dyDescent="0.2">
      <c r="A315" s="54" t="s">
        <v>241</v>
      </c>
      <c r="B315" s="55" t="s">
        <v>242</v>
      </c>
      <c r="C315" s="55" t="s">
        <v>242</v>
      </c>
      <c r="D315" s="55" t="s">
        <v>242</v>
      </c>
      <c r="E315" s="56" t="s">
        <v>242</v>
      </c>
      <c r="F315" s="56" t="s">
        <v>242</v>
      </c>
      <c r="G315" s="56" t="s">
        <v>242</v>
      </c>
      <c r="H315" s="57" t="s">
        <v>243</v>
      </c>
      <c r="I315" s="57" t="s">
        <v>244</v>
      </c>
      <c r="J315" s="57" t="s">
        <v>257</v>
      </c>
      <c r="K315" s="57" t="s">
        <v>271</v>
      </c>
      <c r="L315" s="57" t="s">
        <v>271</v>
      </c>
      <c r="M315" s="58" t="s">
        <v>242</v>
      </c>
      <c r="N315" s="59" t="s">
        <v>242</v>
      </c>
      <c r="O315" s="59" t="s">
        <v>242</v>
      </c>
      <c r="P315" s="59" t="s">
        <v>242</v>
      </c>
      <c r="Q315" s="59" t="s">
        <v>242</v>
      </c>
      <c r="R315" s="59" t="s">
        <v>242</v>
      </c>
      <c r="S315" s="59" t="s">
        <v>242</v>
      </c>
      <c r="T315" s="61" t="s">
        <v>242</v>
      </c>
      <c r="U315" s="56" t="s">
        <v>242</v>
      </c>
      <c r="V315" s="62">
        <v>310</v>
      </c>
      <c r="W315" s="63" t="s">
        <v>179</v>
      </c>
      <c r="X315" s="64" t="s">
        <v>259</v>
      </c>
    </row>
    <row r="316" spans="1:24" ht="15" customHeight="1" x14ac:dyDescent="0.2">
      <c r="A316" s="54" t="s">
        <v>241</v>
      </c>
      <c r="B316" s="55" t="s">
        <v>311</v>
      </c>
      <c r="C316" s="55" t="s">
        <v>249</v>
      </c>
      <c r="D316" s="55" t="s">
        <v>254</v>
      </c>
      <c r="E316" s="56" t="s">
        <v>45</v>
      </c>
      <c r="F316" s="56" t="s">
        <v>47</v>
      </c>
      <c r="G316" s="56" t="s">
        <v>251</v>
      </c>
      <c r="H316" s="57" t="s">
        <v>243</v>
      </c>
      <c r="I316" s="57" t="s">
        <v>244</v>
      </c>
      <c r="J316" s="57" t="s">
        <v>257</v>
      </c>
      <c r="K316" s="57" t="s">
        <v>271</v>
      </c>
      <c r="L316" s="57" t="s">
        <v>271</v>
      </c>
      <c r="M316" s="58" t="s">
        <v>51</v>
      </c>
      <c r="N316" s="59">
        <v>1</v>
      </c>
      <c r="O316" s="59" t="s">
        <v>316</v>
      </c>
      <c r="P316" s="59" t="s">
        <v>242</v>
      </c>
      <c r="Q316" s="59" t="s">
        <v>242</v>
      </c>
      <c r="R316" s="59">
        <v>136</v>
      </c>
      <c r="S316" s="59">
        <v>1</v>
      </c>
      <c r="T316" s="61" t="s">
        <v>242</v>
      </c>
      <c r="U316" s="56">
        <v>136</v>
      </c>
      <c r="V316" s="62"/>
      <c r="W316" s="63" t="s">
        <v>179</v>
      </c>
      <c r="X316" s="64" t="s">
        <v>259</v>
      </c>
    </row>
    <row r="317" spans="1:24" ht="15" customHeight="1" x14ac:dyDescent="0.2">
      <c r="A317" s="54" t="s">
        <v>241</v>
      </c>
      <c r="B317" s="55" t="s">
        <v>311</v>
      </c>
      <c r="C317" s="55" t="s">
        <v>249</v>
      </c>
      <c r="D317" s="55" t="s">
        <v>254</v>
      </c>
      <c r="E317" s="56" t="s">
        <v>45</v>
      </c>
      <c r="F317" s="56" t="s">
        <v>47</v>
      </c>
      <c r="G317" s="56" t="s">
        <v>251</v>
      </c>
      <c r="H317" s="57" t="s">
        <v>243</v>
      </c>
      <c r="I317" s="57" t="s">
        <v>244</v>
      </c>
      <c r="J317" s="57" t="s">
        <v>257</v>
      </c>
      <c r="K317" s="57" t="s">
        <v>271</v>
      </c>
      <c r="L317" s="57" t="s">
        <v>271</v>
      </c>
      <c r="M317" s="58" t="s">
        <v>49</v>
      </c>
      <c r="N317" s="59">
        <v>1</v>
      </c>
      <c r="O317" s="59" t="s">
        <v>317</v>
      </c>
      <c r="P317" s="59" t="s">
        <v>242</v>
      </c>
      <c r="Q317" s="59" t="s">
        <v>242</v>
      </c>
      <c r="R317" s="59">
        <v>7</v>
      </c>
      <c r="S317" s="59">
        <v>12</v>
      </c>
      <c r="T317" s="61" t="s">
        <v>242</v>
      </c>
      <c r="U317" s="56">
        <v>84</v>
      </c>
      <c r="V317" s="62"/>
      <c r="W317" s="63" t="s">
        <v>179</v>
      </c>
      <c r="X317" s="64" t="s">
        <v>259</v>
      </c>
    </row>
    <row r="318" spans="1:24" ht="15" customHeight="1" x14ac:dyDescent="0.2">
      <c r="A318" s="54" t="s">
        <v>241</v>
      </c>
      <c r="B318" s="55" t="s">
        <v>311</v>
      </c>
      <c r="C318" s="55" t="s">
        <v>249</v>
      </c>
      <c r="D318" s="55" t="s">
        <v>254</v>
      </c>
      <c r="E318" s="56" t="s">
        <v>45</v>
      </c>
      <c r="F318" s="56" t="s">
        <v>47</v>
      </c>
      <c r="G318" s="56" t="s">
        <v>251</v>
      </c>
      <c r="H318" s="57" t="s">
        <v>243</v>
      </c>
      <c r="I318" s="57" t="s">
        <v>244</v>
      </c>
      <c r="J318" s="57" t="s">
        <v>257</v>
      </c>
      <c r="K318" s="57" t="s">
        <v>271</v>
      </c>
      <c r="L318" s="57" t="s">
        <v>271</v>
      </c>
      <c r="M318" s="58" t="s">
        <v>52</v>
      </c>
      <c r="N318" s="59">
        <v>1</v>
      </c>
      <c r="O318" s="59" t="s">
        <v>318</v>
      </c>
      <c r="P318" s="59" t="s">
        <v>242</v>
      </c>
      <c r="Q318" s="59" t="s">
        <v>242</v>
      </c>
      <c r="R318" s="59">
        <v>60</v>
      </c>
      <c r="S318" s="59">
        <v>1</v>
      </c>
      <c r="T318" s="61" t="s">
        <v>242</v>
      </c>
      <c r="U318" s="56">
        <v>60</v>
      </c>
      <c r="V318" s="62"/>
      <c r="W318" s="63" t="s">
        <v>179</v>
      </c>
      <c r="X318" s="64" t="s">
        <v>259</v>
      </c>
    </row>
    <row r="319" spans="1:24" ht="15" customHeight="1" x14ac:dyDescent="0.2">
      <c r="A319" s="54" t="s">
        <v>241</v>
      </c>
      <c r="B319" s="55" t="s">
        <v>311</v>
      </c>
      <c r="C319" s="55" t="s">
        <v>249</v>
      </c>
      <c r="D319" s="55" t="s">
        <v>254</v>
      </c>
      <c r="E319" s="56" t="s">
        <v>45</v>
      </c>
      <c r="F319" s="56" t="s">
        <v>47</v>
      </c>
      <c r="G319" s="56" t="s">
        <v>251</v>
      </c>
      <c r="H319" s="57" t="s">
        <v>243</v>
      </c>
      <c r="I319" s="57" t="s">
        <v>244</v>
      </c>
      <c r="J319" s="57" t="s">
        <v>257</v>
      </c>
      <c r="K319" s="57" t="s">
        <v>271</v>
      </c>
      <c r="L319" s="57" t="s">
        <v>271</v>
      </c>
      <c r="M319" s="58" t="s">
        <v>50</v>
      </c>
      <c r="N319" s="59">
        <v>1</v>
      </c>
      <c r="O319" s="59" t="s">
        <v>291</v>
      </c>
      <c r="P319" s="59" t="s">
        <v>242</v>
      </c>
      <c r="Q319" s="59" t="s">
        <v>242</v>
      </c>
      <c r="R319" s="59">
        <v>30</v>
      </c>
      <c r="S319" s="59">
        <v>1</v>
      </c>
      <c r="T319" s="61" t="s">
        <v>242</v>
      </c>
      <c r="U319" s="56">
        <v>30</v>
      </c>
      <c r="V319" s="62"/>
      <c r="W319" s="63" t="s">
        <v>179</v>
      </c>
      <c r="X319" s="64" t="s">
        <v>259</v>
      </c>
    </row>
    <row r="320" spans="1:24" ht="15" customHeight="1" x14ac:dyDescent="0.2">
      <c r="A320" s="54" t="s">
        <v>241</v>
      </c>
      <c r="B320" s="55" t="s">
        <v>242</v>
      </c>
      <c r="C320" s="55" t="s">
        <v>242</v>
      </c>
      <c r="D320" s="55" t="s">
        <v>242</v>
      </c>
      <c r="E320" s="56" t="s">
        <v>242</v>
      </c>
      <c r="F320" s="56" t="s">
        <v>242</v>
      </c>
      <c r="G320" s="56" t="s">
        <v>242</v>
      </c>
      <c r="H320" s="57" t="s">
        <v>243</v>
      </c>
      <c r="I320" s="57" t="s">
        <v>244</v>
      </c>
      <c r="J320" s="57" t="s">
        <v>257</v>
      </c>
      <c r="K320" s="57" t="s">
        <v>276</v>
      </c>
      <c r="L320" s="57" t="s">
        <v>276</v>
      </c>
      <c r="M320" s="58" t="s">
        <v>242</v>
      </c>
      <c r="N320" s="59" t="s">
        <v>242</v>
      </c>
      <c r="O320" s="59" t="s">
        <v>242</v>
      </c>
      <c r="P320" s="59" t="s">
        <v>242</v>
      </c>
      <c r="Q320" s="59" t="s">
        <v>242</v>
      </c>
      <c r="R320" s="59" t="s">
        <v>242</v>
      </c>
      <c r="S320" s="59" t="s">
        <v>242</v>
      </c>
      <c r="T320" s="61" t="s">
        <v>242</v>
      </c>
      <c r="U320" s="56" t="s">
        <v>242</v>
      </c>
      <c r="V320" s="62">
        <v>1.6</v>
      </c>
      <c r="W320" s="63" t="s">
        <v>270</v>
      </c>
      <c r="X320" s="64" t="s">
        <v>259</v>
      </c>
    </row>
    <row r="321" spans="1:24" ht="15" customHeight="1" x14ac:dyDescent="0.2">
      <c r="A321" s="54" t="s">
        <v>241</v>
      </c>
      <c r="B321" s="55" t="s">
        <v>311</v>
      </c>
      <c r="C321" s="55" t="s">
        <v>249</v>
      </c>
      <c r="D321" s="55" t="s">
        <v>260</v>
      </c>
      <c r="E321" s="56" t="s">
        <v>223</v>
      </c>
      <c r="F321" s="56" t="s">
        <v>44</v>
      </c>
      <c r="G321" s="56" t="s">
        <v>251</v>
      </c>
      <c r="H321" s="57" t="s">
        <v>243</v>
      </c>
      <c r="I321" s="57" t="s">
        <v>244</v>
      </c>
      <c r="J321" s="57" t="s">
        <v>257</v>
      </c>
      <c r="K321" s="57" t="s">
        <v>276</v>
      </c>
      <c r="L321" s="57" t="s">
        <v>276</v>
      </c>
      <c r="M321" s="58" t="s">
        <v>242</v>
      </c>
      <c r="N321" s="59">
        <v>1</v>
      </c>
      <c r="O321" s="59" t="s">
        <v>286</v>
      </c>
      <c r="P321" s="59">
        <v>0.2</v>
      </c>
      <c r="Q321" s="59" t="s">
        <v>242</v>
      </c>
      <c r="R321" s="59">
        <v>1.6</v>
      </c>
      <c r="S321" s="59">
        <v>1</v>
      </c>
      <c r="T321" s="61" t="s">
        <v>242</v>
      </c>
      <c r="U321" s="56">
        <v>1.6</v>
      </c>
      <c r="V321" s="62"/>
      <c r="W321" s="63" t="s">
        <v>270</v>
      </c>
      <c r="X321" s="64" t="s">
        <v>259</v>
      </c>
    </row>
    <row r="322" spans="1:24" ht="15" customHeight="1" x14ac:dyDescent="0.25">
      <c r="A322" s="48"/>
      <c r="B322" s="49"/>
      <c r="C322" s="48"/>
      <c r="D322" s="48"/>
      <c r="E322" s="53"/>
      <c r="F322" s="46"/>
      <c r="G322" s="46"/>
      <c r="H322" s="46"/>
      <c r="I322" s="46"/>
      <c r="J322" s="46"/>
      <c r="K322" s="46"/>
      <c r="L322" s="46"/>
      <c r="M322" s="48"/>
      <c r="N322" s="48"/>
      <c r="O322" s="49"/>
      <c r="P322" s="48"/>
      <c r="Q322" s="48"/>
      <c r="R322" s="48"/>
      <c r="S322" s="46"/>
      <c r="T322" s="48"/>
      <c r="U322" s="48"/>
      <c r="V322" s="25"/>
      <c r="W322" s="25"/>
      <c r="X322" s="25"/>
    </row>
    <row r="323" spans="1:24" ht="15" customHeight="1" x14ac:dyDescent="0.25">
      <c r="A323" s="48"/>
      <c r="B323" s="49"/>
      <c r="C323" s="48"/>
      <c r="D323" s="48"/>
      <c r="E323" s="53"/>
      <c r="F323" s="46"/>
      <c r="G323" s="46"/>
      <c r="H323" s="46"/>
      <c r="I323" s="46"/>
      <c r="J323" s="46"/>
      <c r="K323" s="46"/>
      <c r="L323" s="46"/>
      <c r="M323" s="48"/>
      <c r="N323" s="48"/>
      <c r="O323" s="49"/>
      <c r="P323" s="48"/>
      <c r="Q323" s="48"/>
      <c r="R323" s="48"/>
      <c r="S323" s="46"/>
      <c r="T323" s="48"/>
      <c r="U323" s="48"/>
      <c r="V323" s="25"/>
      <c r="W323" s="25"/>
      <c r="X323" s="25"/>
    </row>
    <row r="324" spans="1:24" ht="15" customHeight="1" x14ac:dyDescent="0.2">
      <c r="A324" s="100" t="s">
        <v>241</v>
      </c>
      <c r="B324" s="101" t="s">
        <v>242</v>
      </c>
      <c r="C324" s="101" t="s">
        <v>242</v>
      </c>
      <c r="D324" s="101" t="s">
        <v>242</v>
      </c>
      <c r="E324" s="102" t="s">
        <v>242</v>
      </c>
      <c r="F324" s="102" t="s">
        <v>242</v>
      </c>
      <c r="G324" s="102" t="s">
        <v>242</v>
      </c>
      <c r="H324" s="103" t="s">
        <v>243</v>
      </c>
      <c r="I324" s="103" t="s">
        <v>244</v>
      </c>
      <c r="J324" s="103" t="s">
        <v>245</v>
      </c>
      <c r="K324" s="103" t="s">
        <v>246</v>
      </c>
      <c r="L324" s="103" t="s">
        <v>246</v>
      </c>
      <c r="M324" s="104" t="s">
        <v>242</v>
      </c>
      <c r="N324" s="105" t="s">
        <v>242</v>
      </c>
      <c r="O324" s="105" t="s">
        <v>242</v>
      </c>
      <c r="P324" s="105" t="s">
        <v>242</v>
      </c>
      <c r="Q324" s="105" t="s">
        <v>242</v>
      </c>
      <c r="R324" s="105" t="s">
        <v>242</v>
      </c>
      <c r="S324" s="106" t="s">
        <v>242</v>
      </c>
      <c r="T324" s="107" t="s">
        <v>242</v>
      </c>
      <c r="U324" s="102" t="s">
        <v>242</v>
      </c>
      <c r="V324" s="108">
        <v>1</v>
      </c>
      <c r="W324" s="109" t="s">
        <v>74</v>
      </c>
      <c r="X324" s="110" t="s">
        <v>247</v>
      </c>
    </row>
    <row r="325" spans="1:24" ht="15" customHeight="1" x14ac:dyDescent="0.2">
      <c r="A325" s="100" t="s">
        <v>241</v>
      </c>
      <c r="B325" s="101" t="s">
        <v>319</v>
      </c>
      <c r="C325" s="101" t="s">
        <v>249</v>
      </c>
      <c r="D325" s="101" t="s">
        <v>260</v>
      </c>
      <c r="E325" s="102" t="s">
        <v>54</v>
      </c>
      <c r="F325" s="102" t="s">
        <v>44</v>
      </c>
      <c r="G325" s="102" t="s">
        <v>251</v>
      </c>
      <c r="H325" s="103" t="s">
        <v>243</v>
      </c>
      <c r="I325" s="103" t="s">
        <v>244</v>
      </c>
      <c r="J325" s="103" t="s">
        <v>245</v>
      </c>
      <c r="K325" s="103" t="s">
        <v>246</v>
      </c>
      <c r="L325" s="103" t="s">
        <v>246</v>
      </c>
      <c r="M325" s="104" t="s">
        <v>242</v>
      </c>
      <c r="N325" s="105">
        <v>1</v>
      </c>
      <c r="O325" s="105" t="s">
        <v>242</v>
      </c>
      <c r="P325" s="105" t="s">
        <v>242</v>
      </c>
      <c r="Q325" s="105" t="s">
        <v>242</v>
      </c>
      <c r="R325" s="105">
        <v>1</v>
      </c>
      <c r="S325" s="105" t="s">
        <v>242</v>
      </c>
      <c r="T325" s="107" t="s">
        <v>242</v>
      </c>
      <c r="U325" s="102">
        <v>1</v>
      </c>
      <c r="V325" s="108"/>
      <c r="W325" s="109" t="s">
        <v>74</v>
      </c>
      <c r="X325" s="110" t="s">
        <v>247</v>
      </c>
    </row>
    <row r="326" spans="1:24" ht="15" customHeight="1" x14ac:dyDescent="0.2">
      <c r="A326" s="100" t="s">
        <v>241</v>
      </c>
      <c r="B326" s="101" t="s">
        <v>242</v>
      </c>
      <c r="C326" s="101" t="s">
        <v>242</v>
      </c>
      <c r="D326" s="101" t="s">
        <v>242</v>
      </c>
      <c r="E326" s="102" t="s">
        <v>242</v>
      </c>
      <c r="F326" s="102" t="s">
        <v>242</v>
      </c>
      <c r="G326" s="102" t="s">
        <v>242</v>
      </c>
      <c r="H326" s="103" t="s">
        <v>243</v>
      </c>
      <c r="I326" s="103" t="s">
        <v>244</v>
      </c>
      <c r="J326" s="103" t="s">
        <v>245</v>
      </c>
      <c r="K326" s="103" t="s">
        <v>253</v>
      </c>
      <c r="L326" s="103" t="s">
        <v>253</v>
      </c>
      <c r="M326" s="104" t="s">
        <v>242</v>
      </c>
      <c r="N326" s="105" t="s">
        <v>242</v>
      </c>
      <c r="O326" s="105" t="s">
        <v>242</v>
      </c>
      <c r="P326" s="105" t="s">
        <v>242</v>
      </c>
      <c r="Q326" s="105" t="s">
        <v>242</v>
      </c>
      <c r="R326" s="105" t="s">
        <v>242</v>
      </c>
      <c r="S326" s="105" t="s">
        <v>242</v>
      </c>
      <c r="T326" s="107" t="s">
        <v>242</v>
      </c>
      <c r="U326" s="102" t="s">
        <v>242</v>
      </c>
      <c r="V326" s="108">
        <v>3</v>
      </c>
      <c r="W326" s="109" t="s">
        <v>179</v>
      </c>
      <c r="X326" s="110" t="s">
        <v>247</v>
      </c>
    </row>
    <row r="327" spans="1:24" ht="15" customHeight="1" x14ac:dyDescent="0.2">
      <c r="A327" s="100" t="s">
        <v>241</v>
      </c>
      <c r="B327" s="101" t="s">
        <v>319</v>
      </c>
      <c r="C327" s="101" t="s">
        <v>249</v>
      </c>
      <c r="D327" s="101" t="s">
        <v>252</v>
      </c>
      <c r="E327" s="102" t="s">
        <v>48</v>
      </c>
      <c r="F327" s="102" t="s">
        <v>42</v>
      </c>
      <c r="G327" s="102" t="s">
        <v>251</v>
      </c>
      <c r="H327" s="103" t="s">
        <v>243</v>
      </c>
      <c r="I327" s="103" t="s">
        <v>244</v>
      </c>
      <c r="J327" s="103" t="s">
        <v>245</v>
      </c>
      <c r="K327" s="103" t="s">
        <v>253</v>
      </c>
      <c r="L327" s="103" t="s">
        <v>253</v>
      </c>
      <c r="M327" s="104" t="s">
        <v>242</v>
      </c>
      <c r="N327" s="105">
        <v>1</v>
      </c>
      <c r="O327" s="105">
        <v>3</v>
      </c>
      <c r="P327" s="105" t="s">
        <v>242</v>
      </c>
      <c r="Q327" s="105" t="s">
        <v>242</v>
      </c>
      <c r="R327" s="105">
        <v>3</v>
      </c>
      <c r="S327" s="105" t="s">
        <v>242</v>
      </c>
      <c r="T327" s="107" t="s">
        <v>242</v>
      </c>
      <c r="U327" s="102">
        <v>3</v>
      </c>
      <c r="V327" s="108"/>
      <c r="W327" s="109" t="s">
        <v>179</v>
      </c>
      <c r="X327" s="110" t="s">
        <v>247</v>
      </c>
    </row>
    <row r="328" spans="1:24" ht="15" customHeight="1" x14ac:dyDescent="0.2">
      <c r="A328" s="100" t="s">
        <v>241</v>
      </c>
      <c r="B328" s="101" t="s">
        <v>242</v>
      </c>
      <c r="C328" s="101" t="s">
        <v>242</v>
      </c>
      <c r="D328" s="101" t="s">
        <v>242</v>
      </c>
      <c r="E328" s="102" t="s">
        <v>242</v>
      </c>
      <c r="F328" s="102" t="s">
        <v>242</v>
      </c>
      <c r="G328" s="102" t="s">
        <v>242</v>
      </c>
      <c r="H328" s="103" t="s">
        <v>243</v>
      </c>
      <c r="I328" s="103" t="s">
        <v>244</v>
      </c>
      <c r="J328" s="103" t="s">
        <v>245</v>
      </c>
      <c r="K328" s="103" t="s">
        <v>255</v>
      </c>
      <c r="L328" s="103" t="s">
        <v>255</v>
      </c>
      <c r="M328" s="104" t="s">
        <v>242</v>
      </c>
      <c r="N328" s="105" t="s">
        <v>242</v>
      </c>
      <c r="O328" s="105" t="s">
        <v>242</v>
      </c>
      <c r="P328" s="105" t="s">
        <v>242</v>
      </c>
      <c r="Q328" s="105" t="s">
        <v>242</v>
      </c>
      <c r="R328" s="105" t="s">
        <v>242</v>
      </c>
      <c r="S328" s="105" t="s">
        <v>242</v>
      </c>
      <c r="T328" s="107" t="s">
        <v>242</v>
      </c>
      <c r="U328" s="102" t="s">
        <v>242</v>
      </c>
      <c r="V328" s="108">
        <v>15</v>
      </c>
      <c r="W328" s="109" t="s">
        <v>179</v>
      </c>
      <c r="X328" s="110" t="s">
        <v>247</v>
      </c>
    </row>
    <row r="329" spans="1:24" ht="15" customHeight="1" x14ac:dyDescent="0.2">
      <c r="A329" s="100" t="s">
        <v>241</v>
      </c>
      <c r="B329" s="101" t="s">
        <v>319</v>
      </c>
      <c r="C329" s="101" t="s">
        <v>249</v>
      </c>
      <c r="D329" s="101" t="s">
        <v>252</v>
      </c>
      <c r="E329" s="102" t="s">
        <v>48</v>
      </c>
      <c r="F329" s="102" t="s">
        <v>47</v>
      </c>
      <c r="G329" s="102" t="s">
        <v>251</v>
      </c>
      <c r="H329" s="103" t="s">
        <v>243</v>
      </c>
      <c r="I329" s="103" t="s">
        <v>244</v>
      </c>
      <c r="J329" s="103" t="s">
        <v>245</v>
      </c>
      <c r="K329" s="103" t="s">
        <v>255</v>
      </c>
      <c r="L329" s="103" t="s">
        <v>255</v>
      </c>
      <c r="M329" s="104" t="s">
        <v>242</v>
      </c>
      <c r="N329" s="105">
        <v>1</v>
      </c>
      <c r="O329" s="105">
        <v>15</v>
      </c>
      <c r="P329" s="105" t="s">
        <v>242</v>
      </c>
      <c r="Q329" s="105" t="s">
        <v>242</v>
      </c>
      <c r="R329" s="105">
        <v>15</v>
      </c>
      <c r="S329" s="105" t="s">
        <v>242</v>
      </c>
      <c r="T329" s="107" t="s">
        <v>242</v>
      </c>
      <c r="U329" s="102">
        <v>15</v>
      </c>
      <c r="V329" s="108"/>
      <c r="W329" s="109" t="s">
        <v>179</v>
      </c>
      <c r="X329" s="110" t="s">
        <v>247</v>
      </c>
    </row>
    <row r="330" spans="1:24" ht="15" customHeight="1" x14ac:dyDescent="0.2">
      <c r="A330" s="100" t="s">
        <v>241</v>
      </c>
      <c r="B330" s="101" t="s">
        <v>242</v>
      </c>
      <c r="C330" s="101" t="s">
        <v>242</v>
      </c>
      <c r="D330" s="101" t="s">
        <v>242</v>
      </c>
      <c r="E330" s="102" t="s">
        <v>242</v>
      </c>
      <c r="F330" s="102" t="s">
        <v>242</v>
      </c>
      <c r="G330" s="102" t="s">
        <v>242</v>
      </c>
      <c r="H330" s="103" t="s">
        <v>243</v>
      </c>
      <c r="I330" s="103" t="s">
        <v>244</v>
      </c>
      <c r="J330" s="103" t="s">
        <v>257</v>
      </c>
      <c r="K330" s="103" t="s">
        <v>278</v>
      </c>
      <c r="L330" s="103" t="s">
        <v>278</v>
      </c>
      <c r="M330" s="104" t="s">
        <v>242</v>
      </c>
      <c r="N330" s="105" t="s">
        <v>242</v>
      </c>
      <c r="O330" s="105" t="s">
        <v>242</v>
      </c>
      <c r="P330" s="105" t="s">
        <v>242</v>
      </c>
      <c r="Q330" s="105" t="s">
        <v>242</v>
      </c>
      <c r="R330" s="105" t="s">
        <v>242</v>
      </c>
      <c r="S330" s="105" t="s">
        <v>242</v>
      </c>
      <c r="T330" s="107" t="s">
        <v>242</v>
      </c>
      <c r="U330" s="102" t="s">
        <v>242</v>
      </c>
      <c r="V330" s="108">
        <v>3</v>
      </c>
      <c r="W330" s="109" t="s">
        <v>179</v>
      </c>
      <c r="X330" s="110" t="s">
        <v>259</v>
      </c>
    </row>
    <row r="331" spans="1:24" ht="15" customHeight="1" x14ac:dyDescent="0.2">
      <c r="A331" s="100" t="s">
        <v>241</v>
      </c>
      <c r="B331" s="101" t="s">
        <v>319</v>
      </c>
      <c r="C331" s="101" t="s">
        <v>249</v>
      </c>
      <c r="D331" s="101" t="s">
        <v>254</v>
      </c>
      <c r="E331" s="102" t="s">
        <v>53</v>
      </c>
      <c r="F331" s="102" t="s">
        <v>44</v>
      </c>
      <c r="G331" s="102" t="s">
        <v>251</v>
      </c>
      <c r="H331" s="103" t="s">
        <v>243</v>
      </c>
      <c r="I331" s="103" t="s">
        <v>244</v>
      </c>
      <c r="J331" s="103" t="s">
        <v>257</v>
      </c>
      <c r="K331" s="103" t="s">
        <v>278</v>
      </c>
      <c r="L331" s="103" t="s">
        <v>278</v>
      </c>
      <c r="M331" s="104" t="s">
        <v>242</v>
      </c>
      <c r="N331" s="105">
        <v>1</v>
      </c>
      <c r="O331" s="105">
        <v>3</v>
      </c>
      <c r="P331" s="105" t="s">
        <v>242</v>
      </c>
      <c r="Q331" s="105" t="s">
        <v>242</v>
      </c>
      <c r="R331" s="105">
        <v>3</v>
      </c>
      <c r="S331" s="105" t="s">
        <v>242</v>
      </c>
      <c r="T331" s="107" t="s">
        <v>242</v>
      </c>
      <c r="U331" s="102">
        <v>3</v>
      </c>
      <c r="V331" s="108"/>
      <c r="W331" s="109" t="s">
        <v>179</v>
      </c>
      <c r="X331" s="110" t="s">
        <v>259</v>
      </c>
    </row>
    <row r="332" spans="1:24" ht="15" customHeight="1" x14ac:dyDescent="0.2">
      <c r="A332" s="100" t="s">
        <v>241</v>
      </c>
      <c r="B332" s="101" t="s">
        <v>242</v>
      </c>
      <c r="C332" s="101" t="s">
        <v>242</v>
      </c>
      <c r="D332" s="101" t="s">
        <v>242</v>
      </c>
      <c r="E332" s="102" t="s">
        <v>242</v>
      </c>
      <c r="F332" s="102" t="s">
        <v>242</v>
      </c>
      <c r="G332" s="102" t="s">
        <v>242</v>
      </c>
      <c r="H332" s="103" t="s">
        <v>243</v>
      </c>
      <c r="I332" s="103" t="s">
        <v>244</v>
      </c>
      <c r="J332" s="103" t="s">
        <v>257</v>
      </c>
      <c r="K332" s="103" t="s">
        <v>261</v>
      </c>
      <c r="L332" s="103" t="s">
        <v>261</v>
      </c>
      <c r="M332" s="104" t="s">
        <v>242</v>
      </c>
      <c r="N332" s="105" t="s">
        <v>242</v>
      </c>
      <c r="O332" s="105" t="s">
        <v>242</v>
      </c>
      <c r="P332" s="105" t="s">
        <v>242</v>
      </c>
      <c r="Q332" s="105" t="s">
        <v>242</v>
      </c>
      <c r="R332" s="105" t="s">
        <v>242</v>
      </c>
      <c r="S332" s="105" t="s">
        <v>242</v>
      </c>
      <c r="T332" s="107" t="s">
        <v>242</v>
      </c>
      <c r="U332" s="102" t="s">
        <v>242</v>
      </c>
      <c r="V332" s="108">
        <v>200</v>
      </c>
      <c r="W332" s="109" t="s">
        <v>262</v>
      </c>
      <c r="X332" s="110" t="s">
        <v>259</v>
      </c>
    </row>
    <row r="333" spans="1:24" ht="15" customHeight="1" x14ac:dyDescent="0.2">
      <c r="A333" s="100" t="s">
        <v>241</v>
      </c>
      <c r="B333" s="101" t="s">
        <v>319</v>
      </c>
      <c r="C333" s="101" t="s">
        <v>249</v>
      </c>
      <c r="D333" s="101" t="s">
        <v>242</v>
      </c>
      <c r="E333" s="102" t="s">
        <v>242</v>
      </c>
      <c r="F333" s="102" t="s">
        <v>242</v>
      </c>
      <c r="G333" s="102" t="s">
        <v>251</v>
      </c>
      <c r="H333" s="103" t="s">
        <v>243</v>
      </c>
      <c r="I333" s="103" t="s">
        <v>244</v>
      </c>
      <c r="J333" s="103" t="s">
        <v>257</v>
      </c>
      <c r="K333" s="103" t="s">
        <v>261</v>
      </c>
      <c r="L333" s="103" t="s">
        <v>261</v>
      </c>
      <c r="M333" s="104" t="s">
        <v>242</v>
      </c>
      <c r="N333" s="105">
        <v>200</v>
      </c>
      <c r="O333" s="105" t="s">
        <v>242</v>
      </c>
      <c r="P333" s="105" t="s">
        <v>242</v>
      </c>
      <c r="Q333" s="105" t="s">
        <v>242</v>
      </c>
      <c r="R333" s="105">
        <v>200</v>
      </c>
      <c r="S333" s="105" t="s">
        <v>242</v>
      </c>
      <c r="T333" s="107" t="s">
        <v>242</v>
      </c>
      <c r="U333" s="102">
        <v>200</v>
      </c>
      <c r="V333" s="108"/>
      <c r="W333" s="109" t="s">
        <v>262</v>
      </c>
      <c r="X333" s="110" t="s">
        <v>259</v>
      </c>
    </row>
    <row r="334" spans="1:24" ht="15" customHeight="1" x14ac:dyDescent="0.2">
      <c r="A334" s="100" t="s">
        <v>241</v>
      </c>
      <c r="B334" s="101" t="s">
        <v>242</v>
      </c>
      <c r="C334" s="101" t="s">
        <v>242</v>
      </c>
      <c r="D334" s="101" t="s">
        <v>242</v>
      </c>
      <c r="E334" s="102" t="s">
        <v>242</v>
      </c>
      <c r="F334" s="102" t="s">
        <v>242</v>
      </c>
      <c r="G334" s="102" t="s">
        <v>242</v>
      </c>
      <c r="H334" s="103" t="s">
        <v>243</v>
      </c>
      <c r="I334" s="103" t="s">
        <v>244</v>
      </c>
      <c r="J334" s="103" t="s">
        <v>257</v>
      </c>
      <c r="K334" s="103" t="s">
        <v>280</v>
      </c>
      <c r="L334" s="103" t="s">
        <v>280</v>
      </c>
      <c r="M334" s="104" t="s">
        <v>242</v>
      </c>
      <c r="N334" s="105" t="s">
        <v>242</v>
      </c>
      <c r="O334" s="105" t="s">
        <v>242</v>
      </c>
      <c r="P334" s="105" t="s">
        <v>242</v>
      </c>
      <c r="Q334" s="105" t="s">
        <v>242</v>
      </c>
      <c r="R334" s="105" t="s">
        <v>242</v>
      </c>
      <c r="S334" s="105" t="s">
        <v>242</v>
      </c>
      <c r="T334" s="107" t="s">
        <v>242</v>
      </c>
      <c r="U334" s="102" t="s">
        <v>242</v>
      </c>
      <c r="V334" s="108">
        <v>2000</v>
      </c>
      <c r="W334" s="109" t="s">
        <v>262</v>
      </c>
      <c r="X334" s="110" t="s">
        <v>259</v>
      </c>
    </row>
    <row r="335" spans="1:24" ht="15" customHeight="1" x14ac:dyDescent="0.2">
      <c r="A335" s="100" t="s">
        <v>241</v>
      </c>
      <c r="B335" s="101" t="s">
        <v>319</v>
      </c>
      <c r="C335" s="101" t="s">
        <v>249</v>
      </c>
      <c r="D335" s="101" t="s">
        <v>242</v>
      </c>
      <c r="E335" s="102" t="s">
        <v>242</v>
      </c>
      <c r="F335" s="102" t="s">
        <v>242</v>
      </c>
      <c r="G335" s="102" t="s">
        <v>251</v>
      </c>
      <c r="H335" s="103" t="s">
        <v>243</v>
      </c>
      <c r="I335" s="103" t="s">
        <v>244</v>
      </c>
      <c r="J335" s="103" t="s">
        <v>257</v>
      </c>
      <c r="K335" s="103" t="s">
        <v>280</v>
      </c>
      <c r="L335" s="103" t="s">
        <v>280</v>
      </c>
      <c r="M335" s="104" t="s">
        <v>242</v>
      </c>
      <c r="N335" s="105">
        <v>2000</v>
      </c>
      <c r="O335" s="105" t="s">
        <v>242</v>
      </c>
      <c r="P335" s="105" t="s">
        <v>242</v>
      </c>
      <c r="Q335" s="105" t="s">
        <v>242</v>
      </c>
      <c r="R335" s="105">
        <v>2000</v>
      </c>
      <c r="S335" s="105" t="s">
        <v>242</v>
      </c>
      <c r="T335" s="107" t="s">
        <v>242</v>
      </c>
      <c r="U335" s="102">
        <v>2000</v>
      </c>
      <c r="V335" s="108"/>
      <c r="W335" s="109" t="s">
        <v>262</v>
      </c>
      <c r="X335" s="110" t="s">
        <v>259</v>
      </c>
    </row>
    <row r="336" spans="1:24" ht="15" customHeight="1" x14ac:dyDescent="0.2">
      <c r="A336" s="100" t="s">
        <v>241</v>
      </c>
      <c r="B336" s="101" t="s">
        <v>242</v>
      </c>
      <c r="C336" s="101" t="s">
        <v>242</v>
      </c>
      <c r="D336" s="101" t="s">
        <v>242</v>
      </c>
      <c r="E336" s="102" t="s">
        <v>242</v>
      </c>
      <c r="F336" s="102" t="s">
        <v>242</v>
      </c>
      <c r="G336" s="102" t="s">
        <v>242</v>
      </c>
      <c r="H336" s="103" t="s">
        <v>243</v>
      </c>
      <c r="I336" s="103" t="s">
        <v>244</v>
      </c>
      <c r="J336" s="103" t="s">
        <v>257</v>
      </c>
      <c r="K336" s="103" t="s">
        <v>264</v>
      </c>
      <c r="L336" s="103" t="s">
        <v>264</v>
      </c>
      <c r="M336" s="104" t="s">
        <v>242</v>
      </c>
      <c r="N336" s="105" t="s">
        <v>242</v>
      </c>
      <c r="O336" s="105" t="s">
        <v>242</v>
      </c>
      <c r="P336" s="105" t="s">
        <v>242</v>
      </c>
      <c r="Q336" s="105" t="s">
        <v>242</v>
      </c>
      <c r="R336" s="105" t="s">
        <v>242</v>
      </c>
      <c r="S336" s="105" t="s">
        <v>242</v>
      </c>
      <c r="T336" s="107" t="s">
        <v>242</v>
      </c>
      <c r="U336" s="102" t="s">
        <v>242</v>
      </c>
      <c r="V336" s="108">
        <v>137.62</v>
      </c>
      <c r="W336" s="109" t="s">
        <v>99</v>
      </c>
      <c r="X336" s="110" t="s">
        <v>259</v>
      </c>
    </row>
    <row r="337" spans="1:24" ht="15" customHeight="1" x14ac:dyDescent="0.2">
      <c r="A337" s="100" t="s">
        <v>241</v>
      </c>
      <c r="B337" s="101" t="s">
        <v>319</v>
      </c>
      <c r="C337" s="101" t="s">
        <v>249</v>
      </c>
      <c r="D337" s="101" t="s">
        <v>242</v>
      </c>
      <c r="E337" s="102" t="s">
        <v>242</v>
      </c>
      <c r="F337" s="102" t="s">
        <v>242</v>
      </c>
      <c r="G337" s="102" t="s">
        <v>251</v>
      </c>
      <c r="H337" s="103" t="s">
        <v>243</v>
      </c>
      <c r="I337" s="103" t="s">
        <v>244</v>
      </c>
      <c r="J337" s="103" t="s">
        <v>257</v>
      </c>
      <c r="K337" s="103" t="s">
        <v>264</v>
      </c>
      <c r="L337" s="103" t="s">
        <v>264</v>
      </c>
      <c r="M337" s="104" t="s">
        <v>242</v>
      </c>
      <c r="N337" s="105">
        <v>137.62</v>
      </c>
      <c r="O337" s="105" t="s">
        <v>242</v>
      </c>
      <c r="P337" s="105" t="s">
        <v>242</v>
      </c>
      <c r="Q337" s="105" t="s">
        <v>242</v>
      </c>
      <c r="R337" s="105">
        <v>137.62</v>
      </c>
      <c r="S337" s="105" t="s">
        <v>242</v>
      </c>
      <c r="T337" s="107" t="s">
        <v>242</v>
      </c>
      <c r="U337" s="102">
        <v>137.62</v>
      </c>
      <c r="V337" s="108"/>
      <c r="W337" s="109" t="s">
        <v>99</v>
      </c>
      <c r="X337" s="110" t="s">
        <v>259</v>
      </c>
    </row>
    <row r="338" spans="1:24" ht="15" customHeight="1" x14ac:dyDescent="0.2">
      <c r="A338" s="100" t="s">
        <v>241</v>
      </c>
      <c r="B338" s="101" t="s">
        <v>242</v>
      </c>
      <c r="C338" s="101" t="s">
        <v>242</v>
      </c>
      <c r="D338" s="101" t="s">
        <v>242</v>
      </c>
      <c r="E338" s="102" t="s">
        <v>242</v>
      </c>
      <c r="F338" s="102" t="s">
        <v>242</v>
      </c>
      <c r="G338" s="102" t="s">
        <v>242</v>
      </c>
      <c r="H338" s="103" t="s">
        <v>243</v>
      </c>
      <c r="I338" s="103" t="s">
        <v>244</v>
      </c>
      <c r="J338" s="103" t="s">
        <v>257</v>
      </c>
      <c r="K338" s="103" t="s">
        <v>267</v>
      </c>
      <c r="L338" s="103" t="s">
        <v>267</v>
      </c>
      <c r="M338" s="104" t="s">
        <v>242</v>
      </c>
      <c r="N338" s="105" t="s">
        <v>242</v>
      </c>
      <c r="O338" s="105" t="s">
        <v>242</v>
      </c>
      <c r="P338" s="105" t="s">
        <v>242</v>
      </c>
      <c r="Q338" s="105" t="s">
        <v>242</v>
      </c>
      <c r="R338" s="105" t="s">
        <v>242</v>
      </c>
      <c r="S338" s="105" t="s">
        <v>242</v>
      </c>
      <c r="T338" s="107" t="s">
        <v>242</v>
      </c>
      <c r="U338" s="102" t="s">
        <v>242</v>
      </c>
      <c r="V338" s="108">
        <v>4</v>
      </c>
      <c r="W338" s="109" t="s">
        <v>74</v>
      </c>
      <c r="X338" s="110" t="s">
        <v>259</v>
      </c>
    </row>
    <row r="339" spans="1:24" ht="15" customHeight="1" x14ac:dyDescent="0.2">
      <c r="A339" s="100" t="s">
        <v>241</v>
      </c>
      <c r="B339" s="101" t="s">
        <v>319</v>
      </c>
      <c r="C339" s="101" t="s">
        <v>249</v>
      </c>
      <c r="D339" s="101" t="s">
        <v>260</v>
      </c>
      <c r="E339" s="102" t="s">
        <v>296</v>
      </c>
      <c r="F339" s="102" t="s">
        <v>42</v>
      </c>
      <c r="G339" s="102" t="s">
        <v>251</v>
      </c>
      <c r="H339" s="103" t="s">
        <v>243</v>
      </c>
      <c r="I339" s="103" t="s">
        <v>244</v>
      </c>
      <c r="J339" s="103" t="s">
        <v>257</v>
      </c>
      <c r="K339" s="103" t="s">
        <v>267</v>
      </c>
      <c r="L339" s="103" t="s">
        <v>267</v>
      </c>
      <c r="M339" s="104" t="s">
        <v>242</v>
      </c>
      <c r="N339" s="105">
        <v>4</v>
      </c>
      <c r="O339" s="105" t="s">
        <v>242</v>
      </c>
      <c r="P339" s="105" t="s">
        <v>242</v>
      </c>
      <c r="Q339" s="105" t="s">
        <v>242</v>
      </c>
      <c r="R339" s="105">
        <v>4</v>
      </c>
      <c r="S339" s="105" t="s">
        <v>242</v>
      </c>
      <c r="T339" s="107" t="s">
        <v>242</v>
      </c>
      <c r="U339" s="102">
        <v>4</v>
      </c>
      <c r="V339" s="108"/>
      <c r="W339" s="109" t="s">
        <v>74</v>
      </c>
      <c r="X339" s="110" t="s">
        <v>259</v>
      </c>
    </row>
    <row r="340" spans="1:24" ht="15" customHeight="1" x14ac:dyDescent="0.2">
      <c r="A340" s="100" t="s">
        <v>241</v>
      </c>
      <c r="B340" s="101" t="s">
        <v>242</v>
      </c>
      <c r="C340" s="101" t="s">
        <v>242</v>
      </c>
      <c r="D340" s="101" t="s">
        <v>242</v>
      </c>
      <c r="E340" s="102" t="s">
        <v>242</v>
      </c>
      <c r="F340" s="102" t="s">
        <v>242</v>
      </c>
      <c r="G340" s="102" t="s">
        <v>242</v>
      </c>
      <c r="H340" s="103" t="s">
        <v>243</v>
      </c>
      <c r="I340" s="103" t="s">
        <v>244</v>
      </c>
      <c r="J340" s="103" t="s">
        <v>257</v>
      </c>
      <c r="K340" s="103" t="s">
        <v>268</v>
      </c>
      <c r="L340" s="103" t="s">
        <v>268</v>
      </c>
      <c r="M340" s="104" t="s">
        <v>242</v>
      </c>
      <c r="N340" s="105" t="s">
        <v>242</v>
      </c>
      <c r="O340" s="105" t="s">
        <v>242</v>
      </c>
      <c r="P340" s="105" t="s">
        <v>242</v>
      </c>
      <c r="Q340" s="105" t="s">
        <v>242</v>
      </c>
      <c r="R340" s="105" t="s">
        <v>242</v>
      </c>
      <c r="S340" s="105" t="s">
        <v>242</v>
      </c>
      <c r="T340" s="107" t="s">
        <v>242</v>
      </c>
      <c r="U340" s="102" t="s">
        <v>242</v>
      </c>
      <c r="V340" s="108">
        <v>145</v>
      </c>
      <c r="W340" s="109" t="s">
        <v>74</v>
      </c>
      <c r="X340" s="110" t="s">
        <v>259</v>
      </c>
    </row>
    <row r="341" spans="1:24" ht="15" customHeight="1" x14ac:dyDescent="0.2">
      <c r="A341" s="100" t="s">
        <v>241</v>
      </c>
      <c r="B341" s="101" t="s">
        <v>319</v>
      </c>
      <c r="C341" s="101" t="s">
        <v>249</v>
      </c>
      <c r="D341" s="101" t="s">
        <v>242</v>
      </c>
      <c r="E341" s="102" t="s">
        <v>242</v>
      </c>
      <c r="F341" s="102" t="s">
        <v>242</v>
      </c>
      <c r="G341" s="102" t="s">
        <v>251</v>
      </c>
      <c r="H341" s="103" t="s">
        <v>243</v>
      </c>
      <c r="I341" s="103" t="s">
        <v>244</v>
      </c>
      <c r="J341" s="103" t="s">
        <v>257</v>
      </c>
      <c r="K341" s="103" t="s">
        <v>268</v>
      </c>
      <c r="L341" s="103" t="s">
        <v>268</v>
      </c>
      <c r="M341" s="104" t="s">
        <v>242</v>
      </c>
      <c r="N341" s="105">
        <v>145</v>
      </c>
      <c r="O341" s="105" t="s">
        <v>242</v>
      </c>
      <c r="P341" s="105" t="s">
        <v>242</v>
      </c>
      <c r="Q341" s="105" t="s">
        <v>242</v>
      </c>
      <c r="R341" s="105">
        <v>145</v>
      </c>
      <c r="S341" s="105" t="s">
        <v>242</v>
      </c>
      <c r="T341" s="107" t="s">
        <v>242</v>
      </c>
      <c r="U341" s="102">
        <v>145</v>
      </c>
      <c r="V341" s="108"/>
      <c r="W341" s="109" t="s">
        <v>74</v>
      </c>
      <c r="X341" s="110" t="s">
        <v>259</v>
      </c>
    </row>
    <row r="342" spans="1:24" ht="15" customHeight="1" x14ac:dyDescent="0.2">
      <c r="A342" s="100" t="s">
        <v>241</v>
      </c>
      <c r="B342" s="101" t="s">
        <v>242</v>
      </c>
      <c r="C342" s="101" t="s">
        <v>242</v>
      </c>
      <c r="D342" s="101" t="s">
        <v>242</v>
      </c>
      <c r="E342" s="102" t="s">
        <v>242</v>
      </c>
      <c r="F342" s="102" t="s">
        <v>242</v>
      </c>
      <c r="G342" s="102" t="s">
        <v>242</v>
      </c>
      <c r="H342" s="103" t="s">
        <v>243</v>
      </c>
      <c r="I342" s="103" t="s">
        <v>244</v>
      </c>
      <c r="J342" s="103" t="s">
        <v>257</v>
      </c>
      <c r="K342" s="103" t="s">
        <v>269</v>
      </c>
      <c r="L342" s="103" t="s">
        <v>269</v>
      </c>
      <c r="M342" s="104" t="s">
        <v>242</v>
      </c>
      <c r="N342" s="105" t="s">
        <v>242</v>
      </c>
      <c r="O342" s="105" t="s">
        <v>242</v>
      </c>
      <c r="P342" s="105" t="s">
        <v>242</v>
      </c>
      <c r="Q342" s="105" t="s">
        <v>242</v>
      </c>
      <c r="R342" s="105" t="s">
        <v>242</v>
      </c>
      <c r="S342" s="105" t="s">
        <v>242</v>
      </c>
      <c r="T342" s="107" t="s">
        <v>242</v>
      </c>
      <c r="U342" s="102" t="s">
        <v>242</v>
      </c>
      <c r="V342" s="108">
        <v>2.27</v>
      </c>
      <c r="W342" s="109" t="s">
        <v>270</v>
      </c>
      <c r="X342" s="110" t="s">
        <v>259</v>
      </c>
    </row>
    <row r="343" spans="1:24" ht="15" customHeight="1" x14ac:dyDescent="0.2">
      <c r="A343" s="100" t="s">
        <v>241</v>
      </c>
      <c r="B343" s="101" t="s">
        <v>319</v>
      </c>
      <c r="C343" s="101" t="s">
        <v>249</v>
      </c>
      <c r="D343" s="101" t="s">
        <v>254</v>
      </c>
      <c r="E343" s="102" t="s">
        <v>45</v>
      </c>
      <c r="F343" s="102" t="s">
        <v>46</v>
      </c>
      <c r="G343" s="102" t="s">
        <v>251</v>
      </c>
      <c r="H343" s="103" t="s">
        <v>243</v>
      </c>
      <c r="I343" s="103" t="s">
        <v>244</v>
      </c>
      <c r="J343" s="103" t="s">
        <v>257</v>
      </c>
      <c r="K343" s="103" t="s">
        <v>269</v>
      </c>
      <c r="L343" s="103" t="s">
        <v>269</v>
      </c>
      <c r="M343" s="104" t="s">
        <v>242</v>
      </c>
      <c r="N343" s="105">
        <v>1</v>
      </c>
      <c r="O343" s="105">
        <v>1</v>
      </c>
      <c r="P343" s="105">
        <v>0.85</v>
      </c>
      <c r="Q343" s="105" t="s">
        <v>242</v>
      </c>
      <c r="R343" s="105">
        <v>0.85</v>
      </c>
      <c r="S343" s="105" t="s">
        <v>242</v>
      </c>
      <c r="T343" s="107" t="s">
        <v>242</v>
      </c>
      <c r="U343" s="102">
        <v>0.85</v>
      </c>
      <c r="V343" s="108"/>
      <c r="W343" s="109" t="s">
        <v>270</v>
      </c>
      <c r="X343" s="110" t="s">
        <v>259</v>
      </c>
    </row>
    <row r="344" spans="1:24" ht="15" customHeight="1" x14ac:dyDescent="0.2">
      <c r="A344" s="100" t="s">
        <v>241</v>
      </c>
      <c r="B344" s="101" t="s">
        <v>319</v>
      </c>
      <c r="C344" s="101" t="s">
        <v>249</v>
      </c>
      <c r="D344" s="101" t="s">
        <v>260</v>
      </c>
      <c r="E344" s="102" t="s">
        <v>54</v>
      </c>
      <c r="F344" s="102" t="s">
        <v>47</v>
      </c>
      <c r="G344" s="102" t="s">
        <v>251</v>
      </c>
      <c r="H344" s="103" t="s">
        <v>243</v>
      </c>
      <c r="I344" s="103" t="s">
        <v>244</v>
      </c>
      <c r="J344" s="103" t="s">
        <v>257</v>
      </c>
      <c r="K344" s="103" t="s">
        <v>269</v>
      </c>
      <c r="L344" s="103" t="s">
        <v>269</v>
      </c>
      <c r="M344" s="104" t="s">
        <v>242</v>
      </c>
      <c r="N344" s="105">
        <v>1</v>
      </c>
      <c r="O344" s="105">
        <v>1.5</v>
      </c>
      <c r="P344" s="105">
        <v>0.95</v>
      </c>
      <c r="Q344" s="105" t="s">
        <v>242</v>
      </c>
      <c r="R344" s="105">
        <v>1.42</v>
      </c>
      <c r="S344" s="105" t="s">
        <v>242</v>
      </c>
      <c r="T344" s="107" t="s">
        <v>242</v>
      </c>
      <c r="U344" s="102">
        <v>1.42</v>
      </c>
      <c r="V344" s="108"/>
      <c r="W344" s="109" t="s">
        <v>270</v>
      </c>
      <c r="X344" s="110" t="s">
        <v>259</v>
      </c>
    </row>
    <row r="345" spans="1:24" ht="15" customHeight="1" x14ac:dyDescent="0.2">
      <c r="A345" s="100" t="s">
        <v>241</v>
      </c>
      <c r="B345" s="101" t="s">
        <v>242</v>
      </c>
      <c r="C345" s="101" t="s">
        <v>242</v>
      </c>
      <c r="D345" s="101" t="s">
        <v>242</v>
      </c>
      <c r="E345" s="102" t="s">
        <v>242</v>
      </c>
      <c r="F345" s="102" t="s">
        <v>242</v>
      </c>
      <c r="G345" s="102" t="s">
        <v>242</v>
      </c>
      <c r="H345" s="103" t="s">
        <v>243</v>
      </c>
      <c r="I345" s="103" t="s">
        <v>244</v>
      </c>
      <c r="J345" s="103" t="s">
        <v>257</v>
      </c>
      <c r="K345" s="103" t="s">
        <v>271</v>
      </c>
      <c r="L345" s="103" t="s">
        <v>271</v>
      </c>
      <c r="M345" s="104" t="s">
        <v>242</v>
      </c>
      <c r="N345" s="105" t="s">
        <v>242</v>
      </c>
      <c r="O345" s="105" t="s">
        <v>242</v>
      </c>
      <c r="P345" s="105" t="s">
        <v>242</v>
      </c>
      <c r="Q345" s="105" t="s">
        <v>242</v>
      </c>
      <c r="R345" s="105" t="s">
        <v>242</v>
      </c>
      <c r="S345" s="105" t="s">
        <v>242</v>
      </c>
      <c r="T345" s="107" t="s">
        <v>242</v>
      </c>
      <c r="U345" s="102" t="s">
        <v>242</v>
      </c>
      <c r="V345" s="108">
        <v>295</v>
      </c>
      <c r="W345" s="109" t="s">
        <v>179</v>
      </c>
      <c r="X345" s="110" t="s">
        <v>259</v>
      </c>
    </row>
    <row r="346" spans="1:24" ht="15" customHeight="1" x14ac:dyDescent="0.2">
      <c r="A346" s="100" t="s">
        <v>241</v>
      </c>
      <c r="B346" s="101" t="s">
        <v>319</v>
      </c>
      <c r="C346" s="101" t="s">
        <v>249</v>
      </c>
      <c r="D346" s="101" t="s">
        <v>242</v>
      </c>
      <c r="E346" s="102" t="s">
        <v>242</v>
      </c>
      <c r="F346" s="102" t="s">
        <v>242</v>
      </c>
      <c r="G346" s="102" t="s">
        <v>251</v>
      </c>
      <c r="H346" s="103" t="s">
        <v>243</v>
      </c>
      <c r="I346" s="103" t="s">
        <v>244</v>
      </c>
      <c r="J346" s="103" t="s">
        <v>257</v>
      </c>
      <c r="K346" s="103" t="s">
        <v>271</v>
      </c>
      <c r="L346" s="103" t="s">
        <v>271</v>
      </c>
      <c r="M346" s="58" t="s">
        <v>51</v>
      </c>
      <c r="N346" s="105">
        <v>1</v>
      </c>
      <c r="O346" s="105">
        <v>118</v>
      </c>
      <c r="P346" s="105" t="s">
        <v>242</v>
      </c>
      <c r="Q346" s="105" t="s">
        <v>242</v>
      </c>
      <c r="R346" s="105">
        <v>118</v>
      </c>
      <c r="S346" s="105" t="s">
        <v>242</v>
      </c>
      <c r="T346" s="107" t="s">
        <v>242</v>
      </c>
      <c r="U346" s="102">
        <v>118</v>
      </c>
      <c r="V346" s="108"/>
      <c r="W346" s="109" t="s">
        <v>179</v>
      </c>
      <c r="X346" s="110" t="s">
        <v>259</v>
      </c>
    </row>
    <row r="347" spans="1:24" ht="15" customHeight="1" x14ac:dyDescent="0.2">
      <c r="A347" s="100" t="s">
        <v>241</v>
      </c>
      <c r="B347" s="101" t="s">
        <v>319</v>
      </c>
      <c r="C347" s="101" t="s">
        <v>249</v>
      </c>
      <c r="D347" s="101" t="s">
        <v>242</v>
      </c>
      <c r="E347" s="102" t="s">
        <v>242</v>
      </c>
      <c r="F347" s="102" t="s">
        <v>242</v>
      </c>
      <c r="G347" s="102" t="s">
        <v>251</v>
      </c>
      <c r="H347" s="103" t="s">
        <v>243</v>
      </c>
      <c r="I347" s="103" t="s">
        <v>244</v>
      </c>
      <c r="J347" s="103" t="s">
        <v>257</v>
      </c>
      <c r="K347" s="103" t="s">
        <v>271</v>
      </c>
      <c r="L347" s="103" t="s">
        <v>271</v>
      </c>
      <c r="M347" s="58" t="s">
        <v>49</v>
      </c>
      <c r="N347" s="105">
        <v>1</v>
      </c>
      <c r="O347" s="105">
        <v>8</v>
      </c>
      <c r="P347" s="105" t="s">
        <v>242</v>
      </c>
      <c r="Q347" s="105" t="s">
        <v>242</v>
      </c>
      <c r="R347" s="105">
        <v>8</v>
      </c>
      <c r="S347" s="105">
        <v>11</v>
      </c>
      <c r="T347" s="107" t="s">
        <v>242</v>
      </c>
      <c r="U347" s="102">
        <v>88</v>
      </c>
      <c r="V347" s="108"/>
      <c r="W347" s="109" t="s">
        <v>179</v>
      </c>
      <c r="X347" s="110" t="s">
        <v>259</v>
      </c>
    </row>
    <row r="348" spans="1:24" ht="15" customHeight="1" x14ac:dyDescent="0.2">
      <c r="A348" s="100" t="s">
        <v>241</v>
      </c>
      <c r="B348" s="101" t="s">
        <v>319</v>
      </c>
      <c r="C348" s="101" t="s">
        <v>249</v>
      </c>
      <c r="D348" s="101" t="s">
        <v>242</v>
      </c>
      <c r="E348" s="102" t="s">
        <v>242</v>
      </c>
      <c r="F348" s="102" t="s">
        <v>242</v>
      </c>
      <c r="G348" s="102" t="s">
        <v>251</v>
      </c>
      <c r="H348" s="103" t="s">
        <v>243</v>
      </c>
      <c r="I348" s="103" t="s">
        <v>244</v>
      </c>
      <c r="J348" s="103" t="s">
        <v>257</v>
      </c>
      <c r="K348" s="103" t="s">
        <v>271</v>
      </c>
      <c r="L348" s="103" t="s">
        <v>271</v>
      </c>
      <c r="M348" s="58" t="s">
        <v>52</v>
      </c>
      <c r="N348" s="105">
        <v>1</v>
      </c>
      <c r="O348" s="105">
        <v>59</v>
      </c>
      <c r="P348" s="105" t="s">
        <v>242</v>
      </c>
      <c r="Q348" s="105" t="s">
        <v>242</v>
      </c>
      <c r="R348" s="105">
        <v>59</v>
      </c>
      <c r="S348" s="105" t="s">
        <v>242</v>
      </c>
      <c r="T348" s="107" t="s">
        <v>242</v>
      </c>
      <c r="U348" s="102">
        <v>59</v>
      </c>
      <c r="V348" s="108"/>
      <c r="W348" s="109" t="s">
        <v>179</v>
      </c>
      <c r="X348" s="110" t="s">
        <v>259</v>
      </c>
    </row>
    <row r="349" spans="1:24" ht="15" customHeight="1" x14ac:dyDescent="0.2">
      <c r="A349" s="100" t="s">
        <v>241</v>
      </c>
      <c r="B349" s="101" t="s">
        <v>319</v>
      </c>
      <c r="C349" s="101" t="s">
        <v>249</v>
      </c>
      <c r="D349" s="101" t="s">
        <v>242</v>
      </c>
      <c r="E349" s="102" t="s">
        <v>242</v>
      </c>
      <c r="F349" s="102" t="s">
        <v>242</v>
      </c>
      <c r="G349" s="102" t="s">
        <v>251</v>
      </c>
      <c r="H349" s="103" t="s">
        <v>243</v>
      </c>
      <c r="I349" s="103" t="s">
        <v>244</v>
      </c>
      <c r="J349" s="103" t="s">
        <v>257</v>
      </c>
      <c r="K349" s="103" t="s">
        <v>271</v>
      </c>
      <c r="L349" s="103" t="s">
        <v>271</v>
      </c>
      <c r="M349" s="58" t="s">
        <v>50</v>
      </c>
      <c r="N349" s="105">
        <v>1</v>
      </c>
      <c r="O349" s="105">
        <v>30</v>
      </c>
      <c r="P349" s="105" t="s">
        <v>242</v>
      </c>
      <c r="Q349" s="105" t="s">
        <v>242</v>
      </c>
      <c r="R349" s="105">
        <v>30</v>
      </c>
      <c r="S349" s="105" t="s">
        <v>242</v>
      </c>
      <c r="T349" s="107" t="s">
        <v>242</v>
      </c>
      <c r="U349" s="102">
        <v>30</v>
      </c>
      <c r="V349" s="108"/>
      <c r="W349" s="109" t="s">
        <v>179</v>
      </c>
      <c r="X349" s="110" t="s">
        <v>259</v>
      </c>
    </row>
    <row r="350" spans="1:24" ht="15" customHeight="1" x14ac:dyDescent="0.2">
      <c r="A350" s="100" t="s">
        <v>241</v>
      </c>
      <c r="B350" s="101" t="s">
        <v>242</v>
      </c>
      <c r="C350" s="101" t="s">
        <v>242</v>
      </c>
      <c r="D350" s="101" t="s">
        <v>242</v>
      </c>
      <c r="E350" s="102" t="s">
        <v>242</v>
      </c>
      <c r="F350" s="102" t="s">
        <v>242</v>
      </c>
      <c r="G350" s="102" t="s">
        <v>242</v>
      </c>
      <c r="H350" s="103" t="s">
        <v>243</v>
      </c>
      <c r="I350" s="103" t="s">
        <v>244</v>
      </c>
      <c r="J350" s="103" t="s">
        <v>257</v>
      </c>
      <c r="K350" s="103" t="s">
        <v>276</v>
      </c>
      <c r="L350" s="103" t="s">
        <v>276</v>
      </c>
      <c r="M350" s="104" t="s">
        <v>242</v>
      </c>
      <c r="N350" s="105" t="s">
        <v>242</v>
      </c>
      <c r="O350" s="105" t="s">
        <v>242</v>
      </c>
      <c r="P350" s="105" t="s">
        <v>242</v>
      </c>
      <c r="Q350" s="105" t="s">
        <v>242</v>
      </c>
      <c r="R350" s="105" t="s">
        <v>242</v>
      </c>
      <c r="S350" s="105" t="s">
        <v>242</v>
      </c>
      <c r="T350" s="107" t="s">
        <v>242</v>
      </c>
      <c r="U350" s="102" t="s">
        <v>242</v>
      </c>
      <c r="V350" s="108">
        <v>1.7999999999999998</v>
      </c>
      <c r="W350" s="109" t="s">
        <v>270</v>
      </c>
      <c r="X350" s="110" t="s">
        <v>259</v>
      </c>
    </row>
    <row r="351" spans="1:24" ht="15" customHeight="1" x14ac:dyDescent="0.2">
      <c r="A351" s="100" t="s">
        <v>241</v>
      </c>
      <c r="B351" s="101" t="s">
        <v>319</v>
      </c>
      <c r="C351" s="101" t="s">
        <v>249</v>
      </c>
      <c r="D351" s="101" t="s">
        <v>250</v>
      </c>
      <c r="E351" s="102" t="s">
        <v>41</v>
      </c>
      <c r="F351" s="102" t="s">
        <v>47</v>
      </c>
      <c r="G351" s="102" t="s">
        <v>251</v>
      </c>
      <c r="H351" s="103" t="s">
        <v>243</v>
      </c>
      <c r="I351" s="103" t="s">
        <v>244</v>
      </c>
      <c r="J351" s="103" t="s">
        <v>257</v>
      </c>
      <c r="K351" s="103" t="s">
        <v>276</v>
      </c>
      <c r="L351" s="103" t="s">
        <v>276</v>
      </c>
      <c r="M351" s="104" t="s">
        <v>242</v>
      </c>
      <c r="N351" s="105">
        <v>1</v>
      </c>
      <c r="O351" s="105">
        <v>6</v>
      </c>
      <c r="P351" s="105">
        <v>0.2</v>
      </c>
      <c r="Q351" s="105" t="s">
        <v>242</v>
      </c>
      <c r="R351" s="105">
        <v>1.2</v>
      </c>
      <c r="S351" s="105">
        <v>1</v>
      </c>
      <c r="T351" s="107" t="s">
        <v>242</v>
      </c>
      <c r="U351" s="102">
        <v>1.2</v>
      </c>
      <c r="V351" s="108"/>
      <c r="W351" s="109" t="s">
        <v>270</v>
      </c>
      <c r="X351" s="110" t="s">
        <v>259</v>
      </c>
    </row>
    <row r="352" spans="1:24" ht="15" customHeight="1" x14ac:dyDescent="0.2">
      <c r="A352" s="100" t="s">
        <v>241</v>
      </c>
      <c r="B352" s="101" t="s">
        <v>319</v>
      </c>
      <c r="C352" s="101" t="s">
        <v>249</v>
      </c>
      <c r="D352" s="101" t="s">
        <v>260</v>
      </c>
      <c r="E352" s="102" t="s">
        <v>222</v>
      </c>
      <c r="F352" s="102" t="s">
        <v>47</v>
      </c>
      <c r="G352" s="102" t="s">
        <v>251</v>
      </c>
      <c r="H352" s="103" t="s">
        <v>243</v>
      </c>
      <c r="I352" s="103" t="s">
        <v>244</v>
      </c>
      <c r="J352" s="103" t="s">
        <v>257</v>
      </c>
      <c r="K352" s="103" t="s">
        <v>276</v>
      </c>
      <c r="L352" s="103" t="s">
        <v>276</v>
      </c>
      <c r="M352" s="104" t="s">
        <v>242</v>
      </c>
      <c r="N352" s="105">
        <v>1</v>
      </c>
      <c r="O352" s="105">
        <v>3</v>
      </c>
      <c r="P352" s="105">
        <v>0.2</v>
      </c>
      <c r="Q352" s="105" t="s">
        <v>242</v>
      </c>
      <c r="R352" s="105">
        <v>0.6</v>
      </c>
      <c r="S352" s="105">
        <v>1</v>
      </c>
      <c r="T352" s="107" t="s">
        <v>242</v>
      </c>
      <c r="U352" s="102">
        <v>0.6</v>
      </c>
      <c r="V352" s="108"/>
      <c r="W352" s="109" t="s">
        <v>270</v>
      </c>
      <c r="X352" s="110" t="s">
        <v>259</v>
      </c>
    </row>
    <row r="353" spans="1:24" ht="15" customHeight="1" x14ac:dyDescent="0.25">
      <c r="A353" s="48"/>
      <c r="B353" s="49"/>
      <c r="C353" s="48"/>
      <c r="D353" s="48"/>
      <c r="E353" s="53"/>
      <c r="F353" s="46"/>
      <c r="G353" s="46"/>
      <c r="H353" s="46"/>
      <c r="I353" s="46"/>
      <c r="J353" s="46"/>
      <c r="K353" s="46"/>
      <c r="L353" s="46"/>
      <c r="M353" s="48"/>
      <c r="N353" s="48"/>
      <c r="O353" s="49"/>
      <c r="P353" s="48"/>
      <c r="Q353" s="48"/>
      <c r="R353" s="48"/>
      <c r="S353" s="46"/>
      <c r="T353" s="48"/>
      <c r="U353" s="48"/>
      <c r="V353" s="25"/>
      <c r="W353" s="25"/>
      <c r="X353" s="25"/>
    </row>
    <row r="354" spans="1:24" ht="15" customHeight="1" x14ac:dyDescent="0.25">
      <c r="A354" s="48"/>
      <c r="B354" s="49"/>
      <c r="C354" s="48"/>
      <c r="D354" s="48"/>
      <c r="E354" s="53"/>
      <c r="F354" s="46"/>
      <c r="G354" s="46"/>
      <c r="H354" s="46"/>
      <c r="I354" s="46"/>
      <c r="J354" s="46"/>
      <c r="K354" s="46"/>
      <c r="L354" s="46"/>
      <c r="M354" s="48"/>
      <c r="N354" s="48"/>
      <c r="O354" s="49"/>
      <c r="P354" s="48"/>
      <c r="Q354" s="48"/>
      <c r="R354" s="48"/>
      <c r="S354" s="46"/>
      <c r="T354" s="48"/>
      <c r="U354" s="48"/>
      <c r="V354" s="25"/>
      <c r="W354" s="25"/>
      <c r="X354" s="25"/>
    </row>
    <row r="355" spans="1:24" ht="15" customHeight="1" x14ac:dyDescent="0.2">
      <c r="A355" s="100" t="s">
        <v>241</v>
      </c>
      <c r="B355" s="101" t="s">
        <v>242</v>
      </c>
      <c r="C355" s="101" t="s">
        <v>242</v>
      </c>
      <c r="D355" s="101" t="s">
        <v>242</v>
      </c>
      <c r="E355" s="102" t="s">
        <v>242</v>
      </c>
      <c r="F355" s="102" t="s">
        <v>242</v>
      </c>
      <c r="G355" s="102" t="s">
        <v>242</v>
      </c>
      <c r="H355" s="103" t="s">
        <v>243</v>
      </c>
      <c r="I355" s="103" t="s">
        <v>244</v>
      </c>
      <c r="J355" s="103" t="s">
        <v>257</v>
      </c>
      <c r="K355" s="103" t="s">
        <v>278</v>
      </c>
      <c r="L355" s="103" t="s">
        <v>278</v>
      </c>
      <c r="M355" s="104" t="s">
        <v>242</v>
      </c>
      <c r="N355" s="105" t="s">
        <v>242</v>
      </c>
      <c r="O355" s="105" t="s">
        <v>242</v>
      </c>
      <c r="P355" s="105" t="s">
        <v>242</v>
      </c>
      <c r="Q355" s="105" t="s">
        <v>242</v>
      </c>
      <c r="R355" s="105" t="s">
        <v>242</v>
      </c>
      <c r="S355" s="106" t="s">
        <v>242</v>
      </c>
      <c r="T355" s="107" t="s">
        <v>242</v>
      </c>
      <c r="U355" s="102" t="s">
        <v>242</v>
      </c>
      <c r="V355" s="108">
        <v>14</v>
      </c>
      <c r="W355" s="109" t="s">
        <v>179</v>
      </c>
      <c r="X355" s="110" t="s">
        <v>259</v>
      </c>
    </row>
    <row r="356" spans="1:24" ht="15" customHeight="1" x14ac:dyDescent="0.2">
      <c r="A356" s="100" t="s">
        <v>241</v>
      </c>
      <c r="B356" s="101" t="s">
        <v>320</v>
      </c>
      <c r="C356" s="101" t="s">
        <v>249</v>
      </c>
      <c r="D356" s="101" t="s">
        <v>254</v>
      </c>
      <c r="E356" s="102" t="s">
        <v>53</v>
      </c>
      <c r="F356" s="102" t="s">
        <v>42</v>
      </c>
      <c r="G356" s="102" t="s">
        <v>251</v>
      </c>
      <c r="H356" s="103" t="s">
        <v>243</v>
      </c>
      <c r="I356" s="103" t="s">
        <v>244</v>
      </c>
      <c r="J356" s="103" t="s">
        <v>257</v>
      </c>
      <c r="K356" s="103" t="s">
        <v>278</v>
      </c>
      <c r="L356" s="103" t="s">
        <v>278</v>
      </c>
      <c r="M356" s="104" t="s">
        <v>242</v>
      </c>
      <c r="N356" s="105">
        <v>1</v>
      </c>
      <c r="O356" s="105">
        <v>5</v>
      </c>
      <c r="P356" s="105" t="s">
        <v>242</v>
      </c>
      <c r="Q356" s="105" t="s">
        <v>242</v>
      </c>
      <c r="R356" s="105">
        <v>5</v>
      </c>
      <c r="S356" s="105">
        <v>1</v>
      </c>
      <c r="T356" s="107" t="s">
        <v>242</v>
      </c>
      <c r="U356" s="102">
        <v>5</v>
      </c>
      <c r="V356" s="108"/>
      <c r="W356" s="109" t="s">
        <v>179</v>
      </c>
      <c r="X356" s="110" t="s">
        <v>259</v>
      </c>
    </row>
    <row r="357" spans="1:24" ht="15" customHeight="1" x14ac:dyDescent="0.2">
      <c r="A357" s="100" t="s">
        <v>241</v>
      </c>
      <c r="B357" s="101" t="s">
        <v>320</v>
      </c>
      <c r="C357" s="101" t="s">
        <v>249</v>
      </c>
      <c r="D357" s="101" t="s">
        <v>250</v>
      </c>
      <c r="E357" s="102" t="s">
        <v>41</v>
      </c>
      <c r="F357" s="102" t="s">
        <v>44</v>
      </c>
      <c r="G357" s="102" t="s">
        <v>251</v>
      </c>
      <c r="H357" s="103" t="s">
        <v>243</v>
      </c>
      <c r="I357" s="103" t="s">
        <v>244</v>
      </c>
      <c r="J357" s="103" t="s">
        <v>257</v>
      </c>
      <c r="K357" s="103" t="s">
        <v>278</v>
      </c>
      <c r="L357" s="103" t="s">
        <v>278</v>
      </c>
      <c r="M357" s="104" t="s">
        <v>242</v>
      </c>
      <c r="N357" s="105">
        <v>1</v>
      </c>
      <c r="O357" s="105">
        <v>4</v>
      </c>
      <c r="P357" s="105" t="s">
        <v>242</v>
      </c>
      <c r="Q357" s="105" t="s">
        <v>242</v>
      </c>
      <c r="R357" s="105">
        <v>4</v>
      </c>
      <c r="S357" s="105">
        <v>1</v>
      </c>
      <c r="T357" s="107" t="s">
        <v>242</v>
      </c>
      <c r="U357" s="102">
        <v>4</v>
      </c>
      <c r="V357" s="108"/>
      <c r="W357" s="109" t="s">
        <v>179</v>
      </c>
      <c r="X357" s="110" t="s">
        <v>259</v>
      </c>
    </row>
    <row r="358" spans="1:24" ht="15" customHeight="1" x14ac:dyDescent="0.2">
      <c r="A358" s="100" t="s">
        <v>241</v>
      </c>
      <c r="B358" s="101" t="s">
        <v>320</v>
      </c>
      <c r="C358" s="101" t="s">
        <v>249</v>
      </c>
      <c r="D358" s="101" t="s">
        <v>260</v>
      </c>
      <c r="E358" s="102" t="s">
        <v>302</v>
      </c>
      <c r="F358" s="102" t="s">
        <v>44</v>
      </c>
      <c r="G358" s="102" t="s">
        <v>251</v>
      </c>
      <c r="H358" s="103" t="s">
        <v>243</v>
      </c>
      <c r="I358" s="103" t="s">
        <v>244</v>
      </c>
      <c r="J358" s="103" t="s">
        <v>257</v>
      </c>
      <c r="K358" s="103" t="s">
        <v>278</v>
      </c>
      <c r="L358" s="103" t="s">
        <v>278</v>
      </c>
      <c r="M358" s="104" t="s">
        <v>242</v>
      </c>
      <c r="N358" s="105">
        <v>1</v>
      </c>
      <c r="O358" s="105">
        <v>5</v>
      </c>
      <c r="P358" s="105" t="s">
        <v>242</v>
      </c>
      <c r="Q358" s="105" t="s">
        <v>242</v>
      </c>
      <c r="R358" s="105">
        <v>5</v>
      </c>
      <c r="S358" s="105">
        <v>1</v>
      </c>
      <c r="T358" s="107" t="s">
        <v>242</v>
      </c>
      <c r="U358" s="102">
        <v>5</v>
      </c>
      <c r="V358" s="108"/>
      <c r="W358" s="109" t="s">
        <v>179</v>
      </c>
      <c r="X358" s="110" t="s">
        <v>259</v>
      </c>
    </row>
    <row r="359" spans="1:24" ht="15" customHeight="1" x14ac:dyDescent="0.2">
      <c r="A359" s="100" t="s">
        <v>241</v>
      </c>
      <c r="B359" s="101" t="s">
        <v>242</v>
      </c>
      <c r="C359" s="101" t="s">
        <v>242</v>
      </c>
      <c r="D359" s="101" t="s">
        <v>242</v>
      </c>
      <c r="E359" s="102" t="s">
        <v>242</v>
      </c>
      <c r="F359" s="102" t="s">
        <v>242</v>
      </c>
      <c r="G359" s="102" t="s">
        <v>242</v>
      </c>
      <c r="H359" s="103" t="s">
        <v>243</v>
      </c>
      <c r="I359" s="103" t="s">
        <v>244</v>
      </c>
      <c r="J359" s="103" t="s">
        <v>257</v>
      </c>
      <c r="K359" s="103" t="s">
        <v>258</v>
      </c>
      <c r="L359" s="103" t="s">
        <v>258</v>
      </c>
      <c r="M359" s="104" t="s">
        <v>242</v>
      </c>
      <c r="N359" s="105" t="s">
        <v>242</v>
      </c>
      <c r="O359" s="105" t="s">
        <v>242</v>
      </c>
      <c r="P359" s="105" t="s">
        <v>242</v>
      </c>
      <c r="Q359" s="105" t="s">
        <v>242</v>
      </c>
      <c r="R359" s="105" t="s">
        <v>242</v>
      </c>
      <c r="S359" s="105" t="s">
        <v>242</v>
      </c>
      <c r="T359" s="107" t="s">
        <v>242</v>
      </c>
      <c r="U359" s="102" t="s">
        <v>242</v>
      </c>
      <c r="V359" s="108">
        <v>15</v>
      </c>
      <c r="W359" s="109" t="s">
        <v>179</v>
      </c>
      <c r="X359" s="110" t="s">
        <v>259</v>
      </c>
    </row>
    <row r="360" spans="1:24" ht="15" customHeight="1" x14ac:dyDescent="0.2">
      <c r="A360" s="100" t="s">
        <v>241</v>
      </c>
      <c r="B360" s="101" t="s">
        <v>320</v>
      </c>
      <c r="C360" s="101" t="s">
        <v>249</v>
      </c>
      <c r="D360" s="101" t="s">
        <v>250</v>
      </c>
      <c r="E360" s="102" t="s">
        <v>41</v>
      </c>
      <c r="F360" s="102" t="s">
        <v>279</v>
      </c>
      <c r="G360" s="102" t="s">
        <v>251</v>
      </c>
      <c r="H360" s="103" t="s">
        <v>243</v>
      </c>
      <c r="I360" s="103" t="s">
        <v>244</v>
      </c>
      <c r="J360" s="103" t="s">
        <v>257</v>
      </c>
      <c r="K360" s="103" t="s">
        <v>258</v>
      </c>
      <c r="L360" s="103" t="s">
        <v>258</v>
      </c>
      <c r="M360" s="104" t="s">
        <v>242</v>
      </c>
      <c r="N360" s="105">
        <v>1</v>
      </c>
      <c r="O360" s="105" t="s">
        <v>321</v>
      </c>
      <c r="P360" s="105" t="s">
        <v>242</v>
      </c>
      <c r="Q360" s="105" t="s">
        <v>242</v>
      </c>
      <c r="R360" s="105">
        <v>15</v>
      </c>
      <c r="S360" s="105">
        <v>1</v>
      </c>
      <c r="T360" s="107" t="s">
        <v>242</v>
      </c>
      <c r="U360" s="102">
        <v>15</v>
      </c>
      <c r="V360" s="108"/>
      <c r="W360" s="109" t="s">
        <v>179</v>
      </c>
      <c r="X360" s="110" t="s">
        <v>259</v>
      </c>
    </row>
    <row r="361" spans="1:24" ht="15" customHeight="1" x14ac:dyDescent="0.2">
      <c r="A361" s="100" t="s">
        <v>241</v>
      </c>
      <c r="B361" s="101" t="s">
        <v>242</v>
      </c>
      <c r="C361" s="101" t="s">
        <v>242</v>
      </c>
      <c r="D361" s="101" t="s">
        <v>242</v>
      </c>
      <c r="E361" s="102" t="s">
        <v>242</v>
      </c>
      <c r="F361" s="102" t="s">
        <v>242</v>
      </c>
      <c r="G361" s="102" t="s">
        <v>242</v>
      </c>
      <c r="H361" s="103" t="s">
        <v>243</v>
      </c>
      <c r="I361" s="103" t="s">
        <v>244</v>
      </c>
      <c r="J361" s="103" t="s">
        <v>257</v>
      </c>
      <c r="K361" s="103" t="s">
        <v>261</v>
      </c>
      <c r="L361" s="103" t="s">
        <v>261</v>
      </c>
      <c r="M361" s="104" t="s">
        <v>242</v>
      </c>
      <c r="N361" s="105" t="s">
        <v>242</v>
      </c>
      <c r="O361" s="105" t="s">
        <v>242</v>
      </c>
      <c r="P361" s="105" t="s">
        <v>242</v>
      </c>
      <c r="Q361" s="105" t="s">
        <v>242</v>
      </c>
      <c r="R361" s="105" t="s">
        <v>242</v>
      </c>
      <c r="S361" s="105" t="s">
        <v>242</v>
      </c>
      <c r="T361" s="107" t="s">
        <v>242</v>
      </c>
      <c r="U361" s="102" t="s">
        <v>242</v>
      </c>
      <c r="V361" s="108">
        <v>200</v>
      </c>
      <c r="W361" s="109" t="s">
        <v>262</v>
      </c>
      <c r="X361" s="110" t="s">
        <v>259</v>
      </c>
    </row>
    <row r="362" spans="1:24" ht="15" customHeight="1" x14ac:dyDescent="0.2">
      <c r="A362" s="100" t="s">
        <v>241</v>
      </c>
      <c r="B362" s="101" t="s">
        <v>320</v>
      </c>
      <c r="C362" s="101" t="s">
        <v>249</v>
      </c>
      <c r="D362" s="101" t="s">
        <v>242</v>
      </c>
      <c r="E362" s="102" t="s">
        <v>242</v>
      </c>
      <c r="F362" s="102" t="s">
        <v>242</v>
      </c>
      <c r="G362" s="102" t="s">
        <v>251</v>
      </c>
      <c r="H362" s="103" t="s">
        <v>243</v>
      </c>
      <c r="I362" s="103" t="s">
        <v>244</v>
      </c>
      <c r="J362" s="103" t="s">
        <v>257</v>
      </c>
      <c r="K362" s="103" t="s">
        <v>261</v>
      </c>
      <c r="L362" s="103" t="s">
        <v>261</v>
      </c>
      <c r="M362" s="104" t="s">
        <v>242</v>
      </c>
      <c r="N362" s="105">
        <v>200</v>
      </c>
      <c r="O362" s="105" t="s">
        <v>242</v>
      </c>
      <c r="P362" s="105" t="s">
        <v>242</v>
      </c>
      <c r="Q362" s="105" t="s">
        <v>242</v>
      </c>
      <c r="R362" s="105">
        <v>200</v>
      </c>
      <c r="S362" s="105">
        <v>1</v>
      </c>
      <c r="T362" s="107" t="s">
        <v>242</v>
      </c>
      <c r="U362" s="102">
        <v>200</v>
      </c>
      <c r="V362" s="108"/>
      <c r="W362" s="109" t="s">
        <v>262</v>
      </c>
      <c r="X362" s="110" t="s">
        <v>259</v>
      </c>
    </row>
    <row r="363" spans="1:24" ht="15" customHeight="1" x14ac:dyDescent="0.2">
      <c r="A363" s="100" t="s">
        <v>241</v>
      </c>
      <c r="B363" s="101" t="s">
        <v>242</v>
      </c>
      <c r="C363" s="101" t="s">
        <v>242</v>
      </c>
      <c r="D363" s="101" t="s">
        <v>242</v>
      </c>
      <c r="E363" s="102" t="s">
        <v>242</v>
      </c>
      <c r="F363" s="102" t="s">
        <v>242</v>
      </c>
      <c r="G363" s="102" t="s">
        <v>242</v>
      </c>
      <c r="H363" s="103" t="s">
        <v>243</v>
      </c>
      <c r="I363" s="103" t="s">
        <v>244</v>
      </c>
      <c r="J363" s="103" t="s">
        <v>257</v>
      </c>
      <c r="K363" s="103" t="s">
        <v>264</v>
      </c>
      <c r="L363" s="103" t="s">
        <v>264</v>
      </c>
      <c r="M363" s="104" t="s">
        <v>242</v>
      </c>
      <c r="N363" s="105" t="s">
        <v>242</v>
      </c>
      <c r="O363" s="105" t="s">
        <v>242</v>
      </c>
      <c r="P363" s="105" t="s">
        <v>242</v>
      </c>
      <c r="Q363" s="105" t="s">
        <v>242</v>
      </c>
      <c r="R363" s="105" t="s">
        <v>242</v>
      </c>
      <c r="S363" s="105" t="s">
        <v>242</v>
      </c>
      <c r="T363" s="107" t="s">
        <v>242</v>
      </c>
      <c r="U363" s="102" t="s">
        <v>242</v>
      </c>
      <c r="V363" s="108">
        <v>116.85</v>
      </c>
      <c r="W363" s="109" t="s">
        <v>99</v>
      </c>
      <c r="X363" s="110" t="s">
        <v>259</v>
      </c>
    </row>
    <row r="364" spans="1:24" ht="15" customHeight="1" x14ac:dyDescent="0.2">
      <c r="A364" s="100" t="s">
        <v>241</v>
      </c>
      <c r="B364" s="101" t="s">
        <v>320</v>
      </c>
      <c r="C364" s="101" t="s">
        <v>249</v>
      </c>
      <c r="D364" s="101" t="s">
        <v>242</v>
      </c>
      <c r="E364" s="102" t="s">
        <v>242</v>
      </c>
      <c r="F364" s="102" t="s">
        <v>242</v>
      </c>
      <c r="G364" s="102" t="s">
        <v>251</v>
      </c>
      <c r="H364" s="103" t="s">
        <v>243</v>
      </c>
      <c r="I364" s="103" t="s">
        <v>244</v>
      </c>
      <c r="J364" s="103" t="s">
        <v>257</v>
      </c>
      <c r="K364" s="103" t="s">
        <v>264</v>
      </c>
      <c r="L364" s="103" t="s">
        <v>264</v>
      </c>
      <c r="M364" s="104" t="s">
        <v>242</v>
      </c>
      <c r="N364" s="105">
        <v>116.85</v>
      </c>
      <c r="O364" s="105" t="s">
        <v>242</v>
      </c>
      <c r="P364" s="105" t="s">
        <v>242</v>
      </c>
      <c r="Q364" s="105" t="s">
        <v>242</v>
      </c>
      <c r="R364" s="105">
        <v>116.85</v>
      </c>
      <c r="S364" s="105">
        <v>1</v>
      </c>
      <c r="T364" s="107" t="s">
        <v>242</v>
      </c>
      <c r="U364" s="102">
        <v>116.85</v>
      </c>
      <c r="V364" s="108"/>
      <c r="W364" s="109" t="s">
        <v>99</v>
      </c>
      <c r="X364" s="110" t="s">
        <v>259</v>
      </c>
    </row>
    <row r="365" spans="1:24" ht="15" customHeight="1" x14ac:dyDescent="0.2">
      <c r="A365" s="100" t="s">
        <v>241</v>
      </c>
      <c r="B365" s="101" t="s">
        <v>242</v>
      </c>
      <c r="C365" s="101" t="s">
        <v>242</v>
      </c>
      <c r="D365" s="101" t="s">
        <v>242</v>
      </c>
      <c r="E365" s="102" t="s">
        <v>242</v>
      </c>
      <c r="F365" s="102" t="s">
        <v>242</v>
      </c>
      <c r="G365" s="102" t="s">
        <v>242</v>
      </c>
      <c r="H365" s="103" t="s">
        <v>243</v>
      </c>
      <c r="I365" s="103" t="s">
        <v>244</v>
      </c>
      <c r="J365" s="103" t="s">
        <v>257</v>
      </c>
      <c r="K365" s="103" t="s">
        <v>266</v>
      </c>
      <c r="L365" s="103" t="s">
        <v>266</v>
      </c>
      <c r="M365" s="104" t="s">
        <v>242</v>
      </c>
      <c r="N365" s="105" t="s">
        <v>242</v>
      </c>
      <c r="O365" s="105" t="s">
        <v>242</v>
      </c>
      <c r="P365" s="105" t="s">
        <v>242</v>
      </c>
      <c r="Q365" s="105" t="s">
        <v>242</v>
      </c>
      <c r="R365" s="105" t="s">
        <v>242</v>
      </c>
      <c r="S365" s="105" t="s">
        <v>242</v>
      </c>
      <c r="T365" s="107" t="s">
        <v>242</v>
      </c>
      <c r="U365" s="102" t="s">
        <v>242</v>
      </c>
      <c r="V365" s="108">
        <v>15</v>
      </c>
      <c r="W365" s="109" t="s">
        <v>179</v>
      </c>
      <c r="X365" s="110" t="s">
        <v>259</v>
      </c>
    </row>
    <row r="366" spans="1:24" ht="15" customHeight="1" x14ac:dyDescent="0.2">
      <c r="A366" s="100" t="s">
        <v>241</v>
      </c>
      <c r="B366" s="101" t="s">
        <v>320</v>
      </c>
      <c r="C366" s="101" t="s">
        <v>249</v>
      </c>
      <c r="D366" s="101" t="s">
        <v>260</v>
      </c>
      <c r="E366" s="102" t="s">
        <v>222</v>
      </c>
      <c r="F366" s="102" t="s">
        <v>42</v>
      </c>
      <c r="G366" s="102" t="s">
        <v>251</v>
      </c>
      <c r="H366" s="103" t="s">
        <v>243</v>
      </c>
      <c r="I366" s="103" t="s">
        <v>244</v>
      </c>
      <c r="J366" s="103" t="s">
        <v>257</v>
      </c>
      <c r="K366" s="103" t="s">
        <v>266</v>
      </c>
      <c r="L366" s="103" t="s">
        <v>266</v>
      </c>
      <c r="M366" s="104" t="s">
        <v>242</v>
      </c>
      <c r="N366" s="105">
        <v>1</v>
      </c>
      <c r="O366" s="105">
        <v>15</v>
      </c>
      <c r="P366" s="105" t="s">
        <v>242</v>
      </c>
      <c r="Q366" s="105" t="s">
        <v>242</v>
      </c>
      <c r="R366" s="105">
        <v>15</v>
      </c>
      <c r="S366" s="105">
        <v>1</v>
      </c>
      <c r="T366" s="107" t="s">
        <v>242</v>
      </c>
      <c r="U366" s="102">
        <v>15</v>
      </c>
      <c r="V366" s="108"/>
      <c r="W366" s="109" t="s">
        <v>179</v>
      </c>
      <c r="X366" s="110" t="s">
        <v>259</v>
      </c>
    </row>
    <row r="367" spans="1:24" ht="15" customHeight="1" x14ac:dyDescent="0.2">
      <c r="A367" s="100" t="s">
        <v>241</v>
      </c>
      <c r="B367" s="101" t="s">
        <v>242</v>
      </c>
      <c r="C367" s="101" t="s">
        <v>242</v>
      </c>
      <c r="D367" s="101" t="s">
        <v>242</v>
      </c>
      <c r="E367" s="102" t="s">
        <v>242</v>
      </c>
      <c r="F367" s="102" t="s">
        <v>242</v>
      </c>
      <c r="G367" s="102" t="s">
        <v>242</v>
      </c>
      <c r="H367" s="103" t="s">
        <v>243</v>
      </c>
      <c r="I367" s="103" t="s">
        <v>244</v>
      </c>
      <c r="J367" s="103" t="s">
        <v>257</v>
      </c>
      <c r="K367" s="103" t="s">
        <v>267</v>
      </c>
      <c r="L367" s="103" t="s">
        <v>267</v>
      </c>
      <c r="M367" s="104" t="s">
        <v>242</v>
      </c>
      <c r="N367" s="105" t="s">
        <v>242</v>
      </c>
      <c r="O367" s="105" t="s">
        <v>242</v>
      </c>
      <c r="P367" s="105" t="s">
        <v>242</v>
      </c>
      <c r="Q367" s="105" t="s">
        <v>242</v>
      </c>
      <c r="R367" s="105" t="s">
        <v>242</v>
      </c>
      <c r="S367" s="105" t="s">
        <v>242</v>
      </c>
      <c r="T367" s="107" t="s">
        <v>242</v>
      </c>
      <c r="U367" s="102" t="s">
        <v>242</v>
      </c>
      <c r="V367" s="108">
        <v>4</v>
      </c>
      <c r="W367" s="109" t="s">
        <v>74</v>
      </c>
      <c r="X367" s="110" t="s">
        <v>259</v>
      </c>
    </row>
    <row r="368" spans="1:24" ht="15" customHeight="1" x14ac:dyDescent="0.2">
      <c r="A368" s="100" t="s">
        <v>241</v>
      </c>
      <c r="B368" s="101" t="s">
        <v>320</v>
      </c>
      <c r="C368" s="101" t="s">
        <v>249</v>
      </c>
      <c r="D368" s="101" t="s">
        <v>254</v>
      </c>
      <c r="E368" s="102" t="s">
        <v>53</v>
      </c>
      <c r="F368" s="102" t="s">
        <v>42</v>
      </c>
      <c r="G368" s="102" t="s">
        <v>251</v>
      </c>
      <c r="H368" s="103" t="s">
        <v>243</v>
      </c>
      <c r="I368" s="103" t="s">
        <v>244</v>
      </c>
      <c r="J368" s="103" t="s">
        <v>257</v>
      </c>
      <c r="K368" s="103" t="s">
        <v>267</v>
      </c>
      <c r="L368" s="103" t="s">
        <v>267</v>
      </c>
      <c r="M368" s="104" t="s">
        <v>242</v>
      </c>
      <c r="N368" s="105">
        <v>4</v>
      </c>
      <c r="O368" s="105" t="s">
        <v>242</v>
      </c>
      <c r="P368" s="105" t="s">
        <v>242</v>
      </c>
      <c r="Q368" s="105" t="s">
        <v>242</v>
      </c>
      <c r="R368" s="105">
        <v>4</v>
      </c>
      <c r="S368" s="105">
        <v>1</v>
      </c>
      <c r="T368" s="107" t="s">
        <v>242</v>
      </c>
      <c r="U368" s="102">
        <v>4</v>
      </c>
      <c r="V368" s="108"/>
      <c r="W368" s="109" t="s">
        <v>74</v>
      </c>
      <c r="X368" s="110" t="s">
        <v>259</v>
      </c>
    </row>
    <row r="369" spans="1:24" ht="15" customHeight="1" x14ac:dyDescent="0.2">
      <c r="A369" s="100" t="s">
        <v>241</v>
      </c>
      <c r="B369" s="101" t="s">
        <v>242</v>
      </c>
      <c r="C369" s="101" t="s">
        <v>242</v>
      </c>
      <c r="D369" s="101" t="s">
        <v>242</v>
      </c>
      <c r="E369" s="102" t="s">
        <v>242</v>
      </c>
      <c r="F369" s="102" t="s">
        <v>242</v>
      </c>
      <c r="G369" s="102" t="s">
        <v>242</v>
      </c>
      <c r="H369" s="103" t="s">
        <v>243</v>
      </c>
      <c r="I369" s="103" t="s">
        <v>244</v>
      </c>
      <c r="J369" s="103" t="s">
        <v>257</v>
      </c>
      <c r="K369" s="103" t="s">
        <v>268</v>
      </c>
      <c r="L369" s="103" t="s">
        <v>268</v>
      </c>
      <c r="M369" s="104" t="s">
        <v>242</v>
      </c>
      <c r="N369" s="105" t="s">
        <v>242</v>
      </c>
      <c r="O369" s="105" t="s">
        <v>242</v>
      </c>
      <c r="P369" s="105" t="s">
        <v>242</v>
      </c>
      <c r="Q369" s="105" t="s">
        <v>242</v>
      </c>
      <c r="R369" s="105" t="s">
        <v>242</v>
      </c>
      <c r="S369" s="105" t="s">
        <v>242</v>
      </c>
      <c r="T369" s="107" t="s">
        <v>242</v>
      </c>
      <c r="U369" s="102" t="s">
        <v>242</v>
      </c>
      <c r="V369" s="108">
        <v>280</v>
      </c>
      <c r="W369" s="109" t="s">
        <v>74</v>
      </c>
      <c r="X369" s="110" t="s">
        <v>259</v>
      </c>
    </row>
    <row r="370" spans="1:24" ht="15" customHeight="1" x14ac:dyDescent="0.2">
      <c r="A370" s="100" t="s">
        <v>241</v>
      </c>
      <c r="B370" s="101" t="s">
        <v>320</v>
      </c>
      <c r="C370" s="101" t="s">
        <v>249</v>
      </c>
      <c r="D370" s="101" t="s">
        <v>242</v>
      </c>
      <c r="E370" s="102" t="s">
        <v>242</v>
      </c>
      <c r="F370" s="102" t="s">
        <v>242</v>
      </c>
      <c r="G370" s="102" t="s">
        <v>251</v>
      </c>
      <c r="H370" s="103" t="s">
        <v>243</v>
      </c>
      <c r="I370" s="103" t="s">
        <v>244</v>
      </c>
      <c r="J370" s="103" t="s">
        <v>257</v>
      </c>
      <c r="K370" s="103" t="s">
        <v>268</v>
      </c>
      <c r="L370" s="103" t="s">
        <v>268</v>
      </c>
      <c r="M370" s="104" t="s">
        <v>242</v>
      </c>
      <c r="N370" s="105">
        <v>280</v>
      </c>
      <c r="O370" s="105" t="s">
        <v>242</v>
      </c>
      <c r="P370" s="105" t="s">
        <v>242</v>
      </c>
      <c r="Q370" s="105" t="s">
        <v>242</v>
      </c>
      <c r="R370" s="105">
        <v>280</v>
      </c>
      <c r="S370" s="105">
        <v>1</v>
      </c>
      <c r="T370" s="107" t="s">
        <v>242</v>
      </c>
      <c r="U370" s="102">
        <v>280</v>
      </c>
      <c r="V370" s="108"/>
      <c r="W370" s="109" t="s">
        <v>74</v>
      </c>
      <c r="X370" s="110" t="s">
        <v>259</v>
      </c>
    </row>
    <row r="371" spans="1:24" ht="15" customHeight="1" x14ac:dyDescent="0.2">
      <c r="A371" s="100" t="s">
        <v>241</v>
      </c>
      <c r="B371" s="101" t="s">
        <v>242</v>
      </c>
      <c r="C371" s="101" t="s">
        <v>242</v>
      </c>
      <c r="D371" s="101" t="s">
        <v>242</v>
      </c>
      <c r="E371" s="102" t="s">
        <v>242</v>
      </c>
      <c r="F371" s="102" t="s">
        <v>242</v>
      </c>
      <c r="G371" s="102" t="s">
        <v>242</v>
      </c>
      <c r="H371" s="103" t="s">
        <v>243</v>
      </c>
      <c r="I371" s="103" t="s">
        <v>244</v>
      </c>
      <c r="J371" s="103" t="s">
        <v>257</v>
      </c>
      <c r="K371" s="103" t="s">
        <v>269</v>
      </c>
      <c r="L371" s="103" t="s">
        <v>269</v>
      </c>
      <c r="M371" s="104" t="s">
        <v>242</v>
      </c>
      <c r="N371" s="105" t="s">
        <v>242</v>
      </c>
      <c r="O371" s="105" t="s">
        <v>242</v>
      </c>
      <c r="P371" s="105" t="s">
        <v>242</v>
      </c>
      <c r="Q371" s="105" t="s">
        <v>242</v>
      </c>
      <c r="R371" s="105" t="s">
        <v>242</v>
      </c>
      <c r="S371" s="105" t="s">
        <v>242</v>
      </c>
      <c r="T371" s="107" t="s">
        <v>242</v>
      </c>
      <c r="U371" s="102" t="s">
        <v>242</v>
      </c>
      <c r="V371" s="108">
        <v>3.84</v>
      </c>
      <c r="W371" s="109" t="s">
        <v>270</v>
      </c>
      <c r="X371" s="110" t="s">
        <v>259</v>
      </c>
    </row>
    <row r="372" spans="1:24" ht="15" customHeight="1" x14ac:dyDescent="0.2">
      <c r="A372" s="100" t="s">
        <v>241</v>
      </c>
      <c r="B372" s="101" t="s">
        <v>320</v>
      </c>
      <c r="C372" s="101" t="s">
        <v>249</v>
      </c>
      <c r="D372" s="101" t="s">
        <v>254</v>
      </c>
      <c r="E372" s="102" t="s">
        <v>45</v>
      </c>
      <c r="F372" s="102" t="s">
        <v>279</v>
      </c>
      <c r="G372" s="102" t="s">
        <v>251</v>
      </c>
      <c r="H372" s="103" t="s">
        <v>243</v>
      </c>
      <c r="I372" s="103" t="s">
        <v>244</v>
      </c>
      <c r="J372" s="103" t="s">
        <v>257</v>
      </c>
      <c r="K372" s="103" t="s">
        <v>269</v>
      </c>
      <c r="L372" s="103" t="s">
        <v>269</v>
      </c>
      <c r="M372" s="104" t="s">
        <v>242</v>
      </c>
      <c r="N372" s="105">
        <v>1</v>
      </c>
      <c r="O372" s="105">
        <v>1.2</v>
      </c>
      <c r="P372" s="105">
        <v>0.8</v>
      </c>
      <c r="Q372" s="105" t="s">
        <v>242</v>
      </c>
      <c r="R372" s="105">
        <v>0.96</v>
      </c>
      <c r="S372" s="105">
        <v>4</v>
      </c>
      <c r="T372" s="107" t="s">
        <v>242</v>
      </c>
      <c r="U372" s="102">
        <v>3.84</v>
      </c>
      <c r="V372" s="108"/>
      <c r="W372" s="109" t="s">
        <v>270</v>
      </c>
      <c r="X372" s="110" t="s">
        <v>259</v>
      </c>
    </row>
    <row r="373" spans="1:24" ht="15" customHeight="1" x14ac:dyDescent="0.2">
      <c r="A373" s="100" t="s">
        <v>241</v>
      </c>
      <c r="B373" s="101" t="s">
        <v>242</v>
      </c>
      <c r="C373" s="101" t="s">
        <v>242</v>
      </c>
      <c r="D373" s="101" t="s">
        <v>242</v>
      </c>
      <c r="E373" s="102" t="s">
        <v>242</v>
      </c>
      <c r="F373" s="102" t="s">
        <v>242</v>
      </c>
      <c r="G373" s="102" t="s">
        <v>242</v>
      </c>
      <c r="H373" s="103" t="s">
        <v>243</v>
      </c>
      <c r="I373" s="103" t="s">
        <v>244</v>
      </c>
      <c r="J373" s="103" t="s">
        <v>257</v>
      </c>
      <c r="K373" s="103" t="s">
        <v>308</v>
      </c>
      <c r="L373" s="103" t="s">
        <v>308</v>
      </c>
      <c r="M373" s="104" t="s">
        <v>242</v>
      </c>
      <c r="N373" s="105" t="s">
        <v>242</v>
      </c>
      <c r="O373" s="105" t="s">
        <v>242</v>
      </c>
      <c r="P373" s="105" t="s">
        <v>242</v>
      </c>
      <c r="Q373" s="105" t="s">
        <v>242</v>
      </c>
      <c r="R373" s="105" t="s">
        <v>242</v>
      </c>
      <c r="S373" s="105" t="s">
        <v>242</v>
      </c>
      <c r="T373" s="107" t="s">
        <v>242</v>
      </c>
      <c r="U373" s="102" t="s">
        <v>242</v>
      </c>
      <c r="V373" s="108">
        <v>12</v>
      </c>
      <c r="W373" s="109" t="s">
        <v>74</v>
      </c>
      <c r="X373" s="110" t="s">
        <v>259</v>
      </c>
    </row>
    <row r="374" spans="1:24" ht="15" customHeight="1" x14ac:dyDescent="0.2">
      <c r="A374" s="100" t="s">
        <v>241</v>
      </c>
      <c r="B374" s="101" t="s">
        <v>320</v>
      </c>
      <c r="C374" s="101" t="s">
        <v>249</v>
      </c>
      <c r="D374" s="101" t="s">
        <v>252</v>
      </c>
      <c r="E374" s="102" t="s">
        <v>293</v>
      </c>
      <c r="F374" s="102" t="s">
        <v>47</v>
      </c>
      <c r="G374" s="102" t="s">
        <v>251</v>
      </c>
      <c r="H374" s="103" t="s">
        <v>243</v>
      </c>
      <c r="I374" s="103" t="s">
        <v>244</v>
      </c>
      <c r="J374" s="103" t="s">
        <v>257</v>
      </c>
      <c r="K374" s="103" t="s">
        <v>308</v>
      </c>
      <c r="L374" s="103" t="s">
        <v>308</v>
      </c>
      <c r="M374" s="104" t="s">
        <v>242</v>
      </c>
      <c r="N374" s="105">
        <v>12</v>
      </c>
      <c r="O374" s="105" t="s">
        <v>242</v>
      </c>
      <c r="P374" s="105" t="s">
        <v>242</v>
      </c>
      <c r="Q374" s="105" t="s">
        <v>242</v>
      </c>
      <c r="R374" s="105">
        <v>12</v>
      </c>
      <c r="S374" s="105">
        <v>1</v>
      </c>
      <c r="T374" s="107" t="s">
        <v>242</v>
      </c>
      <c r="U374" s="102">
        <v>12</v>
      </c>
      <c r="V374" s="108"/>
      <c r="W374" s="109" t="s">
        <v>74</v>
      </c>
      <c r="X374" s="110" t="s">
        <v>259</v>
      </c>
    </row>
    <row r="375" spans="1:24" ht="15" customHeight="1" x14ac:dyDescent="0.2">
      <c r="A375" s="100" t="s">
        <v>241</v>
      </c>
      <c r="B375" s="101" t="s">
        <v>242</v>
      </c>
      <c r="C375" s="101" t="s">
        <v>242</v>
      </c>
      <c r="D375" s="101" t="s">
        <v>242</v>
      </c>
      <c r="E375" s="102" t="s">
        <v>242</v>
      </c>
      <c r="F375" s="102" t="s">
        <v>242</v>
      </c>
      <c r="G375" s="102" t="s">
        <v>242</v>
      </c>
      <c r="H375" s="103" t="s">
        <v>243</v>
      </c>
      <c r="I375" s="103" t="s">
        <v>244</v>
      </c>
      <c r="J375" s="103" t="s">
        <v>257</v>
      </c>
      <c r="K375" s="103" t="s">
        <v>271</v>
      </c>
      <c r="L375" s="103" t="s">
        <v>271</v>
      </c>
      <c r="M375" s="104" t="s">
        <v>242</v>
      </c>
      <c r="N375" s="105" t="s">
        <v>242</v>
      </c>
      <c r="O375" s="105" t="s">
        <v>242</v>
      </c>
      <c r="P375" s="105" t="s">
        <v>242</v>
      </c>
      <c r="Q375" s="105" t="s">
        <v>242</v>
      </c>
      <c r="R375" s="105" t="s">
        <v>242</v>
      </c>
      <c r="S375" s="105" t="s">
        <v>242</v>
      </c>
      <c r="T375" s="107" t="s">
        <v>242</v>
      </c>
      <c r="U375" s="102" t="s">
        <v>242</v>
      </c>
      <c r="V375" s="108">
        <v>325</v>
      </c>
      <c r="W375" s="109" t="s">
        <v>179</v>
      </c>
      <c r="X375" s="110" t="s">
        <v>259</v>
      </c>
    </row>
    <row r="376" spans="1:24" ht="15" customHeight="1" x14ac:dyDescent="0.2">
      <c r="A376" s="100" t="s">
        <v>241</v>
      </c>
      <c r="B376" s="101" t="s">
        <v>320</v>
      </c>
      <c r="C376" s="101" t="s">
        <v>249</v>
      </c>
      <c r="D376" s="101" t="s">
        <v>242</v>
      </c>
      <c r="E376" s="102" t="s">
        <v>242</v>
      </c>
      <c r="F376" s="102" t="s">
        <v>242</v>
      </c>
      <c r="G376" s="102" t="s">
        <v>251</v>
      </c>
      <c r="H376" s="103" t="s">
        <v>243</v>
      </c>
      <c r="I376" s="103" t="s">
        <v>244</v>
      </c>
      <c r="J376" s="103" t="s">
        <v>257</v>
      </c>
      <c r="K376" s="103" t="s">
        <v>271</v>
      </c>
      <c r="L376" s="103" t="s">
        <v>271</v>
      </c>
      <c r="M376" s="104" t="s">
        <v>242</v>
      </c>
      <c r="N376" s="105">
        <v>1</v>
      </c>
      <c r="O376" s="105">
        <v>130</v>
      </c>
      <c r="P376" s="105" t="s">
        <v>242</v>
      </c>
      <c r="Q376" s="105" t="s">
        <v>242</v>
      </c>
      <c r="R376" s="105">
        <v>130</v>
      </c>
      <c r="S376" s="105">
        <v>1</v>
      </c>
      <c r="T376" s="107" t="s">
        <v>242</v>
      </c>
      <c r="U376" s="102">
        <v>130</v>
      </c>
      <c r="V376" s="108"/>
      <c r="W376" s="109" t="s">
        <v>179</v>
      </c>
      <c r="X376" s="110" t="s">
        <v>259</v>
      </c>
    </row>
    <row r="377" spans="1:24" ht="15" customHeight="1" x14ac:dyDescent="0.2">
      <c r="A377" s="100" t="s">
        <v>241</v>
      </c>
      <c r="B377" s="101" t="s">
        <v>320</v>
      </c>
      <c r="C377" s="101" t="s">
        <v>249</v>
      </c>
      <c r="D377" s="101" t="s">
        <v>242</v>
      </c>
      <c r="E377" s="102" t="s">
        <v>242</v>
      </c>
      <c r="F377" s="102" t="s">
        <v>242</v>
      </c>
      <c r="G377" s="102" t="s">
        <v>251</v>
      </c>
      <c r="H377" s="103" t="s">
        <v>243</v>
      </c>
      <c r="I377" s="103" t="s">
        <v>244</v>
      </c>
      <c r="J377" s="103" t="s">
        <v>257</v>
      </c>
      <c r="K377" s="103" t="s">
        <v>271</v>
      </c>
      <c r="L377" s="103" t="s">
        <v>271</v>
      </c>
      <c r="M377" s="104" t="s">
        <v>242</v>
      </c>
      <c r="N377" s="105">
        <v>1</v>
      </c>
      <c r="O377" s="105">
        <v>8</v>
      </c>
      <c r="P377" s="105" t="s">
        <v>242</v>
      </c>
      <c r="Q377" s="105" t="s">
        <v>242</v>
      </c>
      <c r="R377" s="105">
        <v>8</v>
      </c>
      <c r="S377" s="105">
        <v>12</v>
      </c>
      <c r="T377" s="107" t="s">
        <v>242</v>
      </c>
      <c r="U377" s="102">
        <v>96</v>
      </c>
      <c r="V377" s="108"/>
      <c r="W377" s="109" t="s">
        <v>179</v>
      </c>
      <c r="X377" s="110" t="s">
        <v>259</v>
      </c>
    </row>
    <row r="378" spans="1:24" ht="15" customHeight="1" x14ac:dyDescent="0.2">
      <c r="A378" s="100" t="s">
        <v>241</v>
      </c>
      <c r="B378" s="101" t="s">
        <v>320</v>
      </c>
      <c r="C378" s="101" t="s">
        <v>249</v>
      </c>
      <c r="D378" s="101" t="s">
        <v>242</v>
      </c>
      <c r="E378" s="102" t="s">
        <v>242</v>
      </c>
      <c r="F378" s="102" t="s">
        <v>242</v>
      </c>
      <c r="G378" s="102" t="s">
        <v>251</v>
      </c>
      <c r="H378" s="103" t="s">
        <v>243</v>
      </c>
      <c r="I378" s="103" t="s">
        <v>244</v>
      </c>
      <c r="J378" s="103" t="s">
        <v>257</v>
      </c>
      <c r="K378" s="103" t="s">
        <v>271</v>
      </c>
      <c r="L378" s="103" t="s">
        <v>271</v>
      </c>
      <c r="M378" s="104" t="s">
        <v>242</v>
      </c>
      <c r="N378" s="105">
        <v>1</v>
      </c>
      <c r="O378" s="105">
        <v>66</v>
      </c>
      <c r="P378" s="105" t="s">
        <v>242</v>
      </c>
      <c r="Q378" s="105" t="s">
        <v>242</v>
      </c>
      <c r="R378" s="105">
        <v>66</v>
      </c>
      <c r="S378" s="105">
        <v>1</v>
      </c>
      <c r="T378" s="107" t="s">
        <v>242</v>
      </c>
      <c r="U378" s="102">
        <v>66</v>
      </c>
      <c r="V378" s="108"/>
      <c r="W378" s="109" t="s">
        <v>179</v>
      </c>
      <c r="X378" s="110" t="s">
        <v>259</v>
      </c>
    </row>
    <row r="379" spans="1:24" ht="15" customHeight="1" x14ac:dyDescent="0.2">
      <c r="A379" s="100" t="s">
        <v>241</v>
      </c>
      <c r="B379" s="101" t="s">
        <v>320</v>
      </c>
      <c r="C379" s="101" t="s">
        <v>249</v>
      </c>
      <c r="D379" s="101" t="s">
        <v>242</v>
      </c>
      <c r="E379" s="102" t="s">
        <v>242</v>
      </c>
      <c r="F379" s="102" t="s">
        <v>242</v>
      </c>
      <c r="G379" s="102" t="s">
        <v>251</v>
      </c>
      <c r="H379" s="103" t="s">
        <v>243</v>
      </c>
      <c r="I379" s="103" t="s">
        <v>244</v>
      </c>
      <c r="J379" s="103" t="s">
        <v>257</v>
      </c>
      <c r="K379" s="103" t="s">
        <v>271</v>
      </c>
      <c r="L379" s="103" t="s">
        <v>271</v>
      </c>
      <c r="M379" s="104" t="s">
        <v>242</v>
      </c>
      <c r="N379" s="105">
        <v>1</v>
      </c>
      <c r="O379" s="105">
        <v>33</v>
      </c>
      <c r="P379" s="105" t="s">
        <v>242</v>
      </c>
      <c r="Q379" s="105" t="s">
        <v>242</v>
      </c>
      <c r="R379" s="105">
        <v>33</v>
      </c>
      <c r="S379" s="105">
        <v>1</v>
      </c>
      <c r="T379" s="107" t="s">
        <v>242</v>
      </c>
      <c r="U379" s="102">
        <v>33</v>
      </c>
      <c r="V379" s="108"/>
      <c r="W379" s="109" t="s">
        <v>179</v>
      </c>
      <c r="X379" s="110" t="s">
        <v>259</v>
      </c>
    </row>
    <row r="380" spans="1:24" ht="15" customHeight="1" x14ac:dyDescent="0.2">
      <c r="A380" s="100" t="s">
        <v>241</v>
      </c>
      <c r="B380" s="101" t="s">
        <v>242</v>
      </c>
      <c r="C380" s="101" t="s">
        <v>242</v>
      </c>
      <c r="D380" s="101" t="s">
        <v>242</v>
      </c>
      <c r="E380" s="102" t="s">
        <v>242</v>
      </c>
      <c r="F380" s="102" t="s">
        <v>242</v>
      </c>
      <c r="G380" s="102" t="s">
        <v>242</v>
      </c>
      <c r="H380" s="103" t="s">
        <v>243</v>
      </c>
      <c r="I380" s="103" t="s">
        <v>244</v>
      </c>
      <c r="J380" s="103" t="s">
        <v>257</v>
      </c>
      <c r="K380" s="103" t="s">
        <v>276</v>
      </c>
      <c r="L380" s="103" t="s">
        <v>276</v>
      </c>
      <c r="M380" s="104" t="s">
        <v>242</v>
      </c>
      <c r="N380" s="105" t="s">
        <v>242</v>
      </c>
      <c r="O380" s="105" t="s">
        <v>242</v>
      </c>
      <c r="P380" s="105" t="s">
        <v>242</v>
      </c>
      <c r="Q380" s="105" t="s">
        <v>242</v>
      </c>
      <c r="R380" s="105" t="s">
        <v>242</v>
      </c>
      <c r="S380" s="105" t="s">
        <v>242</v>
      </c>
      <c r="T380" s="107" t="s">
        <v>242</v>
      </c>
      <c r="U380" s="102" t="s">
        <v>242</v>
      </c>
      <c r="V380" s="108">
        <v>2.4</v>
      </c>
      <c r="W380" s="109" t="s">
        <v>270</v>
      </c>
      <c r="X380" s="110" t="s">
        <v>259</v>
      </c>
    </row>
    <row r="381" spans="1:24" ht="15" customHeight="1" x14ac:dyDescent="0.2">
      <c r="A381" s="100" t="s">
        <v>241</v>
      </c>
      <c r="B381" s="101" t="s">
        <v>320</v>
      </c>
      <c r="C381" s="101" t="s">
        <v>249</v>
      </c>
      <c r="D381" s="101" t="s">
        <v>252</v>
      </c>
      <c r="E381" s="102" t="s">
        <v>293</v>
      </c>
      <c r="F381" s="102" t="s">
        <v>44</v>
      </c>
      <c r="G381" s="102" t="s">
        <v>251</v>
      </c>
      <c r="H381" s="103" t="s">
        <v>243</v>
      </c>
      <c r="I381" s="103" t="s">
        <v>244</v>
      </c>
      <c r="J381" s="103" t="s">
        <v>257</v>
      </c>
      <c r="K381" s="103" t="s">
        <v>276</v>
      </c>
      <c r="L381" s="103" t="s">
        <v>276</v>
      </c>
      <c r="M381" s="104" t="s">
        <v>242</v>
      </c>
      <c r="N381" s="105">
        <v>1</v>
      </c>
      <c r="O381" s="105">
        <v>12</v>
      </c>
      <c r="P381" s="105">
        <v>0.2</v>
      </c>
      <c r="Q381" s="105" t="s">
        <v>242</v>
      </c>
      <c r="R381" s="105">
        <v>2.4</v>
      </c>
      <c r="S381" s="105">
        <v>1</v>
      </c>
      <c r="T381" s="107" t="s">
        <v>242</v>
      </c>
      <c r="U381" s="102">
        <v>2.4</v>
      </c>
      <c r="V381" s="108"/>
      <c r="W381" s="109" t="s">
        <v>270</v>
      </c>
      <c r="X381" s="110" t="s">
        <v>259</v>
      </c>
    </row>
    <row r="382" spans="1:24" ht="15" customHeight="1" x14ac:dyDescent="0.25">
      <c r="A382" s="48"/>
      <c r="B382" s="49"/>
      <c r="C382" s="48"/>
      <c r="D382" s="48"/>
      <c r="E382" s="53"/>
      <c r="F382" s="46"/>
      <c r="G382" s="46"/>
      <c r="H382" s="46"/>
      <c r="I382" s="46"/>
      <c r="J382" s="46"/>
      <c r="K382" s="46"/>
      <c r="L382" s="46"/>
      <c r="M382" s="48"/>
      <c r="N382" s="48"/>
      <c r="O382" s="49"/>
      <c r="P382" s="48"/>
      <c r="Q382" s="48"/>
      <c r="R382" s="48"/>
      <c r="S382" s="46"/>
      <c r="T382" s="48"/>
      <c r="U382" s="48"/>
      <c r="V382" s="25"/>
      <c r="W382" s="25"/>
      <c r="X382" s="25"/>
    </row>
    <row r="383" spans="1:24" ht="15" customHeight="1" x14ac:dyDescent="0.25">
      <c r="A383" s="48"/>
      <c r="B383" s="49"/>
      <c r="C383" s="48"/>
      <c r="D383" s="48"/>
      <c r="E383" s="53"/>
      <c r="F383" s="46"/>
      <c r="G383" s="46"/>
      <c r="H383" s="46"/>
      <c r="I383" s="46"/>
      <c r="J383" s="46"/>
      <c r="K383" s="46"/>
      <c r="L383" s="46"/>
      <c r="M383" s="48"/>
      <c r="N383" s="48"/>
      <c r="O383" s="49"/>
      <c r="P383" s="48"/>
      <c r="Q383" s="48"/>
      <c r="R383" s="48"/>
      <c r="S383" s="46"/>
      <c r="T383" s="48"/>
      <c r="U383" s="48"/>
      <c r="V383" s="25"/>
      <c r="W383" s="25"/>
      <c r="X383" s="25"/>
    </row>
    <row r="384" spans="1:24" ht="15" customHeight="1" x14ac:dyDescent="0.2">
      <c r="A384" s="111" t="s">
        <v>241</v>
      </c>
      <c r="B384" s="112" t="s">
        <v>242</v>
      </c>
      <c r="C384" s="112" t="s">
        <v>242</v>
      </c>
      <c r="D384" s="112" t="s">
        <v>242</v>
      </c>
      <c r="E384" s="113" t="s">
        <v>242</v>
      </c>
      <c r="F384" s="113" t="s">
        <v>242</v>
      </c>
      <c r="G384" s="113" t="s">
        <v>242</v>
      </c>
      <c r="H384" s="114" t="s">
        <v>243</v>
      </c>
      <c r="I384" s="114" t="s">
        <v>244</v>
      </c>
      <c r="J384" s="114" t="s">
        <v>245</v>
      </c>
      <c r="K384" s="114" t="s">
        <v>246</v>
      </c>
      <c r="L384" s="114" t="s">
        <v>246</v>
      </c>
      <c r="M384" s="115" t="s">
        <v>242</v>
      </c>
      <c r="N384" s="116" t="s">
        <v>242</v>
      </c>
      <c r="O384" s="116" t="s">
        <v>242</v>
      </c>
      <c r="P384" s="116" t="s">
        <v>242</v>
      </c>
      <c r="Q384" s="116" t="s">
        <v>242</v>
      </c>
      <c r="R384" s="116" t="s">
        <v>242</v>
      </c>
      <c r="S384" s="117" t="s">
        <v>242</v>
      </c>
      <c r="T384" s="118" t="s">
        <v>242</v>
      </c>
      <c r="U384" s="113" t="s">
        <v>242</v>
      </c>
      <c r="V384" s="119">
        <v>1</v>
      </c>
      <c r="W384" s="120" t="s">
        <v>74</v>
      </c>
      <c r="X384" s="121" t="s">
        <v>247</v>
      </c>
    </row>
    <row r="385" spans="1:24" ht="15" customHeight="1" x14ac:dyDescent="0.2">
      <c r="A385" s="111" t="s">
        <v>241</v>
      </c>
      <c r="B385" s="112" t="s">
        <v>322</v>
      </c>
      <c r="C385" s="112" t="s">
        <v>249</v>
      </c>
      <c r="D385" s="112" t="s">
        <v>260</v>
      </c>
      <c r="E385" s="113" t="s">
        <v>302</v>
      </c>
      <c r="F385" s="113" t="s">
        <v>44</v>
      </c>
      <c r="G385" s="113" t="s">
        <v>251</v>
      </c>
      <c r="H385" s="114" t="s">
        <v>243</v>
      </c>
      <c r="I385" s="114" t="s">
        <v>244</v>
      </c>
      <c r="J385" s="114" t="s">
        <v>245</v>
      </c>
      <c r="K385" s="114" t="s">
        <v>246</v>
      </c>
      <c r="L385" s="114" t="s">
        <v>246</v>
      </c>
      <c r="M385" s="115" t="s">
        <v>242</v>
      </c>
      <c r="N385" s="116">
        <v>1</v>
      </c>
      <c r="O385" s="116" t="s">
        <v>242</v>
      </c>
      <c r="P385" s="116" t="s">
        <v>242</v>
      </c>
      <c r="Q385" s="116" t="s">
        <v>242</v>
      </c>
      <c r="R385" s="116">
        <v>1</v>
      </c>
      <c r="S385" s="116">
        <v>1</v>
      </c>
      <c r="T385" s="118" t="s">
        <v>242</v>
      </c>
      <c r="U385" s="113">
        <v>1</v>
      </c>
      <c r="V385" s="119"/>
      <c r="W385" s="120" t="s">
        <v>74</v>
      </c>
      <c r="X385" s="121" t="s">
        <v>247</v>
      </c>
    </row>
    <row r="386" spans="1:24" ht="15" customHeight="1" x14ac:dyDescent="0.2">
      <c r="A386" s="111" t="s">
        <v>241</v>
      </c>
      <c r="B386" s="112" t="s">
        <v>242</v>
      </c>
      <c r="C386" s="112" t="s">
        <v>242</v>
      </c>
      <c r="D386" s="112" t="s">
        <v>242</v>
      </c>
      <c r="E386" s="113" t="s">
        <v>242</v>
      </c>
      <c r="F386" s="113" t="s">
        <v>242</v>
      </c>
      <c r="G386" s="113" t="s">
        <v>242</v>
      </c>
      <c r="H386" s="114" t="s">
        <v>243</v>
      </c>
      <c r="I386" s="114" t="s">
        <v>244</v>
      </c>
      <c r="J386" s="114" t="s">
        <v>245</v>
      </c>
      <c r="K386" s="114" t="s">
        <v>255</v>
      </c>
      <c r="L386" s="114" t="s">
        <v>255</v>
      </c>
      <c r="M386" s="115" t="s">
        <v>242</v>
      </c>
      <c r="N386" s="116" t="s">
        <v>242</v>
      </c>
      <c r="O386" s="116" t="s">
        <v>242</v>
      </c>
      <c r="P386" s="116" t="s">
        <v>242</v>
      </c>
      <c r="Q386" s="116" t="s">
        <v>242</v>
      </c>
      <c r="R386" s="116" t="s">
        <v>242</v>
      </c>
      <c r="S386" s="116" t="s">
        <v>242</v>
      </c>
      <c r="T386" s="118" t="s">
        <v>242</v>
      </c>
      <c r="U386" s="113" t="s">
        <v>242</v>
      </c>
      <c r="V386" s="119">
        <v>16</v>
      </c>
      <c r="W386" s="120" t="s">
        <v>179</v>
      </c>
      <c r="X386" s="121" t="s">
        <v>247</v>
      </c>
    </row>
    <row r="387" spans="1:24" ht="15" customHeight="1" x14ac:dyDescent="0.2">
      <c r="A387" s="111" t="s">
        <v>241</v>
      </c>
      <c r="B387" s="112" t="s">
        <v>322</v>
      </c>
      <c r="C387" s="112" t="s">
        <v>249</v>
      </c>
      <c r="D387" s="112" t="s">
        <v>250</v>
      </c>
      <c r="E387" s="113" t="s">
        <v>41</v>
      </c>
      <c r="F387" s="113" t="s">
        <v>47</v>
      </c>
      <c r="G387" s="113" t="s">
        <v>251</v>
      </c>
      <c r="H387" s="114" t="s">
        <v>243</v>
      </c>
      <c r="I387" s="114" t="s">
        <v>244</v>
      </c>
      <c r="J387" s="114" t="s">
        <v>245</v>
      </c>
      <c r="K387" s="114" t="s">
        <v>255</v>
      </c>
      <c r="L387" s="114" t="s">
        <v>255</v>
      </c>
      <c r="M387" s="115" t="s">
        <v>242</v>
      </c>
      <c r="N387" s="116">
        <v>1</v>
      </c>
      <c r="O387" s="116">
        <v>16</v>
      </c>
      <c r="P387" s="116" t="s">
        <v>242</v>
      </c>
      <c r="Q387" s="116" t="s">
        <v>242</v>
      </c>
      <c r="R387" s="116">
        <v>16</v>
      </c>
      <c r="S387" s="116">
        <v>1</v>
      </c>
      <c r="T387" s="118" t="s">
        <v>242</v>
      </c>
      <c r="U387" s="113">
        <v>16</v>
      </c>
      <c r="V387" s="119"/>
      <c r="W387" s="120" t="s">
        <v>179</v>
      </c>
      <c r="X387" s="121" t="s">
        <v>247</v>
      </c>
    </row>
    <row r="388" spans="1:24" ht="15" customHeight="1" x14ac:dyDescent="0.2">
      <c r="A388" s="111" t="s">
        <v>241</v>
      </c>
      <c r="B388" s="112" t="s">
        <v>242</v>
      </c>
      <c r="C388" s="112" t="s">
        <v>242</v>
      </c>
      <c r="D388" s="112" t="s">
        <v>242</v>
      </c>
      <c r="E388" s="113" t="s">
        <v>242</v>
      </c>
      <c r="F388" s="113" t="s">
        <v>242</v>
      </c>
      <c r="G388" s="113" t="s">
        <v>242</v>
      </c>
      <c r="H388" s="114" t="s">
        <v>243</v>
      </c>
      <c r="I388" s="114" t="s">
        <v>244</v>
      </c>
      <c r="J388" s="114" t="s">
        <v>257</v>
      </c>
      <c r="K388" s="114" t="s">
        <v>278</v>
      </c>
      <c r="L388" s="114" t="s">
        <v>278</v>
      </c>
      <c r="M388" s="115" t="s">
        <v>242</v>
      </c>
      <c r="N388" s="116" t="s">
        <v>242</v>
      </c>
      <c r="O388" s="116" t="s">
        <v>242</v>
      </c>
      <c r="P388" s="116" t="s">
        <v>242</v>
      </c>
      <c r="Q388" s="116" t="s">
        <v>242</v>
      </c>
      <c r="R388" s="116" t="s">
        <v>242</v>
      </c>
      <c r="S388" s="116" t="s">
        <v>242</v>
      </c>
      <c r="T388" s="118" t="s">
        <v>242</v>
      </c>
      <c r="U388" s="113" t="s">
        <v>242</v>
      </c>
      <c r="V388" s="119">
        <v>21</v>
      </c>
      <c r="W388" s="120" t="s">
        <v>179</v>
      </c>
      <c r="X388" s="121" t="s">
        <v>259</v>
      </c>
    </row>
    <row r="389" spans="1:24" ht="15" customHeight="1" x14ac:dyDescent="0.2">
      <c r="A389" s="111" t="s">
        <v>241</v>
      </c>
      <c r="B389" s="112" t="s">
        <v>322</v>
      </c>
      <c r="C389" s="112" t="s">
        <v>249</v>
      </c>
      <c r="D389" s="112" t="s">
        <v>260</v>
      </c>
      <c r="E389" s="113" t="s">
        <v>222</v>
      </c>
      <c r="F389" s="113" t="s">
        <v>46</v>
      </c>
      <c r="G389" s="113" t="s">
        <v>251</v>
      </c>
      <c r="H389" s="114" t="s">
        <v>243</v>
      </c>
      <c r="I389" s="114" t="s">
        <v>244</v>
      </c>
      <c r="J389" s="114" t="s">
        <v>257</v>
      </c>
      <c r="K389" s="114" t="s">
        <v>278</v>
      </c>
      <c r="L389" s="114" t="s">
        <v>278</v>
      </c>
      <c r="M389" s="115" t="s">
        <v>242</v>
      </c>
      <c r="N389" s="116">
        <v>1</v>
      </c>
      <c r="O389" s="116">
        <v>3</v>
      </c>
      <c r="P389" s="116" t="s">
        <v>242</v>
      </c>
      <c r="Q389" s="116" t="s">
        <v>242</v>
      </c>
      <c r="R389" s="116">
        <v>3</v>
      </c>
      <c r="S389" s="116">
        <v>1</v>
      </c>
      <c r="T389" s="118" t="s">
        <v>242</v>
      </c>
      <c r="U389" s="113">
        <v>3</v>
      </c>
      <c r="V389" s="119"/>
      <c r="W389" s="120" t="s">
        <v>179</v>
      </c>
      <c r="X389" s="121" t="s">
        <v>259</v>
      </c>
    </row>
    <row r="390" spans="1:24" ht="15" customHeight="1" x14ac:dyDescent="0.2">
      <c r="A390" s="111" t="s">
        <v>241</v>
      </c>
      <c r="B390" s="112" t="s">
        <v>322</v>
      </c>
      <c r="C390" s="112" t="s">
        <v>249</v>
      </c>
      <c r="D390" s="112" t="s">
        <v>260</v>
      </c>
      <c r="E390" s="113" t="s">
        <v>222</v>
      </c>
      <c r="F390" s="113" t="s">
        <v>42</v>
      </c>
      <c r="G390" s="113" t="s">
        <v>251</v>
      </c>
      <c r="H390" s="114" t="s">
        <v>243</v>
      </c>
      <c r="I390" s="114" t="s">
        <v>244</v>
      </c>
      <c r="J390" s="114" t="s">
        <v>257</v>
      </c>
      <c r="K390" s="114" t="s">
        <v>278</v>
      </c>
      <c r="L390" s="114" t="s">
        <v>278</v>
      </c>
      <c r="M390" s="115" t="s">
        <v>242</v>
      </c>
      <c r="N390" s="116">
        <v>1</v>
      </c>
      <c r="O390" s="116">
        <v>18</v>
      </c>
      <c r="P390" s="116" t="s">
        <v>242</v>
      </c>
      <c r="Q390" s="116" t="s">
        <v>242</v>
      </c>
      <c r="R390" s="116">
        <v>18</v>
      </c>
      <c r="S390" s="116">
        <v>1</v>
      </c>
      <c r="T390" s="118" t="s">
        <v>242</v>
      </c>
      <c r="U390" s="113">
        <v>18</v>
      </c>
      <c r="V390" s="119"/>
      <c r="W390" s="120" t="s">
        <v>179</v>
      </c>
      <c r="X390" s="121" t="s">
        <v>259</v>
      </c>
    </row>
    <row r="391" spans="1:24" ht="15" customHeight="1" x14ac:dyDescent="0.2">
      <c r="A391" s="111" t="s">
        <v>241</v>
      </c>
      <c r="B391" s="112" t="s">
        <v>242</v>
      </c>
      <c r="C391" s="112" t="s">
        <v>242</v>
      </c>
      <c r="D391" s="112" t="s">
        <v>242</v>
      </c>
      <c r="E391" s="113" t="s">
        <v>242</v>
      </c>
      <c r="F391" s="113" t="s">
        <v>242</v>
      </c>
      <c r="G391" s="113" t="s">
        <v>242</v>
      </c>
      <c r="H391" s="114" t="s">
        <v>243</v>
      </c>
      <c r="I391" s="114" t="s">
        <v>244</v>
      </c>
      <c r="J391" s="114" t="s">
        <v>257</v>
      </c>
      <c r="K391" s="114" t="s">
        <v>258</v>
      </c>
      <c r="L391" s="114" t="s">
        <v>258</v>
      </c>
      <c r="M391" s="115" t="s">
        <v>242</v>
      </c>
      <c r="N391" s="116" t="s">
        <v>242</v>
      </c>
      <c r="O391" s="116" t="s">
        <v>242</v>
      </c>
      <c r="P391" s="116" t="s">
        <v>242</v>
      </c>
      <c r="Q391" s="116" t="s">
        <v>242</v>
      </c>
      <c r="R391" s="116" t="s">
        <v>242</v>
      </c>
      <c r="S391" s="116" t="s">
        <v>242</v>
      </c>
      <c r="T391" s="118" t="s">
        <v>242</v>
      </c>
      <c r="U391" s="113" t="s">
        <v>242</v>
      </c>
      <c r="V391" s="119">
        <v>12</v>
      </c>
      <c r="W391" s="120" t="s">
        <v>179</v>
      </c>
      <c r="X391" s="121" t="s">
        <v>259</v>
      </c>
    </row>
    <row r="392" spans="1:24" ht="15" customHeight="1" x14ac:dyDescent="0.2">
      <c r="A392" s="111" t="s">
        <v>241</v>
      </c>
      <c r="B392" s="112" t="s">
        <v>322</v>
      </c>
      <c r="C392" s="112" t="s">
        <v>249</v>
      </c>
      <c r="D392" s="112" t="s">
        <v>260</v>
      </c>
      <c r="E392" s="113" t="s">
        <v>296</v>
      </c>
      <c r="F392" s="113" t="s">
        <v>42</v>
      </c>
      <c r="G392" s="113" t="s">
        <v>251</v>
      </c>
      <c r="H392" s="114" t="s">
        <v>243</v>
      </c>
      <c r="I392" s="114" t="s">
        <v>244</v>
      </c>
      <c r="J392" s="114" t="s">
        <v>257</v>
      </c>
      <c r="K392" s="114" t="s">
        <v>258</v>
      </c>
      <c r="L392" s="114" t="s">
        <v>258</v>
      </c>
      <c r="M392" s="115" t="s">
        <v>242</v>
      </c>
      <c r="N392" s="116">
        <v>1</v>
      </c>
      <c r="O392" s="116">
        <v>12</v>
      </c>
      <c r="P392" s="116" t="s">
        <v>242</v>
      </c>
      <c r="Q392" s="116" t="s">
        <v>242</v>
      </c>
      <c r="R392" s="116">
        <v>12</v>
      </c>
      <c r="S392" s="116">
        <v>1</v>
      </c>
      <c r="T392" s="118" t="s">
        <v>242</v>
      </c>
      <c r="U392" s="113">
        <v>12</v>
      </c>
      <c r="V392" s="119"/>
      <c r="W392" s="120" t="s">
        <v>179</v>
      </c>
      <c r="X392" s="121" t="s">
        <v>259</v>
      </c>
    </row>
    <row r="393" spans="1:24" ht="15" customHeight="1" x14ac:dyDescent="0.2">
      <c r="A393" s="111" t="s">
        <v>241</v>
      </c>
      <c r="B393" s="112" t="s">
        <v>242</v>
      </c>
      <c r="C393" s="112" t="s">
        <v>242</v>
      </c>
      <c r="D393" s="112" t="s">
        <v>242</v>
      </c>
      <c r="E393" s="113" t="s">
        <v>242</v>
      </c>
      <c r="F393" s="113" t="s">
        <v>242</v>
      </c>
      <c r="G393" s="113" t="s">
        <v>242</v>
      </c>
      <c r="H393" s="114" t="s">
        <v>243</v>
      </c>
      <c r="I393" s="114" t="s">
        <v>244</v>
      </c>
      <c r="J393" s="114" t="s">
        <v>257</v>
      </c>
      <c r="K393" s="114" t="s">
        <v>261</v>
      </c>
      <c r="L393" s="114" t="s">
        <v>261</v>
      </c>
      <c r="M393" s="115" t="s">
        <v>242</v>
      </c>
      <c r="N393" s="116" t="s">
        <v>242</v>
      </c>
      <c r="O393" s="116" t="s">
        <v>242</v>
      </c>
      <c r="P393" s="116" t="s">
        <v>242</v>
      </c>
      <c r="Q393" s="116" t="s">
        <v>242</v>
      </c>
      <c r="R393" s="116" t="s">
        <v>242</v>
      </c>
      <c r="S393" s="116" t="s">
        <v>242</v>
      </c>
      <c r="T393" s="118" t="s">
        <v>242</v>
      </c>
      <c r="U393" s="113" t="s">
        <v>242</v>
      </c>
      <c r="V393" s="119">
        <v>200</v>
      </c>
      <c r="W393" s="120" t="s">
        <v>262</v>
      </c>
      <c r="X393" s="121" t="s">
        <v>259</v>
      </c>
    </row>
    <row r="394" spans="1:24" ht="15" customHeight="1" x14ac:dyDescent="0.2">
      <c r="A394" s="111" t="s">
        <v>241</v>
      </c>
      <c r="B394" s="112" t="s">
        <v>322</v>
      </c>
      <c r="C394" s="112" t="s">
        <v>249</v>
      </c>
      <c r="D394" s="112" t="s">
        <v>242</v>
      </c>
      <c r="E394" s="113" t="s">
        <v>242</v>
      </c>
      <c r="F394" s="113" t="s">
        <v>242</v>
      </c>
      <c r="G394" s="113" t="s">
        <v>251</v>
      </c>
      <c r="H394" s="114" t="s">
        <v>243</v>
      </c>
      <c r="I394" s="114" t="s">
        <v>244</v>
      </c>
      <c r="J394" s="114" t="s">
        <v>257</v>
      </c>
      <c r="K394" s="114" t="s">
        <v>261</v>
      </c>
      <c r="L394" s="114" t="s">
        <v>261</v>
      </c>
      <c r="M394" s="115" t="s">
        <v>242</v>
      </c>
      <c r="N394" s="116">
        <v>200</v>
      </c>
      <c r="O394" s="116" t="s">
        <v>242</v>
      </c>
      <c r="P394" s="116" t="s">
        <v>242</v>
      </c>
      <c r="Q394" s="116" t="s">
        <v>242</v>
      </c>
      <c r="R394" s="116">
        <v>200</v>
      </c>
      <c r="S394" s="116">
        <v>1</v>
      </c>
      <c r="T394" s="118" t="s">
        <v>242</v>
      </c>
      <c r="U394" s="113">
        <v>200</v>
      </c>
      <c r="V394" s="119"/>
      <c r="W394" s="120" t="s">
        <v>262</v>
      </c>
      <c r="X394" s="121" t="s">
        <v>259</v>
      </c>
    </row>
    <row r="395" spans="1:24" ht="15" customHeight="1" x14ac:dyDescent="0.2">
      <c r="A395" s="111" t="s">
        <v>241</v>
      </c>
      <c r="B395" s="112" t="s">
        <v>242</v>
      </c>
      <c r="C395" s="112" t="s">
        <v>242</v>
      </c>
      <c r="D395" s="112" t="s">
        <v>242</v>
      </c>
      <c r="E395" s="113" t="s">
        <v>242</v>
      </c>
      <c r="F395" s="113" t="s">
        <v>242</v>
      </c>
      <c r="G395" s="113" t="s">
        <v>242</v>
      </c>
      <c r="H395" s="114" t="s">
        <v>243</v>
      </c>
      <c r="I395" s="114" t="s">
        <v>244</v>
      </c>
      <c r="J395" s="114" t="s">
        <v>257</v>
      </c>
      <c r="K395" s="114" t="s">
        <v>280</v>
      </c>
      <c r="L395" s="114" t="s">
        <v>280</v>
      </c>
      <c r="M395" s="115" t="s">
        <v>242</v>
      </c>
      <c r="N395" s="116" t="s">
        <v>242</v>
      </c>
      <c r="O395" s="116" t="s">
        <v>242</v>
      </c>
      <c r="P395" s="116" t="s">
        <v>242</v>
      </c>
      <c r="Q395" s="116" t="s">
        <v>242</v>
      </c>
      <c r="R395" s="116" t="s">
        <v>242</v>
      </c>
      <c r="S395" s="116" t="s">
        <v>242</v>
      </c>
      <c r="T395" s="118" t="s">
        <v>242</v>
      </c>
      <c r="U395" s="113" t="s">
        <v>242</v>
      </c>
      <c r="V395" s="119">
        <v>60</v>
      </c>
      <c r="W395" s="120" t="s">
        <v>262</v>
      </c>
      <c r="X395" s="121" t="s">
        <v>259</v>
      </c>
    </row>
    <row r="396" spans="1:24" ht="15" customHeight="1" x14ac:dyDescent="0.2">
      <c r="A396" s="111" t="s">
        <v>241</v>
      </c>
      <c r="B396" s="112" t="s">
        <v>322</v>
      </c>
      <c r="C396" s="112" t="s">
        <v>249</v>
      </c>
      <c r="D396" s="112" t="s">
        <v>242</v>
      </c>
      <c r="E396" s="113" t="s">
        <v>242</v>
      </c>
      <c r="F396" s="113" t="s">
        <v>242</v>
      </c>
      <c r="G396" s="113" t="s">
        <v>251</v>
      </c>
      <c r="H396" s="114" t="s">
        <v>243</v>
      </c>
      <c r="I396" s="114" t="s">
        <v>244</v>
      </c>
      <c r="J396" s="114" t="s">
        <v>257</v>
      </c>
      <c r="K396" s="114" t="s">
        <v>280</v>
      </c>
      <c r="L396" s="114" t="s">
        <v>280</v>
      </c>
      <c r="M396" s="115" t="s">
        <v>242</v>
      </c>
      <c r="N396" s="116">
        <v>60</v>
      </c>
      <c r="O396" s="116" t="s">
        <v>242</v>
      </c>
      <c r="P396" s="116" t="s">
        <v>242</v>
      </c>
      <c r="Q396" s="116" t="s">
        <v>242</v>
      </c>
      <c r="R396" s="116">
        <v>60</v>
      </c>
      <c r="S396" s="116">
        <v>1</v>
      </c>
      <c r="T396" s="118" t="s">
        <v>242</v>
      </c>
      <c r="U396" s="113">
        <v>60</v>
      </c>
      <c r="V396" s="119"/>
      <c r="W396" s="120" t="s">
        <v>262</v>
      </c>
      <c r="X396" s="121" t="s">
        <v>259</v>
      </c>
    </row>
    <row r="397" spans="1:24" ht="15" customHeight="1" x14ac:dyDescent="0.2">
      <c r="A397" s="111" t="s">
        <v>241</v>
      </c>
      <c r="B397" s="112" t="s">
        <v>242</v>
      </c>
      <c r="C397" s="112" t="s">
        <v>242</v>
      </c>
      <c r="D397" s="112" t="s">
        <v>242</v>
      </c>
      <c r="E397" s="113" t="s">
        <v>242</v>
      </c>
      <c r="F397" s="113" t="s">
        <v>242</v>
      </c>
      <c r="G397" s="113" t="s">
        <v>242</v>
      </c>
      <c r="H397" s="114" t="s">
        <v>243</v>
      </c>
      <c r="I397" s="114" t="s">
        <v>244</v>
      </c>
      <c r="J397" s="114" t="s">
        <v>257</v>
      </c>
      <c r="K397" s="114" t="s">
        <v>264</v>
      </c>
      <c r="L397" s="114" t="s">
        <v>264</v>
      </c>
      <c r="M397" s="115" t="s">
        <v>242</v>
      </c>
      <c r="N397" s="116" t="s">
        <v>242</v>
      </c>
      <c r="O397" s="116" t="s">
        <v>242</v>
      </c>
      <c r="P397" s="116" t="s">
        <v>242</v>
      </c>
      <c r="Q397" s="116" t="s">
        <v>242</v>
      </c>
      <c r="R397" s="116" t="s">
        <v>242</v>
      </c>
      <c r="S397" s="116" t="s">
        <v>242</v>
      </c>
      <c r="T397" s="118" t="s">
        <v>242</v>
      </c>
      <c r="U397" s="113" t="s">
        <v>242</v>
      </c>
      <c r="V397" s="119">
        <v>89.64</v>
      </c>
      <c r="W397" s="120" t="s">
        <v>99</v>
      </c>
      <c r="X397" s="121" t="s">
        <v>259</v>
      </c>
    </row>
    <row r="398" spans="1:24" ht="15" customHeight="1" x14ac:dyDescent="0.2">
      <c r="A398" s="111" t="s">
        <v>241</v>
      </c>
      <c r="B398" s="112" t="s">
        <v>322</v>
      </c>
      <c r="C398" s="112" t="s">
        <v>249</v>
      </c>
      <c r="D398" s="112" t="s">
        <v>242</v>
      </c>
      <c r="E398" s="113" t="s">
        <v>242</v>
      </c>
      <c r="F398" s="113" t="s">
        <v>242</v>
      </c>
      <c r="G398" s="113" t="s">
        <v>251</v>
      </c>
      <c r="H398" s="114" t="s">
        <v>243</v>
      </c>
      <c r="I398" s="114" t="s">
        <v>244</v>
      </c>
      <c r="J398" s="114" t="s">
        <v>257</v>
      </c>
      <c r="K398" s="114" t="s">
        <v>264</v>
      </c>
      <c r="L398" s="114" t="s">
        <v>264</v>
      </c>
      <c r="M398" s="115" t="s">
        <v>242</v>
      </c>
      <c r="N398" s="116">
        <v>89.64</v>
      </c>
      <c r="O398" s="116" t="s">
        <v>242</v>
      </c>
      <c r="P398" s="116" t="s">
        <v>242</v>
      </c>
      <c r="Q398" s="116" t="s">
        <v>242</v>
      </c>
      <c r="R398" s="116">
        <v>89.64</v>
      </c>
      <c r="S398" s="116">
        <v>1</v>
      </c>
      <c r="T398" s="118" t="s">
        <v>242</v>
      </c>
      <c r="U398" s="113">
        <v>89.64</v>
      </c>
      <c r="V398" s="119"/>
      <c r="W398" s="120" t="s">
        <v>99</v>
      </c>
      <c r="X398" s="121" t="s">
        <v>259</v>
      </c>
    </row>
    <row r="399" spans="1:24" ht="15" customHeight="1" x14ac:dyDescent="0.2">
      <c r="A399" s="111" t="s">
        <v>241</v>
      </c>
      <c r="B399" s="112" t="s">
        <v>242</v>
      </c>
      <c r="C399" s="112" t="s">
        <v>242</v>
      </c>
      <c r="D399" s="112" t="s">
        <v>242</v>
      </c>
      <c r="E399" s="113" t="s">
        <v>242</v>
      </c>
      <c r="F399" s="113" t="s">
        <v>242</v>
      </c>
      <c r="G399" s="113" t="s">
        <v>242</v>
      </c>
      <c r="H399" s="114" t="s">
        <v>243</v>
      </c>
      <c r="I399" s="114" t="s">
        <v>244</v>
      </c>
      <c r="J399" s="114" t="s">
        <v>257</v>
      </c>
      <c r="K399" s="114" t="s">
        <v>266</v>
      </c>
      <c r="L399" s="114" t="s">
        <v>266</v>
      </c>
      <c r="M399" s="115" t="s">
        <v>242</v>
      </c>
      <c r="N399" s="116" t="s">
        <v>242</v>
      </c>
      <c r="O399" s="116" t="s">
        <v>242</v>
      </c>
      <c r="P399" s="116" t="s">
        <v>242</v>
      </c>
      <c r="Q399" s="116" t="s">
        <v>242</v>
      </c>
      <c r="R399" s="116" t="s">
        <v>242</v>
      </c>
      <c r="S399" s="116" t="s">
        <v>242</v>
      </c>
      <c r="T399" s="118" t="s">
        <v>242</v>
      </c>
      <c r="U399" s="113" t="s">
        <v>242</v>
      </c>
      <c r="V399" s="119">
        <v>3</v>
      </c>
      <c r="W399" s="120" t="s">
        <v>179</v>
      </c>
      <c r="X399" s="121" t="s">
        <v>259</v>
      </c>
    </row>
    <row r="400" spans="1:24" ht="15" customHeight="1" x14ac:dyDescent="0.2">
      <c r="A400" s="111" t="s">
        <v>241</v>
      </c>
      <c r="B400" s="112" t="s">
        <v>322</v>
      </c>
      <c r="C400" s="112" t="s">
        <v>249</v>
      </c>
      <c r="D400" s="112" t="s">
        <v>252</v>
      </c>
      <c r="E400" s="113" t="s">
        <v>293</v>
      </c>
      <c r="F400" s="113" t="s">
        <v>42</v>
      </c>
      <c r="G400" s="113" t="s">
        <v>251</v>
      </c>
      <c r="H400" s="114" t="s">
        <v>243</v>
      </c>
      <c r="I400" s="114" t="s">
        <v>244</v>
      </c>
      <c r="J400" s="114" t="s">
        <v>257</v>
      </c>
      <c r="K400" s="114" t="s">
        <v>266</v>
      </c>
      <c r="L400" s="114" t="s">
        <v>266</v>
      </c>
      <c r="M400" s="115" t="s">
        <v>242</v>
      </c>
      <c r="N400" s="116">
        <v>1</v>
      </c>
      <c r="O400" s="116">
        <v>3</v>
      </c>
      <c r="P400" s="116" t="s">
        <v>242</v>
      </c>
      <c r="Q400" s="116" t="s">
        <v>242</v>
      </c>
      <c r="R400" s="116">
        <v>3</v>
      </c>
      <c r="S400" s="116">
        <v>1</v>
      </c>
      <c r="T400" s="118" t="s">
        <v>242</v>
      </c>
      <c r="U400" s="113">
        <v>3</v>
      </c>
      <c r="V400" s="119"/>
      <c r="W400" s="120" t="s">
        <v>179</v>
      </c>
      <c r="X400" s="121" t="s">
        <v>259</v>
      </c>
    </row>
    <row r="401" spans="1:24" ht="15" customHeight="1" x14ac:dyDescent="0.2">
      <c r="A401" s="111" t="s">
        <v>241</v>
      </c>
      <c r="B401" s="112" t="s">
        <v>242</v>
      </c>
      <c r="C401" s="112" t="s">
        <v>242</v>
      </c>
      <c r="D401" s="112" t="s">
        <v>242</v>
      </c>
      <c r="E401" s="113" t="s">
        <v>242</v>
      </c>
      <c r="F401" s="113" t="s">
        <v>242</v>
      </c>
      <c r="G401" s="113" t="s">
        <v>242</v>
      </c>
      <c r="H401" s="114" t="s">
        <v>243</v>
      </c>
      <c r="I401" s="114" t="s">
        <v>244</v>
      </c>
      <c r="J401" s="114" t="s">
        <v>257</v>
      </c>
      <c r="K401" s="114" t="s">
        <v>267</v>
      </c>
      <c r="L401" s="114" t="s">
        <v>267</v>
      </c>
      <c r="M401" s="115" t="s">
        <v>242</v>
      </c>
      <c r="N401" s="116" t="s">
        <v>242</v>
      </c>
      <c r="O401" s="116" t="s">
        <v>242</v>
      </c>
      <c r="P401" s="116" t="s">
        <v>242</v>
      </c>
      <c r="Q401" s="116" t="s">
        <v>242</v>
      </c>
      <c r="R401" s="116" t="s">
        <v>242</v>
      </c>
      <c r="S401" s="116" t="s">
        <v>242</v>
      </c>
      <c r="T401" s="118" t="s">
        <v>242</v>
      </c>
      <c r="U401" s="113" t="s">
        <v>242</v>
      </c>
      <c r="V401" s="119">
        <v>15</v>
      </c>
      <c r="W401" s="120" t="s">
        <v>74</v>
      </c>
      <c r="X401" s="121" t="s">
        <v>259</v>
      </c>
    </row>
    <row r="402" spans="1:24" ht="15" customHeight="1" x14ac:dyDescent="0.2">
      <c r="A402" s="111" t="s">
        <v>241</v>
      </c>
      <c r="B402" s="112" t="s">
        <v>322</v>
      </c>
      <c r="C402" s="112" t="s">
        <v>249</v>
      </c>
      <c r="D402" s="112" t="s">
        <v>254</v>
      </c>
      <c r="E402" s="113" t="s">
        <v>45</v>
      </c>
      <c r="F402" s="113" t="s">
        <v>279</v>
      </c>
      <c r="G402" s="113" t="s">
        <v>251</v>
      </c>
      <c r="H402" s="114" t="s">
        <v>243</v>
      </c>
      <c r="I402" s="114" t="s">
        <v>244</v>
      </c>
      <c r="J402" s="114" t="s">
        <v>257</v>
      </c>
      <c r="K402" s="114" t="s">
        <v>267</v>
      </c>
      <c r="L402" s="114" t="s">
        <v>267</v>
      </c>
      <c r="M402" s="115" t="s">
        <v>242</v>
      </c>
      <c r="N402" s="116" t="s">
        <v>321</v>
      </c>
      <c r="O402" s="116" t="s">
        <v>242</v>
      </c>
      <c r="P402" s="116" t="s">
        <v>242</v>
      </c>
      <c r="Q402" s="116" t="s">
        <v>242</v>
      </c>
      <c r="R402" s="116">
        <v>15</v>
      </c>
      <c r="S402" s="116">
        <v>1</v>
      </c>
      <c r="T402" s="118" t="s">
        <v>242</v>
      </c>
      <c r="U402" s="113">
        <v>15</v>
      </c>
      <c r="V402" s="119"/>
      <c r="W402" s="120" t="s">
        <v>74</v>
      </c>
      <c r="X402" s="121" t="s">
        <v>259</v>
      </c>
    </row>
    <row r="403" spans="1:24" ht="15" customHeight="1" x14ac:dyDescent="0.2">
      <c r="A403" s="111" t="s">
        <v>241</v>
      </c>
      <c r="B403" s="112" t="s">
        <v>242</v>
      </c>
      <c r="C403" s="112" t="s">
        <v>242</v>
      </c>
      <c r="D403" s="112" t="s">
        <v>242</v>
      </c>
      <c r="E403" s="113" t="s">
        <v>242</v>
      </c>
      <c r="F403" s="113" t="s">
        <v>242</v>
      </c>
      <c r="G403" s="113" t="s">
        <v>242</v>
      </c>
      <c r="H403" s="114" t="s">
        <v>243</v>
      </c>
      <c r="I403" s="114" t="s">
        <v>244</v>
      </c>
      <c r="J403" s="114" t="s">
        <v>257</v>
      </c>
      <c r="K403" s="114" t="s">
        <v>268</v>
      </c>
      <c r="L403" s="114" t="s">
        <v>268</v>
      </c>
      <c r="M403" s="115" t="s">
        <v>242</v>
      </c>
      <c r="N403" s="116" t="s">
        <v>242</v>
      </c>
      <c r="O403" s="116" t="s">
        <v>242</v>
      </c>
      <c r="P403" s="116" t="s">
        <v>242</v>
      </c>
      <c r="Q403" s="116" t="s">
        <v>242</v>
      </c>
      <c r="R403" s="116" t="s">
        <v>242</v>
      </c>
      <c r="S403" s="116" t="s">
        <v>242</v>
      </c>
      <c r="T403" s="118" t="s">
        <v>242</v>
      </c>
      <c r="U403" s="113" t="s">
        <v>242</v>
      </c>
      <c r="V403" s="119">
        <v>270</v>
      </c>
      <c r="W403" s="120" t="s">
        <v>74</v>
      </c>
      <c r="X403" s="121" t="s">
        <v>259</v>
      </c>
    </row>
    <row r="404" spans="1:24" ht="15" customHeight="1" x14ac:dyDescent="0.2">
      <c r="A404" s="111" t="s">
        <v>241</v>
      </c>
      <c r="B404" s="112" t="s">
        <v>322</v>
      </c>
      <c r="C404" s="112" t="s">
        <v>249</v>
      </c>
      <c r="D404" s="112" t="s">
        <v>242</v>
      </c>
      <c r="E404" s="113" t="s">
        <v>242</v>
      </c>
      <c r="F404" s="113" t="s">
        <v>242</v>
      </c>
      <c r="G404" s="113" t="s">
        <v>251</v>
      </c>
      <c r="H404" s="114" t="s">
        <v>243</v>
      </c>
      <c r="I404" s="114" t="s">
        <v>244</v>
      </c>
      <c r="J404" s="114" t="s">
        <v>257</v>
      </c>
      <c r="K404" s="114" t="s">
        <v>268</v>
      </c>
      <c r="L404" s="114" t="s">
        <v>268</v>
      </c>
      <c r="M404" s="115" t="s">
        <v>242</v>
      </c>
      <c r="N404" s="116">
        <v>270</v>
      </c>
      <c r="O404" s="116" t="s">
        <v>242</v>
      </c>
      <c r="P404" s="116" t="s">
        <v>242</v>
      </c>
      <c r="Q404" s="116" t="s">
        <v>242</v>
      </c>
      <c r="R404" s="116">
        <v>270</v>
      </c>
      <c r="S404" s="116">
        <v>1</v>
      </c>
      <c r="T404" s="118" t="s">
        <v>242</v>
      </c>
      <c r="U404" s="113">
        <v>270</v>
      </c>
      <c r="V404" s="119"/>
      <c r="W404" s="120" t="s">
        <v>74</v>
      </c>
      <c r="X404" s="121" t="s">
        <v>259</v>
      </c>
    </row>
    <row r="405" spans="1:24" ht="15" customHeight="1" x14ac:dyDescent="0.2">
      <c r="A405" s="111" t="s">
        <v>241</v>
      </c>
      <c r="B405" s="112" t="s">
        <v>242</v>
      </c>
      <c r="C405" s="112" t="s">
        <v>242</v>
      </c>
      <c r="D405" s="112" t="s">
        <v>242</v>
      </c>
      <c r="E405" s="113" t="s">
        <v>242</v>
      </c>
      <c r="F405" s="113" t="s">
        <v>242</v>
      </c>
      <c r="G405" s="113" t="s">
        <v>242</v>
      </c>
      <c r="H405" s="114" t="s">
        <v>243</v>
      </c>
      <c r="I405" s="114" t="s">
        <v>244</v>
      </c>
      <c r="J405" s="114" t="s">
        <v>257</v>
      </c>
      <c r="K405" s="114" t="s">
        <v>269</v>
      </c>
      <c r="L405" s="114" t="s">
        <v>269</v>
      </c>
      <c r="M405" s="115" t="s">
        <v>242</v>
      </c>
      <c r="N405" s="116" t="s">
        <v>242</v>
      </c>
      <c r="O405" s="116" t="s">
        <v>242</v>
      </c>
      <c r="P405" s="116" t="s">
        <v>242</v>
      </c>
      <c r="Q405" s="116" t="s">
        <v>242</v>
      </c>
      <c r="R405" s="116" t="s">
        <v>242</v>
      </c>
      <c r="S405" s="116" t="s">
        <v>242</v>
      </c>
      <c r="T405" s="118" t="s">
        <v>242</v>
      </c>
      <c r="U405" s="113" t="s">
        <v>242</v>
      </c>
      <c r="V405" s="119">
        <v>2.46</v>
      </c>
      <c r="W405" s="120" t="s">
        <v>270</v>
      </c>
      <c r="X405" s="121" t="s">
        <v>259</v>
      </c>
    </row>
    <row r="406" spans="1:24" ht="15" customHeight="1" x14ac:dyDescent="0.2">
      <c r="A406" s="111" t="s">
        <v>241</v>
      </c>
      <c r="B406" s="112" t="s">
        <v>322</v>
      </c>
      <c r="C406" s="112" t="s">
        <v>249</v>
      </c>
      <c r="D406" s="112" t="s">
        <v>260</v>
      </c>
      <c r="E406" s="113" t="s">
        <v>54</v>
      </c>
      <c r="F406" s="113" t="s">
        <v>46</v>
      </c>
      <c r="G406" s="113" t="s">
        <v>251</v>
      </c>
      <c r="H406" s="114" t="s">
        <v>243</v>
      </c>
      <c r="I406" s="114" t="s">
        <v>244</v>
      </c>
      <c r="J406" s="114" t="s">
        <v>257</v>
      </c>
      <c r="K406" s="114" t="s">
        <v>269</v>
      </c>
      <c r="L406" s="114" t="s">
        <v>269</v>
      </c>
      <c r="M406" s="115" t="s">
        <v>242</v>
      </c>
      <c r="N406" s="116">
        <v>1</v>
      </c>
      <c r="O406" s="116">
        <v>1.3</v>
      </c>
      <c r="P406" s="116">
        <v>0.95</v>
      </c>
      <c r="Q406" s="116" t="s">
        <v>242</v>
      </c>
      <c r="R406" s="116">
        <v>1.23</v>
      </c>
      <c r="S406" s="116">
        <v>2</v>
      </c>
      <c r="T406" s="118" t="s">
        <v>242</v>
      </c>
      <c r="U406" s="113">
        <v>2.46</v>
      </c>
      <c r="V406" s="119"/>
      <c r="W406" s="120" t="s">
        <v>270</v>
      </c>
      <c r="X406" s="121" t="s">
        <v>259</v>
      </c>
    </row>
    <row r="407" spans="1:24" ht="15" customHeight="1" x14ac:dyDescent="0.2">
      <c r="A407" s="111" t="s">
        <v>241</v>
      </c>
      <c r="B407" s="112" t="s">
        <v>242</v>
      </c>
      <c r="C407" s="112" t="s">
        <v>242</v>
      </c>
      <c r="D407" s="112" t="s">
        <v>242</v>
      </c>
      <c r="E407" s="113" t="s">
        <v>242</v>
      </c>
      <c r="F407" s="113" t="s">
        <v>242</v>
      </c>
      <c r="G407" s="113" t="s">
        <v>242</v>
      </c>
      <c r="H407" s="114" t="s">
        <v>243</v>
      </c>
      <c r="I407" s="114" t="s">
        <v>244</v>
      </c>
      <c r="J407" s="114" t="s">
        <v>257</v>
      </c>
      <c r="K407" s="114" t="s">
        <v>271</v>
      </c>
      <c r="L407" s="114" t="s">
        <v>271</v>
      </c>
      <c r="M407" s="115" t="s">
        <v>242</v>
      </c>
      <c r="N407" s="116" t="s">
        <v>242</v>
      </c>
      <c r="O407" s="116" t="s">
        <v>242</v>
      </c>
      <c r="P407" s="116" t="s">
        <v>242</v>
      </c>
      <c r="Q407" s="116" t="s">
        <v>242</v>
      </c>
      <c r="R407" s="116" t="s">
        <v>242</v>
      </c>
      <c r="S407" s="116" t="s">
        <v>242</v>
      </c>
      <c r="T407" s="118" t="s">
        <v>242</v>
      </c>
      <c r="U407" s="113" t="s">
        <v>242</v>
      </c>
      <c r="V407" s="119">
        <v>285</v>
      </c>
      <c r="W407" s="120" t="s">
        <v>179</v>
      </c>
      <c r="X407" s="121" t="s">
        <v>259</v>
      </c>
    </row>
    <row r="408" spans="1:24" ht="15" customHeight="1" x14ac:dyDescent="0.2">
      <c r="A408" s="111" t="s">
        <v>241</v>
      </c>
      <c r="B408" s="112" t="s">
        <v>322</v>
      </c>
      <c r="C408" s="112" t="s">
        <v>249</v>
      </c>
      <c r="D408" s="112" t="s">
        <v>242</v>
      </c>
      <c r="E408" s="113" t="s">
        <v>242</v>
      </c>
      <c r="F408" s="113" t="s">
        <v>242</v>
      </c>
      <c r="G408" s="113" t="s">
        <v>251</v>
      </c>
      <c r="H408" s="114" t="s">
        <v>243</v>
      </c>
      <c r="I408" s="114" t="s">
        <v>244</v>
      </c>
      <c r="J408" s="114" t="s">
        <v>257</v>
      </c>
      <c r="K408" s="114" t="s">
        <v>271</v>
      </c>
      <c r="L408" s="114" t="s">
        <v>271</v>
      </c>
      <c r="M408" s="115" t="s">
        <v>242</v>
      </c>
      <c r="N408" s="116">
        <v>1</v>
      </c>
      <c r="O408" s="116" t="s">
        <v>323</v>
      </c>
      <c r="P408" s="116" t="s">
        <v>242</v>
      </c>
      <c r="Q408" s="116" t="s">
        <v>242</v>
      </c>
      <c r="R408" s="116">
        <v>112</v>
      </c>
      <c r="S408" s="116">
        <v>1</v>
      </c>
      <c r="T408" s="118" t="s">
        <v>242</v>
      </c>
      <c r="U408" s="113">
        <v>112</v>
      </c>
      <c r="V408" s="119"/>
      <c r="W408" s="120" t="s">
        <v>179</v>
      </c>
      <c r="X408" s="121" t="s">
        <v>259</v>
      </c>
    </row>
    <row r="409" spans="1:24" ht="15" customHeight="1" x14ac:dyDescent="0.2">
      <c r="A409" s="111" t="s">
        <v>241</v>
      </c>
      <c r="B409" s="112" t="s">
        <v>322</v>
      </c>
      <c r="C409" s="112" t="s">
        <v>249</v>
      </c>
      <c r="D409" s="112" t="s">
        <v>242</v>
      </c>
      <c r="E409" s="113" t="s">
        <v>242</v>
      </c>
      <c r="F409" s="113" t="s">
        <v>242</v>
      </c>
      <c r="G409" s="113" t="s">
        <v>251</v>
      </c>
      <c r="H409" s="114" t="s">
        <v>243</v>
      </c>
      <c r="I409" s="114" t="s">
        <v>244</v>
      </c>
      <c r="J409" s="114" t="s">
        <v>257</v>
      </c>
      <c r="K409" s="114" t="s">
        <v>271</v>
      </c>
      <c r="L409" s="114" t="s">
        <v>271</v>
      </c>
      <c r="M409" s="115" t="s">
        <v>242</v>
      </c>
      <c r="N409" s="116">
        <v>1</v>
      </c>
      <c r="O409" s="116">
        <v>8</v>
      </c>
      <c r="P409" s="116" t="s">
        <v>242</v>
      </c>
      <c r="Q409" s="116" t="s">
        <v>242</v>
      </c>
      <c r="R409" s="116">
        <v>8</v>
      </c>
      <c r="S409" s="116">
        <v>11</v>
      </c>
      <c r="T409" s="118" t="s">
        <v>242</v>
      </c>
      <c r="U409" s="113">
        <v>88</v>
      </c>
      <c r="V409" s="119"/>
      <c r="W409" s="120" t="s">
        <v>179</v>
      </c>
      <c r="X409" s="121" t="s">
        <v>259</v>
      </c>
    </row>
    <row r="410" spans="1:24" ht="15" customHeight="1" x14ac:dyDescent="0.2">
      <c r="A410" s="111" t="s">
        <v>241</v>
      </c>
      <c r="B410" s="112" t="s">
        <v>322</v>
      </c>
      <c r="C410" s="112" t="s">
        <v>249</v>
      </c>
      <c r="D410" s="112" t="s">
        <v>242</v>
      </c>
      <c r="E410" s="113" t="s">
        <v>242</v>
      </c>
      <c r="F410" s="113" t="s">
        <v>242</v>
      </c>
      <c r="G410" s="113" t="s">
        <v>251</v>
      </c>
      <c r="H410" s="114" t="s">
        <v>243</v>
      </c>
      <c r="I410" s="114" t="s">
        <v>244</v>
      </c>
      <c r="J410" s="114" t="s">
        <v>257</v>
      </c>
      <c r="K410" s="114" t="s">
        <v>271</v>
      </c>
      <c r="L410" s="114" t="s">
        <v>271</v>
      </c>
      <c r="M410" s="115" t="s">
        <v>242</v>
      </c>
      <c r="N410" s="116">
        <v>1</v>
      </c>
      <c r="O410" s="116">
        <v>57</v>
      </c>
      <c r="P410" s="116" t="s">
        <v>242</v>
      </c>
      <c r="Q410" s="116" t="s">
        <v>242</v>
      </c>
      <c r="R410" s="116">
        <v>57</v>
      </c>
      <c r="S410" s="116">
        <v>1</v>
      </c>
      <c r="T410" s="118" t="s">
        <v>242</v>
      </c>
      <c r="U410" s="113">
        <v>57</v>
      </c>
      <c r="V410" s="119"/>
      <c r="W410" s="120" t="s">
        <v>179</v>
      </c>
      <c r="X410" s="121" t="s">
        <v>259</v>
      </c>
    </row>
    <row r="411" spans="1:24" ht="15" customHeight="1" x14ac:dyDescent="0.2">
      <c r="A411" s="111" t="s">
        <v>241</v>
      </c>
      <c r="B411" s="112" t="s">
        <v>322</v>
      </c>
      <c r="C411" s="112" t="s">
        <v>249</v>
      </c>
      <c r="D411" s="112" t="s">
        <v>242</v>
      </c>
      <c r="E411" s="113" t="s">
        <v>242</v>
      </c>
      <c r="F411" s="113" t="s">
        <v>242</v>
      </c>
      <c r="G411" s="113" t="s">
        <v>251</v>
      </c>
      <c r="H411" s="114" t="s">
        <v>243</v>
      </c>
      <c r="I411" s="114" t="s">
        <v>244</v>
      </c>
      <c r="J411" s="114" t="s">
        <v>257</v>
      </c>
      <c r="K411" s="114" t="s">
        <v>271</v>
      </c>
      <c r="L411" s="114" t="s">
        <v>271</v>
      </c>
      <c r="M411" s="115" t="s">
        <v>242</v>
      </c>
      <c r="N411" s="116">
        <v>1</v>
      </c>
      <c r="O411" s="116" t="s">
        <v>324</v>
      </c>
      <c r="P411" s="116" t="s">
        <v>242</v>
      </c>
      <c r="Q411" s="116" t="s">
        <v>242</v>
      </c>
      <c r="R411" s="116">
        <v>28</v>
      </c>
      <c r="S411" s="116">
        <v>1</v>
      </c>
      <c r="T411" s="118" t="s">
        <v>242</v>
      </c>
      <c r="U411" s="113">
        <v>28</v>
      </c>
      <c r="V411" s="119"/>
      <c r="W411" s="120" t="s">
        <v>179</v>
      </c>
      <c r="X411" s="121" t="s">
        <v>259</v>
      </c>
    </row>
    <row r="412" spans="1:24" ht="15" customHeight="1" x14ac:dyDescent="0.2">
      <c r="A412" s="111" t="s">
        <v>241</v>
      </c>
      <c r="B412" s="112" t="s">
        <v>242</v>
      </c>
      <c r="C412" s="112" t="s">
        <v>242</v>
      </c>
      <c r="D412" s="112" t="s">
        <v>242</v>
      </c>
      <c r="E412" s="113" t="s">
        <v>242</v>
      </c>
      <c r="F412" s="113" t="s">
        <v>242</v>
      </c>
      <c r="G412" s="113" t="s">
        <v>242</v>
      </c>
      <c r="H412" s="114" t="s">
        <v>243</v>
      </c>
      <c r="I412" s="114" t="s">
        <v>244</v>
      </c>
      <c r="J412" s="114" t="s">
        <v>257</v>
      </c>
      <c r="K412" s="114" t="s">
        <v>276</v>
      </c>
      <c r="L412" s="114" t="s">
        <v>276</v>
      </c>
      <c r="M412" s="115" t="s">
        <v>242</v>
      </c>
      <c r="N412" s="116" t="s">
        <v>242</v>
      </c>
      <c r="O412" s="116" t="s">
        <v>242</v>
      </c>
      <c r="P412" s="116" t="s">
        <v>242</v>
      </c>
      <c r="Q412" s="116" t="s">
        <v>242</v>
      </c>
      <c r="R412" s="116" t="s">
        <v>242</v>
      </c>
      <c r="S412" s="116" t="s">
        <v>242</v>
      </c>
      <c r="T412" s="118" t="s">
        <v>242</v>
      </c>
      <c r="U412" s="113" t="s">
        <v>242</v>
      </c>
      <c r="V412" s="119">
        <v>1.4</v>
      </c>
      <c r="W412" s="120" t="s">
        <v>270</v>
      </c>
      <c r="X412" s="121" t="s">
        <v>259</v>
      </c>
    </row>
    <row r="413" spans="1:24" ht="15" customHeight="1" x14ac:dyDescent="0.2">
      <c r="A413" s="111" t="s">
        <v>241</v>
      </c>
      <c r="B413" s="112" t="s">
        <v>322</v>
      </c>
      <c r="C413" s="112" t="s">
        <v>249</v>
      </c>
      <c r="D413" s="112" t="s">
        <v>250</v>
      </c>
      <c r="E413" s="113" t="s">
        <v>41</v>
      </c>
      <c r="F413" s="113" t="s">
        <v>279</v>
      </c>
      <c r="G413" s="113" t="s">
        <v>251</v>
      </c>
      <c r="H413" s="114" t="s">
        <v>243</v>
      </c>
      <c r="I413" s="114" t="s">
        <v>244</v>
      </c>
      <c r="J413" s="114" t="s">
        <v>257</v>
      </c>
      <c r="K413" s="114" t="s">
        <v>276</v>
      </c>
      <c r="L413" s="114" t="s">
        <v>276</v>
      </c>
      <c r="M413" s="115" t="s">
        <v>242</v>
      </c>
      <c r="N413" s="116">
        <v>1</v>
      </c>
      <c r="O413" s="116">
        <v>7</v>
      </c>
      <c r="P413" s="116">
        <v>0.2</v>
      </c>
      <c r="Q413" s="116" t="s">
        <v>242</v>
      </c>
      <c r="R413" s="116">
        <v>1.4</v>
      </c>
      <c r="S413" s="116">
        <v>1</v>
      </c>
      <c r="T413" s="118" t="s">
        <v>242</v>
      </c>
      <c r="U413" s="113">
        <v>1.4</v>
      </c>
      <c r="V413" s="119"/>
      <c r="W413" s="120" t="s">
        <v>270</v>
      </c>
      <c r="X413" s="121" t="s">
        <v>259</v>
      </c>
    </row>
    <row r="414" spans="1:24" ht="15" customHeight="1" x14ac:dyDescent="0.25">
      <c r="A414" s="48"/>
      <c r="B414" s="49"/>
      <c r="C414" s="48"/>
      <c r="D414" s="48"/>
      <c r="E414" s="53"/>
      <c r="F414" s="46"/>
      <c r="G414" s="46"/>
      <c r="H414" s="46"/>
      <c r="I414" s="46"/>
      <c r="J414" s="46"/>
      <c r="K414" s="46"/>
      <c r="L414" s="46"/>
      <c r="M414" s="48"/>
      <c r="N414" s="48"/>
      <c r="O414" s="49"/>
      <c r="P414" s="48"/>
      <c r="Q414" s="48"/>
      <c r="R414" s="48"/>
      <c r="S414" s="46"/>
      <c r="T414" s="48"/>
      <c r="U414" s="48"/>
      <c r="V414" s="25"/>
      <c r="W414" s="25"/>
      <c r="X414" s="25"/>
    </row>
    <row r="415" spans="1:24" ht="15" customHeight="1" x14ac:dyDescent="0.25">
      <c r="A415" s="48"/>
      <c r="B415" s="49"/>
      <c r="C415" s="48"/>
      <c r="D415" s="48"/>
      <c r="E415" s="53"/>
      <c r="F415" s="46"/>
      <c r="G415" s="46"/>
      <c r="H415" s="46"/>
      <c r="I415" s="46"/>
      <c r="J415" s="46"/>
      <c r="K415" s="46"/>
      <c r="L415" s="46"/>
      <c r="M415" s="48"/>
      <c r="N415" s="48"/>
      <c r="O415" s="49"/>
      <c r="P415" s="48"/>
      <c r="Q415" s="48"/>
      <c r="R415" s="48"/>
      <c r="S415" s="46"/>
      <c r="T415" s="48"/>
      <c r="U415" s="48"/>
      <c r="V415" s="25"/>
      <c r="W415" s="25"/>
      <c r="X415" s="25"/>
    </row>
    <row r="416" spans="1:24" ht="15" customHeight="1" x14ac:dyDescent="0.2">
      <c r="A416" s="111" t="s">
        <v>241</v>
      </c>
      <c r="B416" s="112" t="s">
        <v>242</v>
      </c>
      <c r="C416" s="112" t="s">
        <v>242</v>
      </c>
      <c r="D416" s="112" t="s">
        <v>242</v>
      </c>
      <c r="E416" s="113" t="s">
        <v>242</v>
      </c>
      <c r="F416" s="113" t="s">
        <v>242</v>
      </c>
      <c r="G416" s="113" t="s">
        <v>242</v>
      </c>
      <c r="H416" s="114" t="s">
        <v>243</v>
      </c>
      <c r="I416" s="114" t="s">
        <v>244</v>
      </c>
      <c r="J416" s="114" t="s">
        <v>245</v>
      </c>
      <c r="K416" s="114" t="s">
        <v>255</v>
      </c>
      <c r="L416" s="114" t="s">
        <v>255</v>
      </c>
      <c r="M416" s="115" t="s">
        <v>242</v>
      </c>
      <c r="N416" s="116" t="s">
        <v>242</v>
      </c>
      <c r="O416" s="116" t="s">
        <v>242</v>
      </c>
      <c r="P416" s="116" t="s">
        <v>242</v>
      </c>
      <c r="Q416" s="116" t="s">
        <v>242</v>
      </c>
      <c r="R416" s="116" t="s">
        <v>242</v>
      </c>
      <c r="S416" s="117" t="s">
        <v>242</v>
      </c>
      <c r="T416" s="118" t="s">
        <v>242</v>
      </c>
      <c r="U416" s="113" t="s">
        <v>242</v>
      </c>
      <c r="V416" s="119">
        <v>14</v>
      </c>
      <c r="W416" s="120" t="s">
        <v>179</v>
      </c>
      <c r="X416" s="121" t="s">
        <v>247</v>
      </c>
    </row>
    <row r="417" spans="1:24" ht="15" customHeight="1" x14ac:dyDescent="0.2">
      <c r="A417" s="111" t="s">
        <v>241</v>
      </c>
      <c r="B417" s="112" t="s">
        <v>325</v>
      </c>
      <c r="C417" s="112" t="s">
        <v>249</v>
      </c>
      <c r="D417" s="112" t="s">
        <v>260</v>
      </c>
      <c r="E417" s="113" t="s">
        <v>54</v>
      </c>
      <c r="F417" s="113" t="s">
        <v>47</v>
      </c>
      <c r="G417" s="113" t="s">
        <v>251</v>
      </c>
      <c r="H417" s="114" t="s">
        <v>243</v>
      </c>
      <c r="I417" s="114" t="s">
        <v>244</v>
      </c>
      <c r="J417" s="114" t="s">
        <v>245</v>
      </c>
      <c r="K417" s="114" t="s">
        <v>255</v>
      </c>
      <c r="L417" s="114" t="s">
        <v>255</v>
      </c>
      <c r="M417" s="115" t="s">
        <v>242</v>
      </c>
      <c r="N417" s="116">
        <v>1</v>
      </c>
      <c r="O417" s="116">
        <v>14</v>
      </c>
      <c r="P417" s="116" t="s">
        <v>242</v>
      </c>
      <c r="Q417" s="116" t="s">
        <v>242</v>
      </c>
      <c r="R417" s="116">
        <v>14</v>
      </c>
      <c r="S417" s="116">
        <v>1</v>
      </c>
      <c r="T417" s="118" t="s">
        <v>242</v>
      </c>
      <c r="U417" s="113">
        <v>14</v>
      </c>
      <c r="V417" s="119"/>
      <c r="W417" s="120" t="s">
        <v>179</v>
      </c>
      <c r="X417" s="121" t="s">
        <v>247</v>
      </c>
    </row>
    <row r="418" spans="1:24" ht="15" customHeight="1" x14ac:dyDescent="0.2">
      <c r="A418" s="111" t="s">
        <v>241</v>
      </c>
      <c r="B418" s="112" t="s">
        <v>242</v>
      </c>
      <c r="C418" s="112" t="s">
        <v>242</v>
      </c>
      <c r="D418" s="112" t="s">
        <v>242</v>
      </c>
      <c r="E418" s="113" t="s">
        <v>242</v>
      </c>
      <c r="F418" s="113" t="s">
        <v>242</v>
      </c>
      <c r="G418" s="113" t="s">
        <v>242</v>
      </c>
      <c r="H418" s="114" t="s">
        <v>243</v>
      </c>
      <c r="I418" s="114" t="s">
        <v>244</v>
      </c>
      <c r="J418" s="114" t="s">
        <v>257</v>
      </c>
      <c r="K418" s="114" t="s">
        <v>278</v>
      </c>
      <c r="L418" s="114" t="s">
        <v>278</v>
      </c>
      <c r="M418" s="115" t="s">
        <v>242</v>
      </c>
      <c r="N418" s="116" t="s">
        <v>242</v>
      </c>
      <c r="O418" s="116" t="s">
        <v>242</v>
      </c>
      <c r="P418" s="116" t="s">
        <v>242</v>
      </c>
      <c r="Q418" s="116" t="s">
        <v>242</v>
      </c>
      <c r="R418" s="116" t="s">
        <v>242</v>
      </c>
      <c r="S418" s="116" t="s">
        <v>242</v>
      </c>
      <c r="T418" s="118" t="s">
        <v>242</v>
      </c>
      <c r="U418" s="113" t="s">
        <v>242</v>
      </c>
      <c r="V418" s="119">
        <v>12</v>
      </c>
      <c r="W418" s="120" t="s">
        <v>179</v>
      </c>
      <c r="X418" s="121" t="s">
        <v>259</v>
      </c>
    </row>
    <row r="419" spans="1:24" ht="15" customHeight="1" x14ac:dyDescent="0.2">
      <c r="A419" s="111" t="s">
        <v>241</v>
      </c>
      <c r="B419" s="112" t="s">
        <v>325</v>
      </c>
      <c r="C419" s="112" t="s">
        <v>249</v>
      </c>
      <c r="D419" s="112" t="s">
        <v>250</v>
      </c>
      <c r="E419" s="113" t="s">
        <v>41</v>
      </c>
      <c r="F419" s="113" t="s">
        <v>46</v>
      </c>
      <c r="G419" s="113" t="s">
        <v>251</v>
      </c>
      <c r="H419" s="114" t="s">
        <v>243</v>
      </c>
      <c r="I419" s="114" t="s">
        <v>244</v>
      </c>
      <c r="J419" s="114" t="s">
        <v>257</v>
      </c>
      <c r="K419" s="114" t="s">
        <v>278</v>
      </c>
      <c r="L419" s="114" t="s">
        <v>278</v>
      </c>
      <c r="M419" s="115" t="s">
        <v>242</v>
      </c>
      <c r="N419" s="116">
        <v>1</v>
      </c>
      <c r="O419" s="116">
        <v>12</v>
      </c>
      <c r="P419" s="116" t="s">
        <v>242</v>
      </c>
      <c r="Q419" s="116" t="s">
        <v>242</v>
      </c>
      <c r="R419" s="116">
        <v>12</v>
      </c>
      <c r="S419" s="116">
        <v>1</v>
      </c>
      <c r="T419" s="118" t="s">
        <v>242</v>
      </c>
      <c r="U419" s="113">
        <v>12</v>
      </c>
      <c r="V419" s="119"/>
      <c r="W419" s="120" t="s">
        <v>179</v>
      </c>
      <c r="X419" s="121" t="s">
        <v>259</v>
      </c>
    </row>
    <row r="420" spans="1:24" ht="15" customHeight="1" x14ac:dyDescent="0.2">
      <c r="A420" s="111" t="s">
        <v>241</v>
      </c>
      <c r="B420" s="112" t="s">
        <v>242</v>
      </c>
      <c r="C420" s="112" t="s">
        <v>242</v>
      </c>
      <c r="D420" s="112" t="s">
        <v>242</v>
      </c>
      <c r="E420" s="113" t="s">
        <v>242</v>
      </c>
      <c r="F420" s="113" t="s">
        <v>242</v>
      </c>
      <c r="G420" s="113" t="s">
        <v>242</v>
      </c>
      <c r="H420" s="114" t="s">
        <v>243</v>
      </c>
      <c r="I420" s="114" t="s">
        <v>244</v>
      </c>
      <c r="J420" s="114" t="s">
        <v>257</v>
      </c>
      <c r="K420" s="114" t="s">
        <v>258</v>
      </c>
      <c r="L420" s="114" t="s">
        <v>258</v>
      </c>
      <c r="M420" s="115" t="s">
        <v>242</v>
      </c>
      <c r="N420" s="116" t="s">
        <v>242</v>
      </c>
      <c r="O420" s="116" t="s">
        <v>242</v>
      </c>
      <c r="P420" s="116" t="s">
        <v>242</v>
      </c>
      <c r="Q420" s="116" t="s">
        <v>242</v>
      </c>
      <c r="R420" s="116" t="s">
        <v>242</v>
      </c>
      <c r="S420" s="116" t="s">
        <v>242</v>
      </c>
      <c r="T420" s="118" t="s">
        <v>242</v>
      </c>
      <c r="U420" s="113" t="s">
        <v>242</v>
      </c>
      <c r="V420" s="119">
        <v>27</v>
      </c>
      <c r="W420" s="120" t="s">
        <v>179</v>
      </c>
      <c r="X420" s="121" t="s">
        <v>259</v>
      </c>
    </row>
    <row r="421" spans="1:24" ht="15" customHeight="1" x14ac:dyDescent="0.2">
      <c r="A421" s="111" t="s">
        <v>241</v>
      </c>
      <c r="B421" s="112" t="s">
        <v>325</v>
      </c>
      <c r="C421" s="112" t="s">
        <v>249</v>
      </c>
      <c r="D421" s="112" t="s">
        <v>250</v>
      </c>
      <c r="E421" s="113" t="s">
        <v>41</v>
      </c>
      <c r="F421" s="113" t="s">
        <v>44</v>
      </c>
      <c r="G421" s="113" t="s">
        <v>251</v>
      </c>
      <c r="H421" s="114" t="s">
        <v>243</v>
      </c>
      <c r="I421" s="114" t="s">
        <v>244</v>
      </c>
      <c r="J421" s="114" t="s">
        <v>257</v>
      </c>
      <c r="K421" s="114" t="s">
        <v>258</v>
      </c>
      <c r="L421" s="114" t="s">
        <v>258</v>
      </c>
      <c r="M421" s="115" t="s">
        <v>242</v>
      </c>
      <c r="N421" s="116">
        <v>1</v>
      </c>
      <c r="O421" s="116">
        <v>20</v>
      </c>
      <c r="P421" s="116" t="s">
        <v>242</v>
      </c>
      <c r="Q421" s="116" t="s">
        <v>242</v>
      </c>
      <c r="R421" s="116">
        <v>20</v>
      </c>
      <c r="S421" s="116">
        <v>1</v>
      </c>
      <c r="T421" s="118" t="s">
        <v>242</v>
      </c>
      <c r="U421" s="113">
        <v>20</v>
      </c>
      <c r="V421" s="119"/>
      <c r="W421" s="120" t="s">
        <v>179</v>
      </c>
      <c r="X421" s="121" t="s">
        <v>259</v>
      </c>
    </row>
    <row r="422" spans="1:24" ht="15" customHeight="1" x14ac:dyDescent="0.2">
      <c r="A422" s="111" t="s">
        <v>241</v>
      </c>
      <c r="B422" s="112" t="s">
        <v>325</v>
      </c>
      <c r="C422" s="112" t="s">
        <v>249</v>
      </c>
      <c r="D422" s="112" t="s">
        <v>250</v>
      </c>
      <c r="E422" s="113" t="s">
        <v>41</v>
      </c>
      <c r="F422" s="113" t="s">
        <v>47</v>
      </c>
      <c r="G422" s="113" t="s">
        <v>251</v>
      </c>
      <c r="H422" s="114" t="s">
        <v>243</v>
      </c>
      <c r="I422" s="114" t="s">
        <v>244</v>
      </c>
      <c r="J422" s="114" t="s">
        <v>257</v>
      </c>
      <c r="K422" s="114" t="s">
        <v>258</v>
      </c>
      <c r="L422" s="114" t="s">
        <v>258</v>
      </c>
      <c r="M422" s="115" t="s">
        <v>242</v>
      </c>
      <c r="N422" s="116">
        <v>1</v>
      </c>
      <c r="O422" s="116">
        <v>7</v>
      </c>
      <c r="P422" s="116" t="s">
        <v>242</v>
      </c>
      <c r="Q422" s="116" t="s">
        <v>242</v>
      </c>
      <c r="R422" s="116">
        <v>7</v>
      </c>
      <c r="S422" s="116">
        <v>1</v>
      </c>
      <c r="T422" s="118" t="s">
        <v>242</v>
      </c>
      <c r="U422" s="113">
        <v>7</v>
      </c>
      <c r="V422" s="119"/>
      <c r="W422" s="120" t="s">
        <v>179</v>
      </c>
      <c r="X422" s="121" t="s">
        <v>259</v>
      </c>
    </row>
    <row r="423" spans="1:24" ht="15" customHeight="1" x14ac:dyDescent="0.2">
      <c r="A423" s="111" t="s">
        <v>241</v>
      </c>
      <c r="B423" s="112" t="s">
        <v>242</v>
      </c>
      <c r="C423" s="112" t="s">
        <v>242</v>
      </c>
      <c r="D423" s="112" t="s">
        <v>242</v>
      </c>
      <c r="E423" s="113" t="s">
        <v>242</v>
      </c>
      <c r="F423" s="113" t="s">
        <v>242</v>
      </c>
      <c r="G423" s="113" t="s">
        <v>242</v>
      </c>
      <c r="H423" s="114" t="s">
        <v>243</v>
      </c>
      <c r="I423" s="114" t="s">
        <v>244</v>
      </c>
      <c r="J423" s="114" t="s">
        <v>257</v>
      </c>
      <c r="K423" s="114" t="s">
        <v>261</v>
      </c>
      <c r="L423" s="114" t="s">
        <v>261</v>
      </c>
      <c r="M423" s="115" t="s">
        <v>242</v>
      </c>
      <c r="N423" s="116" t="s">
        <v>242</v>
      </c>
      <c r="O423" s="116" t="s">
        <v>242</v>
      </c>
      <c r="P423" s="116" t="s">
        <v>242</v>
      </c>
      <c r="Q423" s="116" t="s">
        <v>242</v>
      </c>
      <c r="R423" s="116" t="s">
        <v>242</v>
      </c>
      <c r="S423" s="116" t="s">
        <v>242</v>
      </c>
      <c r="T423" s="118" t="s">
        <v>242</v>
      </c>
      <c r="U423" s="113" t="s">
        <v>242</v>
      </c>
      <c r="V423" s="119">
        <v>200</v>
      </c>
      <c r="W423" s="120" t="s">
        <v>262</v>
      </c>
      <c r="X423" s="121" t="s">
        <v>259</v>
      </c>
    </row>
    <row r="424" spans="1:24" ht="15" customHeight="1" x14ac:dyDescent="0.2">
      <c r="A424" s="111" t="s">
        <v>241</v>
      </c>
      <c r="B424" s="112" t="s">
        <v>325</v>
      </c>
      <c r="C424" s="112" t="s">
        <v>249</v>
      </c>
      <c r="D424" s="112" t="s">
        <v>242</v>
      </c>
      <c r="E424" s="113" t="s">
        <v>242</v>
      </c>
      <c r="F424" s="113" t="s">
        <v>242</v>
      </c>
      <c r="G424" s="113" t="s">
        <v>251</v>
      </c>
      <c r="H424" s="114" t="s">
        <v>243</v>
      </c>
      <c r="I424" s="114" t="s">
        <v>244</v>
      </c>
      <c r="J424" s="114" t="s">
        <v>257</v>
      </c>
      <c r="K424" s="114" t="s">
        <v>261</v>
      </c>
      <c r="L424" s="114" t="s">
        <v>261</v>
      </c>
      <c r="M424" s="115" t="s">
        <v>242</v>
      </c>
      <c r="N424" s="116">
        <v>200</v>
      </c>
      <c r="O424" s="116" t="s">
        <v>242</v>
      </c>
      <c r="P424" s="116" t="s">
        <v>242</v>
      </c>
      <c r="Q424" s="116" t="s">
        <v>242</v>
      </c>
      <c r="R424" s="116">
        <v>200</v>
      </c>
      <c r="S424" s="116">
        <v>1</v>
      </c>
      <c r="T424" s="118" t="s">
        <v>242</v>
      </c>
      <c r="U424" s="113">
        <v>200</v>
      </c>
      <c r="V424" s="119"/>
      <c r="W424" s="120" t="s">
        <v>262</v>
      </c>
      <c r="X424" s="121" t="s">
        <v>259</v>
      </c>
    </row>
    <row r="425" spans="1:24" ht="15" customHeight="1" x14ac:dyDescent="0.2">
      <c r="A425" s="111" t="s">
        <v>241</v>
      </c>
      <c r="B425" s="112" t="s">
        <v>242</v>
      </c>
      <c r="C425" s="112" t="s">
        <v>242</v>
      </c>
      <c r="D425" s="112" t="s">
        <v>242</v>
      </c>
      <c r="E425" s="113" t="s">
        <v>242</v>
      </c>
      <c r="F425" s="113" t="s">
        <v>242</v>
      </c>
      <c r="G425" s="113" t="s">
        <v>242</v>
      </c>
      <c r="H425" s="114" t="s">
        <v>243</v>
      </c>
      <c r="I425" s="114" t="s">
        <v>244</v>
      </c>
      <c r="J425" s="114" t="s">
        <v>257</v>
      </c>
      <c r="K425" s="114" t="s">
        <v>280</v>
      </c>
      <c r="L425" s="114" t="s">
        <v>280</v>
      </c>
      <c r="M425" s="115" t="s">
        <v>242</v>
      </c>
      <c r="N425" s="116" t="s">
        <v>242</v>
      </c>
      <c r="O425" s="116" t="s">
        <v>242</v>
      </c>
      <c r="P425" s="116" t="s">
        <v>242</v>
      </c>
      <c r="Q425" s="116" t="s">
        <v>242</v>
      </c>
      <c r="R425" s="116" t="s">
        <v>242</v>
      </c>
      <c r="S425" s="116" t="s">
        <v>242</v>
      </c>
      <c r="T425" s="118" t="s">
        <v>242</v>
      </c>
      <c r="U425" s="113" t="s">
        <v>242</v>
      </c>
      <c r="V425" s="119">
        <v>60</v>
      </c>
      <c r="W425" s="120" t="s">
        <v>262</v>
      </c>
      <c r="X425" s="121" t="s">
        <v>259</v>
      </c>
    </row>
    <row r="426" spans="1:24" ht="15" customHeight="1" x14ac:dyDescent="0.2">
      <c r="A426" s="111" t="s">
        <v>241</v>
      </c>
      <c r="B426" s="112" t="s">
        <v>325</v>
      </c>
      <c r="C426" s="112" t="s">
        <v>249</v>
      </c>
      <c r="D426" s="112" t="s">
        <v>242</v>
      </c>
      <c r="E426" s="113" t="s">
        <v>242</v>
      </c>
      <c r="F426" s="113" t="s">
        <v>242</v>
      </c>
      <c r="G426" s="113" t="s">
        <v>251</v>
      </c>
      <c r="H426" s="114" t="s">
        <v>243</v>
      </c>
      <c r="I426" s="114" t="s">
        <v>244</v>
      </c>
      <c r="J426" s="114" t="s">
        <v>257</v>
      </c>
      <c r="K426" s="114" t="s">
        <v>280</v>
      </c>
      <c r="L426" s="114" t="s">
        <v>280</v>
      </c>
      <c r="M426" s="115" t="s">
        <v>242</v>
      </c>
      <c r="N426" s="116">
        <v>60</v>
      </c>
      <c r="O426" s="116" t="s">
        <v>242</v>
      </c>
      <c r="P426" s="116" t="s">
        <v>242</v>
      </c>
      <c r="Q426" s="116" t="s">
        <v>242</v>
      </c>
      <c r="R426" s="116">
        <v>60</v>
      </c>
      <c r="S426" s="116">
        <v>1</v>
      </c>
      <c r="T426" s="118" t="s">
        <v>242</v>
      </c>
      <c r="U426" s="113">
        <v>60</v>
      </c>
      <c r="V426" s="119"/>
      <c r="W426" s="120" t="s">
        <v>262</v>
      </c>
      <c r="X426" s="121" t="s">
        <v>259</v>
      </c>
    </row>
    <row r="427" spans="1:24" ht="15" customHeight="1" x14ac:dyDescent="0.2">
      <c r="A427" s="111" t="s">
        <v>241</v>
      </c>
      <c r="B427" s="112" t="s">
        <v>242</v>
      </c>
      <c r="C427" s="112" t="s">
        <v>242</v>
      </c>
      <c r="D427" s="112" t="s">
        <v>242</v>
      </c>
      <c r="E427" s="113" t="s">
        <v>242</v>
      </c>
      <c r="F427" s="113" t="s">
        <v>242</v>
      </c>
      <c r="G427" s="113" t="s">
        <v>242</v>
      </c>
      <c r="H427" s="114" t="s">
        <v>243</v>
      </c>
      <c r="I427" s="114" t="s">
        <v>244</v>
      </c>
      <c r="J427" s="114" t="s">
        <v>257</v>
      </c>
      <c r="K427" s="114" t="s">
        <v>264</v>
      </c>
      <c r="L427" s="114" t="s">
        <v>264</v>
      </c>
      <c r="M427" s="115" t="s">
        <v>242</v>
      </c>
      <c r="N427" s="116" t="s">
        <v>242</v>
      </c>
      <c r="O427" s="116" t="s">
        <v>242</v>
      </c>
      <c r="P427" s="116" t="s">
        <v>242</v>
      </c>
      <c r="Q427" s="116" t="s">
        <v>242</v>
      </c>
      <c r="R427" s="116" t="s">
        <v>242</v>
      </c>
      <c r="S427" s="116" t="s">
        <v>242</v>
      </c>
      <c r="T427" s="118" t="s">
        <v>242</v>
      </c>
      <c r="U427" s="113" t="s">
        <v>242</v>
      </c>
      <c r="V427" s="119">
        <v>96.24</v>
      </c>
      <c r="W427" s="120" t="s">
        <v>99</v>
      </c>
      <c r="X427" s="121" t="s">
        <v>259</v>
      </c>
    </row>
    <row r="428" spans="1:24" ht="15" customHeight="1" x14ac:dyDescent="0.2">
      <c r="A428" s="111" t="s">
        <v>241</v>
      </c>
      <c r="B428" s="112" t="s">
        <v>325</v>
      </c>
      <c r="C428" s="112" t="s">
        <v>249</v>
      </c>
      <c r="D428" s="112" t="s">
        <v>242</v>
      </c>
      <c r="E428" s="113" t="s">
        <v>242</v>
      </c>
      <c r="F428" s="113" t="s">
        <v>242</v>
      </c>
      <c r="G428" s="113" t="s">
        <v>251</v>
      </c>
      <c r="H428" s="114" t="s">
        <v>243</v>
      </c>
      <c r="I428" s="114" t="s">
        <v>244</v>
      </c>
      <c r="J428" s="114" t="s">
        <v>257</v>
      </c>
      <c r="K428" s="114" t="s">
        <v>264</v>
      </c>
      <c r="L428" s="114" t="s">
        <v>264</v>
      </c>
      <c r="M428" s="115" t="s">
        <v>242</v>
      </c>
      <c r="N428" s="116">
        <v>96.24</v>
      </c>
      <c r="O428" s="116" t="s">
        <v>242</v>
      </c>
      <c r="P428" s="116" t="s">
        <v>242</v>
      </c>
      <c r="Q428" s="116" t="s">
        <v>242</v>
      </c>
      <c r="R428" s="116">
        <v>96.24</v>
      </c>
      <c r="S428" s="116">
        <v>1</v>
      </c>
      <c r="T428" s="118" t="s">
        <v>242</v>
      </c>
      <c r="U428" s="113">
        <v>96.24</v>
      </c>
      <c r="V428" s="119"/>
      <c r="W428" s="120" t="s">
        <v>99</v>
      </c>
      <c r="X428" s="121" t="s">
        <v>259</v>
      </c>
    </row>
    <row r="429" spans="1:24" ht="15" customHeight="1" x14ac:dyDescent="0.2">
      <c r="A429" s="111" t="s">
        <v>241</v>
      </c>
      <c r="B429" s="112" t="s">
        <v>242</v>
      </c>
      <c r="C429" s="112" t="s">
        <v>242</v>
      </c>
      <c r="D429" s="112" t="s">
        <v>242</v>
      </c>
      <c r="E429" s="113" t="s">
        <v>242</v>
      </c>
      <c r="F429" s="113" t="s">
        <v>242</v>
      </c>
      <c r="G429" s="113" t="s">
        <v>242</v>
      </c>
      <c r="H429" s="114" t="s">
        <v>243</v>
      </c>
      <c r="I429" s="114" t="s">
        <v>244</v>
      </c>
      <c r="J429" s="114" t="s">
        <v>257</v>
      </c>
      <c r="K429" s="114" t="s">
        <v>266</v>
      </c>
      <c r="L429" s="114" t="s">
        <v>266</v>
      </c>
      <c r="M429" s="115" t="s">
        <v>242</v>
      </c>
      <c r="N429" s="116" t="s">
        <v>242</v>
      </c>
      <c r="O429" s="116" t="s">
        <v>242</v>
      </c>
      <c r="P429" s="116" t="s">
        <v>242</v>
      </c>
      <c r="Q429" s="116" t="s">
        <v>242</v>
      </c>
      <c r="R429" s="116" t="s">
        <v>242</v>
      </c>
      <c r="S429" s="116" t="s">
        <v>242</v>
      </c>
      <c r="T429" s="118" t="s">
        <v>242</v>
      </c>
      <c r="U429" s="113" t="s">
        <v>242</v>
      </c>
      <c r="V429" s="119">
        <v>14</v>
      </c>
      <c r="W429" s="120" t="s">
        <v>179</v>
      </c>
      <c r="X429" s="121" t="s">
        <v>259</v>
      </c>
    </row>
    <row r="430" spans="1:24" ht="15" customHeight="1" x14ac:dyDescent="0.2">
      <c r="A430" s="111" t="s">
        <v>241</v>
      </c>
      <c r="B430" s="112" t="s">
        <v>325</v>
      </c>
      <c r="C430" s="112" t="s">
        <v>249</v>
      </c>
      <c r="D430" s="112" t="s">
        <v>250</v>
      </c>
      <c r="E430" s="113" t="s">
        <v>41</v>
      </c>
      <c r="F430" s="113" t="s">
        <v>46</v>
      </c>
      <c r="G430" s="113" t="s">
        <v>251</v>
      </c>
      <c r="H430" s="114" t="s">
        <v>243</v>
      </c>
      <c r="I430" s="114" t="s">
        <v>244</v>
      </c>
      <c r="J430" s="114" t="s">
        <v>257</v>
      </c>
      <c r="K430" s="114" t="s">
        <v>266</v>
      </c>
      <c r="L430" s="114" t="s">
        <v>266</v>
      </c>
      <c r="M430" s="115" t="s">
        <v>242</v>
      </c>
      <c r="N430" s="116">
        <v>1</v>
      </c>
      <c r="O430" s="116">
        <v>5</v>
      </c>
      <c r="P430" s="116" t="s">
        <v>242</v>
      </c>
      <c r="Q430" s="116" t="s">
        <v>242</v>
      </c>
      <c r="R430" s="116">
        <v>5</v>
      </c>
      <c r="S430" s="116">
        <v>1</v>
      </c>
      <c r="T430" s="118" t="s">
        <v>242</v>
      </c>
      <c r="U430" s="113">
        <v>5</v>
      </c>
      <c r="V430" s="119"/>
      <c r="W430" s="120" t="s">
        <v>179</v>
      </c>
      <c r="X430" s="121" t="s">
        <v>259</v>
      </c>
    </row>
    <row r="431" spans="1:24" ht="15" customHeight="1" x14ac:dyDescent="0.2">
      <c r="A431" s="111" t="s">
        <v>241</v>
      </c>
      <c r="B431" s="112" t="s">
        <v>325</v>
      </c>
      <c r="C431" s="112" t="s">
        <v>249</v>
      </c>
      <c r="D431" s="112" t="s">
        <v>250</v>
      </c>
      <c r="E431" s="113" t="s">
        <v>41</v>
      </c>
      <c r="F431" s="113" t="s">
        <v>42</v>
      </c>
      <c r="G431" s="113" t="s">
        <v>251</v>
      </c>
      <c r="H431" s="114" t="s">
        <v>243</v>
      </c>
      <c r="I431" s="114" t="s">
        <v>244</v>
      </c>
      <c r="J431" s="114" t="s">
        <v>257</v>
      </c>
      <c r="K431" s="114" t="s">
        <v>266</v>
      </c>
      <c r="L431" s="114" t="s">
        <v>266</v>
      </c>
      <c r="M431" s="115" t="s">
        <v>242</v>
      </c>
      <c r="N431" s="116">
        <v>1</v>
      </c>
      <c r="O431" s="116">
        <v>4</v>
      </c>
      <c r="P431" s="116" t="s">
        <v>242</v>
      </c>
      <c r="Q431" s="116" t="s">
        <v>242</v>
      </c>
      <c r="R431" s="116">
        <v>4</v>
      </c>
      <c r="S431" s="116">
        <v>1</v>
      </c>
      <c r="T431" s="118" t="s">
        <v>242</v>
      </c>
      <c r="U431" s="113">
        <v>4</v>
      </c>
      <c r="V431" s="119"/>
      <c r="W431" s="120" t="s">
        <v>179</v>
      </c>
      <c r="X431" s="121" t="s">
        <v>259</v>
      </c>
    </row>
    <row r="432" spans="1:24" ht="15" customHeight="1" x14ac:dyDescent="0.2">
      <c r="A432" s="111" t="s">
        <v>241</v>
      </c>
      <c r="B432" s="112" t="s">
        <v>325</v>
      </c>
      <c r="C432" s="112" t="s">
        <v>249</v>
      </c>
      <c r="D432" s="112" t="s">
        <v>250</v>
      </c>
      <c r="E432" s="113" t="s">
        <v>41</v>
      </c>
      <c r="F432" s="113" t="s">
        <v>44</v>
      </c>
      <c r="G432" s="113" t="s">
        <v>251</v>
      </c>
      <c r="H432" s="114" t="s">
        <v>243</v>
      </c>
      <c r="I432" s="114" t="s">
        <v>244</v>
      </c>
      <c r="J432" s="114" t="s">
        <v>257</v>
      </c>
      <c r="K432" s="114" t="s">
        <v>266</v>
      </c>
      <c r="L432" s="114" t="s">
        <v>266</v>
      </c>
      <c r="M432" s="115" t="s">
        <v>242</v>
      </c>
      <c r="N432" s="116">
        <v>1</v>
      </c>
      <c r="O432" s="116">
        <v>5</v>
      </c>
      <c r="P432" s="116" t="s">
        <v>242</v>
      </c>
      <c r="Q432" s="116" t="s">
        <v>242</v>
      </c>
      <c r="R432" s="116">
        <v>5</v>
      </c>
      <c r="S432" s="116">
        <v>1</v>
      </c>
      <c r="T432" s="118" t="s">
        <v>242</v>
      </c>
      <c r="U432" s="113">
        <v>5</v>
      </c>
      <c r="V432" s="119"/>
      <c r="W432" s="120" t="s">
        <v>179</v>
      </c>
      <c r="X432" s="121" t="s">
        <v>259</v>
      </c>
    </row>
    <row r="433" spans="1:24" ht="15" customHeight="1" x14ac:dyDescent="0.2">
      <c r="A433" s="111" t="s">
        <v>241</v>
      </c>
      <c r="B433" s="112" t="s">
        <v>242</v>
      </c>
      <c r="C433" s="112" t="s">
        <v>242</v>
      </c>
      <c r="D433" s="112" t="s">
        <v>242</v>
      </c>
      <c r="E433" s="113" t="s">
        <v>242</v>
      </c>
      <c r="F433" s="113" t="s">
        <v>242</v>
      </c>
      <c r="G433" s="113" t="s">
        <v>242</v>
      </c>
      <c r="H433" s="114" t="s">
        <v>243</v>
      </c>
      <c r="I433" s="114" t="s">
        <v>244</v>
      </c>
      <c r="J433" s="114" t="s">
        <v>257</v>
      </c>
      <c r="K433" s="114" t="s">
        <v>267</v>
      </c>
      <c r="L433" s="114" t="s">
        <v>267</v>
      </c>
      <c r="M433" s="115" t="s">
        <v>242</v>
      </c>
      <c r="N433" s="116" t="s">
        <v>242</v>
      </c>
      <c r="O433" s="116" t="s">
        <v>242</v>
      </c>
      <c r="P433" s="116" t="s">
        <v>242</v>
      </c>
      <c r="Q433" s="116" t="s">
        <v>242</v>
      </c>
      <c r="R433" s="116" t="s">
        <v>242</v>
      </c>
      <c r="S433" s="116" t="s">
        <v>242</v>
      </c>
      <c r="T433" s="118" t="s">
        <v>242</v>
      </c>
      <c r="U433" s="113" t="s">
        <v>242</v>
      </c>
      <c r="V433" s="119">
        <v>3</v>
      </c>
      <c r="W433" s="120" t="s">
        <v>74</v>
      </c>
      <c r="X433" s="121" t="s">
        <v>259</v>
      </c>
    </row>
    <row r="434" spans="1:24" ht="15" customHeight="1" x14ac:dyDescent="0.2">
      <c r="A434" s="111" t="s">
        <v>241</v>
      </c>
      <c r="B434" s="112" t="s">
        <v>325</v>
      </c>
      <c r="C434" s="112" t="s">
        <v>249</v>
      </c>
      <c r="D434" s="112" t="s">
        <v>252</v>
      </c>
      <c r="E434" s="113" t="s">
        <v>48</v>
      </c>
      <c r="F434" s="113" t="s">
        <v>47</v>
      </c>
      <c r="G434" s="113" t="s">
        <v>251</v>
      </c>
      <c r="H434" s="114" t="s">
        <v>243</v>
      </c>
      <c r="I434" s="114" t="s">
        <v>244</v>
      </c>
      <c r="J434" s="114" t="s">
        <v>257</v>
      </c>
      <c r="K434" s="114" t="s">
        <v>267</v>
      </c>
      <c r="L434" s="114" t="s">
        <v>267</v>
      </c>
      <c r="M434" s="115" t="s">
        <v>242</v>
      </c>
      <c r="N434" s="116">
        <v>3</v>
      </c>
      <c r="O434" s="116" t="s">
        <v>242</v>
      </c>
      <c r="P434" s="116" t="s">
        <v>242</v>
      </c>
      <c r="Q434" s="116" t="s">
        <v>242</v>
      </c>
      <c r="R434" s="116">
        <v>3</v>
      </c>
      <c r="S434" s="116">
        <v>1</v>
      </c>
      <c r="T434" s="118" t="s">
        <v>242</v>
      </c>
      <c r="U434" s="113">
        <v>3</v>
      </c>
      <c r="V434" s="119"/>
      <c r="W434" s="120" t="s">
        <v>74</v>
      </c>
      <c r="X434" s="121" t="s">
        <v>259</v>
      </c>
    </row>
    <row r="435" spans="1:24" ht="15" customHeight="1" x14ac:dyDescent="0.2">
      <c r="A435" s="111" t="s">
        <v>241</v>
      </c>
      <c r="B435" s="112" t="s">
        <v>242</v>
      </c>
      <c r="C435" s="112" t="s">
        <v>242</v>
      </c>
      <c r="D435" s="112" t="s">
        <v>242</v>
      </c>
      <c r="E435" s="113" t="s">
        <v>242</v>
      </c>
      <c r="F435" s="113" t="s">
        <v>242</v>
      </c>
      <c r="G435" s="113" t="s">
        <v>242</v>
      </c>
      <c r="H435" s="114" t="s">
        <v>243</v>
      </c>
      <c r="I435" s="114" t="s">
        <v>244</v>
      </c>
      <c r="J435" s="114" t="s">
        <v>257</v>
      </c>
      <c r="K435" s="114" t="s">
        <v>268</v>
      </c>
      <c r="L435" s="114" t="s">
        <v>268</v>
      </c>
      <c r="M435" s="115" t="s">
        <v>242</v>
      </c>
      <c r="N435" s="116" t="s">
        <v>242</v>
      </c>
      <c r="O435" s="116" t="s">
        <v>242</v>
      </c>
      <c r="P435" s="116" t="s">
        <v>242</v>
      </c>
      <c r="Q435" s="116" t="s">
        <v>242</v>
      </c>
      <c r="R435" s="116" t="s">
        <v>242</v>
      </c>
      <c r="S435" s="116" t="s">
        <v>242</v>
      </c>
      <c r="T435" s="118" t="s">
        <v>242</v>
      </c>
      <c r="U435" s="113" t="s">
        <v>242</v>
      </c>
      <c r="V435" s="119">
        <v>257</v>
      </c>
      <c r="W435" s="120" t="s">
        <v>74</v>
      </c>
      <c r="X435" s="121" t="s">
        <v>259</v>
      </c>
    </row>
    <row r="436" spans="1:24" ht="15" customHeight="1" x14ac:dyDescent="0.2">
      <c r="A436" s="111" t="s">
        <v>241</v>
      </c>
      <c r="B436" s="112" t="s">
        <v>325</v>
      </c>
      <c r="C436" s="112" t="s">
        <v>249</v>
      </c>
      <c r="D436" s="112" t="s">
        <v>242</v>
      </c>
      <c r="E436" s="113" t="s">
        <v>242</v>
      </c>
      <c r="F436" s="113" t="s">
        <v>242</v>
      </c>
      <c r="G436" s="113" t="s">
        <v>251</v>
      </c>
      <c r="H436" s="114" t="s">
        <v>243</v>
      </c>
      <c r="I436" s="114" t="s">
        <v>244</v>
      </c>
      <c r="J436" s="114" t="s">
        <v>257</v>
      </c>
      <c r="K436" s="114" t="s">
        <v>268</v>
      </c>
      <c r="L436" s="114" t="s">
        <v>268</v>
      </c>
      <c r="M436" s="115" t="s">
        <v>242</v>
      </c>
      <c r="N436" s="116">
        <v>257</v>
      </c>
      <c r="O436" s="116" t="s">
        <v>242</v>
      </c>
      <c r="P436" s="116" t="s">
        <v>242</v>
      </c>
      <c r="Q436" s="116" t="s">
        <v>242</v>
      </c>
      <c r="R436" s="116">
        <v>257</v>
      </c>
      <c r="S436" s="116">
        <v>1</v>
      </c>
      <c r="T436" s="118" t="s">
        <v>242</v>
      </c>
      <c r="U436" s="113">
        <v>257</v>
      </c>
      <c r="V436" s="119"/>
      <c r="W436" s="120" t="s">
        <v>74</v>
      </c>
      <c r="X436" s="121" t="s">
        <v>259</v>
      </c>
    </row>
    <row r="437" spans="1:24" ht="15" customHeight="1" x14ac:dyDescent="0.2">
      <c r="A437" s="111" t="s">
        <v>241</v>
      </c>
      <c r="B437" s="112" t="s">
        <v>242</v>
      </c>
      <c r="C437" s="112" t="s">
        <v>242</v>
      </c>
      <c r="D437" s="112" t="s">
        <v>242</v>
      </c>
      <c r="E437" s="113" t="s">
        <v>242</v>
      </c>
      <c r="F437" s="113" t="s">
        <v>242</v>
      </c>
      <c r="G437" s="113" t="s">
        <v>242</v>
      </c>
      <c r="H437" s="114" t="s">
        <v>243</v>
      </c>
      <c r="I437" s="114" t="s">
        <v>244</v>
      </c>
      <c r="J437" s="114" t="s">
        <v>257</v>
      </c>
      <c r="K437" s="114" t="s">
        <v>269</v>
      </c>
      <c r="L437" s="114" t="s">
        <v>269</v>
      </c>
      <c r="M437" s="115" t="s">
        <v>242</v>
      </c>
      <c r="N437" s="116" t="s">
        <v>242</v>
      </c>
      <c r="O437" s="116" t="s">
        <v>242</v>
      </c>
      <c r="P437" s="116" t="s">
        <v>242</v>
      </c>
      <c r="Q437" s="116" t="s">
        <v>242</v>
      </c>
      <c r="R437" s="116" t="s">
        <v>242</v>
      </c>
      <c r="S437" s="116" t="s">
        <v>242</v>
      </c>
      <c r="T437" s="118" t="s">
        <v>242</v>
      </c>
      <c r="U437" s="113" t="s">
        <v>242</v>
      </c>
      <c r="V437" s="119">
        <v>40.880000000000003</v>
      </c>
      <c r="W437" s="120" t="s">
        <v>270</v>
      </c>
      <c r="X437" s="121" t="s">
        <v>259</v>
      </c>
    </row>
    <row r="438" spans="1:24" ht="15" customHeight="1" x14ac:dyDescent="0.2">
      <c r="A438" s="111" t="s">
        <v>241</v>
      </c>
      <c r="B438" s="112" t="s">
        <v>325</v>
      </c>
      <c r="C438" s="112" t="s">
        <v>249</v>
      </c>
      <c r="D438" s="112" t="s">
        <v>250</v>
      </c>
      <c r="E438" s="113" t="s">
        <v>41</v>
      </c>
      <c r="F438" s="113" t="s">
        <v>46</v>
      </c>
      <c r="G438" s="113" t="s">
        <v>251</v>
      </c>
      <c r="H438" s="114" t="s">
        <v>243</v>
      </c>
      <c r="I438" s="114" t="s">
        <v>244</v>
      </c>
      <c r="J438" s="114" t="s">
        <v>257</v>
      </c>
      <c r="K438" s="114" t="s">
        <v>269</v>
      </c>
      <c r="L438" s="114" t="s">
        <v>269</v>
      </c>
      <c r="M438" s="115" t="s">
        <v>242</v>
      </c>
      <c r="N438" s="116">
        <v>1</v>
      </c>
      <c r="O438" s="116">
        <v>5</v>
      </c>
      <c r="P438" s="116">
        <v>3</v>
      </c>
      <c r="Q438" s="116" t="s">
        <v>242</v>
      </c>
      <c r="R438" s="116">
        <v>15</v>
      </c>
      <c r="S438" s="116">
        <v>2</v>
      </c>
      <c r="T438" s="118" t="s">
        <v>242</v>
      </c>
      <c r="U438" s="113">
        <v>30</v>
      </c>
      <c r="V438" s="119"/>
      <c r="W438" s="120" t="s">
        <v>270</v>
      </c>
      <c r="X438" s="121" t="s">
        <v>259</v>
      </c>
    </row>
    <row r="439" spans="1:24" ht="15" customHeight="1" x14ac:dyDescent="0.2">
      <c r="A439" s="111" t="s">
        <v>241</v>
      </c>
      <c r="B439" s="112" t="s">
        <v>325</v>
      </c>
      <c r="C439" s="112" t="s">
        <v>249</v>
      </c>
      <c r="D439" s="112" t="s">
        <v>260</v>
      </c>
      <c r="E439" s="113" t="s">
        <v>54</v>
      </c>
      <c r="F439" s="113" t="s">
        <v>47</v>
      </c>
      <c r="G439" s="113" t="s">
        <v>251</v>
      </c>
      <c r="H439" s="114" t="s">
        <v>243</v>
      </c>
      <c r="I439" s="114" t="s">
        <v>244</v>
      </c>
      <c r="J439" s="114" t="s">
        <v>257</v>
      </c>
      <c r="K439" s="114" t="s">
        <v>269</v>
      </c>
      <c r="L439" s="114" t="s">
        <v>269</v>
      </c>
      <c r="M439" s="115" t="s">
        <v>242</v>
      </c>
      <c r="N439" s="116">
        <v>1</v>
      </c>
      <c r="O439" s="116">
        <v>1.6</v>
      </c>
      <c r="P439" s="116">
        <v>0.8</v>
      </c>
      <c r="Q439" s="116" t="s">
        <v>242</v>
      </c>
      <c r="R439" s="116">
        <v>1.28</v>
      </c>
      <c r="S439" s="116">
        <v>1</v>
      </c>
      <c r="T439" s="118" t="s">
        <v>242</v>
      </c>
      <c r="U439" s="113">
        <v>1.28</v>
      </c>
      <c r="V439" s="119"/>
      <c r="W439" s="120" t="s">
        <v>270</v>
      </c>
      <c r="X439" s="121" t="s">
        <v>259</v>
      </c>
    </row>
    <row r="440" spans="1:24" ht="15" customHeight="1" x14ac:dyDescent="0.2">
      <c r="A440" s="111" t="s">
        <v>241</v>
      </c>
      <c r="B440" s="112" t="s">
        <v>325</v>
      </c>
      <c r="C440" s="112" t="s">
        <v>249</v>
      </c>
      <c r="D440" s="112" t="s">
        <v>250</v>
      </c>
      <c r="E440" s="113" t="s">
        <v>41</v>
      </c>
      <c r="F440" s="113" t="s">
        <v>279</v>
      </c>
      <c r="G440" s="113" t="s">
        <v>251</v>
      </c>
      <c r="H440" s="114" t="s">
        <v>243</v>
      </c>
      <c r="I440" s="114" t="s">
        <v>244</v>
      </c>
      <c r="J440" s="114" t="s">
        <v>257</v>
      </c>
      <c r="K440" s="114" t="s">
        <v>269</v>
      </c>
      <c r="L440" s="114" t="s">
        <v>269</v>
      </c>
      <c r="M440" s="115" t="s">
        <v>242</v>
      </c>
      <c r="N440" s="116">
        <v>1</v>
      </c>
      <c r="O440" s="116">
        <v>2.4</v>
      </c>
      <c r="P440" s="116">
        <v>1</v>
      </c>
      <c r="Q440" s="116" t="s">
        <v>242</v>
      </c>
      <c r="R440" s="116">
        <v>2.4</v>
      </c>
      <c r="S440" s="116">
        <v>4</v>
      </c>
      <c r="T440" s="118" t="s">
        <v>242</v>
      </c>
      <c r="U440" s="113">
        <v>9.6</v>
      </c>
      <c r="V440" s="119"/>
      <c r="W440" s="120" t="s">
        <v>270</v>
      </c>
      <c r="X440" s="121" t="s">
        <v>259</v>
      </c>
    </row>
    <row r="441" spans="1:24" ht="15" customHeight="1" x14ac:dyDescent="0.2">
      <c r="A441" s="111" t="s">
        <v>241</v>
      </c>
      <c r="B441" s="112" t="s">
        <v>242</v>
      </c>
      <c r="C441" s="112" t="s">
        <v>242</v>
      </c>
      <c r="D441" s="112" t="s">
        <v>242</v>
      </c>
      <c r="E441" s="113" t="s">
        <v>242</v>
      </c>
      <c r="F441" s="113" t="s">
        <v>242</v>
      </c>
      <c r="G441" s="113" t="s">
        <v>242</v>
      </c>
      <c r="H441" s="114" t="s">
        <v>243</v>
      </c>
      <c r="I441" s="114" t="s">
        <v>244</v>
      </c>
      <c r="J441" s="114" t="s">
        <v>257</v>
      </c>
      <c r="K441" s="114" t="s">
        <v>271</v>
      </c>
      <c r="L441" s="114" t="s">
        <v>271</v>
      </c>
      <c r="M441" s="115" t="s">
        <v>242</v>
      </c>
      <c r="N441" s="116" t="s">
        <v>242</v>
      </c>
      <c r="O441" s="116" t="s">
        <v>242</v>
      </c>
      <c r="P441" s="116" t="s">
        <v>242</v>
      </c>
      <c r="Q441" s="116" t="s">
        <v>242</v>
      </c>
      <c r="R441" s="116" t="s">
        <v>242</v>
      </c>
      <c r="S441" s="116" t="s">
        <v>242</v>
      </c>
      <c r="T441" s="118" t="s">
        <v>242</v>
      </c>
      <c r="U441" s="113" t="s">
        <v>242</v>
      </c>
      <c r="V441" s="119">
        <v>160</v>
      </c>
      <c r="W441" s="120" t="s">
        <v>179</v>
      </c>
      <c r="X441" s="121" t="s">
        <v>259</v>
      </c>
    </row>
    <row r="442" spans="1:24" ht="15" customHeight="1" x14ac:dyDescent="0.2">
      <c r="A442" s="111" t="s">
        <v>241</v>
      </c>
      <c r="B442" s="112" t="s">
        <v>325</v>
      </c>
      <c r="C442" s="112" t="s">
        <v>249</v>
      </c>
      <c r="D442" s="112" t="s">
        <v>242</v>
      </c>
      <c r="E442" s="113" t="s">
        <v>242</v>
      </c>
      <c r="F442" s="113" t="s">
        <v>242</v>
      </c>
      <c r="G442" s="113" t="s">
        <v>251</v>
      </c>
      <c r="H442" s="114" t="s">
        <v>243</v>
      </c>
      <c r="I442" s="114" t="s">
        <v>244</v>
      </c>
      <c r="J442" s="114" t="s">
        <v>257</v>
      </c>
      <c r="K442" s="114" t="s">
        <v>271</v>
      </c>
      <c r="L442" s="114" t="s">
        <v>271</v>
      </c>
      <c r="M442" s="115" t="s">
        <v>242</v>
      </c>
      <c r="N442" s="116">
        <v>1</v>
      </c>
      <c r="O442" s="116">
        <v>64</v>
      </c>
      <c r="P442" s="116" t="s">
        <v>242</v>
      </c>
      <c r="Q442" s="116" t="s">
        <v>242</v>
      </c>
      <c r="R442" s="116">
        <v>64</v>
      </c>
      <c r="S442" s="116">
        <v>1</v>
      </c>
      <c r="T442" s="118" t="s">
        <v>242</v>
      </c>
      <c r="U442" s="113">
        <v>64</v>
      </c>
      <c r="V442" s="119"/>
      <c r="W442" s="120" t="s">
        <v>179</v>
      </c>
      <c r="X442" s="121" t="s">
        <v>259</v>
      </c>
    </row>
    <row r="443" spans="1:24" ht="15" customHeight="1" x14ac:dyDescent="0.2">
      <c r="A443" s="111" t="s">
        <v>241</v>
      </c>
      <c r="B443" s="112" t="s">
        <v>325</v>
      </c>
      <c r="C443" s="112" t="s">
        <v>249</v>
      </c>
      <c r="D443" s="112" t="s">
        <v>242</v>
      </c>
      <c r="E443" s="113" t="s">
        <v>242</v>
      </c>
      <c r="F443" s="113" t="s">
        <v>242</v>
      </c>
      <c r="G443" s="113" t="s">
        <v>251</v>
      </c>
      <c r="H443" s="114" t="s">
        <v>243</v>
      </c>
      <c r="I443" s="114" t="s">
        <v>244</v>
      </c>
      <c r="J443" s="114" t="s">
        <v>257</v>
      </c>
      <c r="K443" s="114" t="s">
        <v>271</v>
      </c>
      <c r="L443" s="114" t="s">
        <v>271</v>
      </c>
      <c r="M443" s="115" t="s">
        <v>242</v>
      </c>
      <c r="N443" s="116">
        <v>1</v>
      </c>
      <c r="O443" s="116">
        <v>8</v>
      </c>
      <c r="P443" s="116" t="s">
        <v>242</v>
      </c>
      <c r="Q443" s="116" t="s">
        <v>242</v>
      </c>
      <c r="R443" s="116">
        <v>8</v>
      </c>
      <c r="S443" s="116">
        <v>6</v>
      </c>
      <c r="T443" s="118" t="s">
        <v>242</v>
      </c>
      <c r="U443" s="113">
        <v>48</v>
      </c>
      <c r="V443" s="119"/>
      <c r="W443" s="120" t="s">
        <v>179</v>
      </c>
      <c r="X443" s="121" t="s">
        <v>259</v>
      </c>
    </row>
    <row r="444" spans="1:24" ht="15" customHeight="1" x14ac:dyDescent="0.2">
      <c r="A444" s="111" t="s">
        <v>241</v>
      </c>
      <c r="B444" s="112" t="s">
        <v>325</v>
      </c>
      <c r="C444" s="112" t="s">
        <v>249</v>
      </c>
      <c r="D444" s="112" t="s">
        <v>242</v>
      </c>
      <c r="E444" s="113" t="s">
        <v>242</v>
      </c>
      <c r="F444" s="113" t="s">
        <v>242</v>
      </c>
      <c r="G444" s="113" t="s">
        <v>251</v>
      </c>
      <c r="H444" s="114" t="s">
        <v>243</v>
      </c>
      <c r="I444" s="114" t="s">
        <v>244</v>
      </c>
      <c r="J444" s="114" t="s">
        <v>257</v>
      </c>
      <c r="K444" s="114" t="s">
        <v>271</v>
      </c>
      <c r="L444" s="114" t="s">
        <v>271</v>
      </c>
      <c r="M444" s="115" t="s">
        <v>242</v>
      </c>
      <c r="N444" s="116">
        <v>1</v>
      </c>
      <c r="O444" s="116">
        <v>32</v>
      </c>
      <c r="P444" s="116" t="s">
        <v>242</v>
      </c>
      <c r="Q444" s="116" t="s">
        <v>242</v>
      </c>
      <c r="R444" s="116">
        <v>32</v>
      </c>
      <c r="S444" s="116">
        <v>1</v>
      </c>
      <c r="T444" s="118" t="s">
        <v>242</v>
      </c>
      <c r="U444" s="113">
        <v>32</v>
      </c>
      <c r="V444" s="119"/>
      <c r="W444" s="120" t="s">
        <v>179</v>
      </c>
      <c r="X444" s="121" t="s">
        <v>259</v>
      </c>
    </row>
    <row r="445" spans="1:24" ht="15" customHeight="1" x14ac:dyDescent="0.2">
      <c r="A445" s="111" t="s">
        <v>241</v>
      </c>
      <c r="B445" s="112" t="s">
        <v>325</v>
      </c>
      <c r="C445" s="112" t="s">
        <v>249</v>
      </c>
      <c r="D445" s="112" t="s">
        <v>242</v>
      </c>
      <c r="E445" s="113" t="s">
        <v>242</v>
      </c>
      <c r="F445" s="113" t="s">
        <v>242</v>
      </c>
      <c r="G445" s="113" t="s">
        <v>251</v>
      </c>
      <c r="H445" s="114" t="s">
        <v>243</v>
      </c>
      <c r="I445" s="114" t="s">
        <v>244</v>
      </c>
      <c r="J445" s="114" t="s">
        <v>257</v>
      </c>
      <c r="K445" s="114" t="s">
        <v>271</v>
      </c>
      <c r="L445" s="114" t="s">
        <v>271</v>
      </c>
      <c r="M445" s="115" t="s">
        <v>242</v>
      </c>
      <c r="N445" s="116">
        <v>1</v>
      </c>
      <c r="O445" s="116">
        <v>16</v>
      </c>
      <c r="P445" s="116" t="s">
        <v>242</v>
      </c>
      <c r="Q445" s="116" t="s">
        <v>242</v>
      </c>
      <c r="R445" s="116">
        <v>16</v>
      </c>
      <c r="S445" s="116">
        <v>1</v>
      </c>
      <c r="T445" s="118" t="s">
        <v>242</v>
      </c>
      <c r="U445" s="113">
        <v>16</v>
      </c>
      <c r="V445" s="119"/>
      <c r="W445" s="120" t="s">
        <v>179</v>
      </c>
      <c r="X445" s="121" t="s">
        <v>259</v>
      </c>
    </row>
    <row r="446" spans="1:24" ht="15" customHeight="1" x14ac:dyDescent="0.25">
      <c r="A446" s="48"/>
      <c r="B446" s="49"/>
      <c r="C446" s="48"/>
      <c r="D446" s="48"/>
      <c r="E446" s="53"/>
      <c r="F446" s="46"/>
      <c r="G446" s="46"/>
      <c r="H446" s="46"/>
      <c r="I446" s="46"/>
      <c r="J446" s="46"/>
      <c r="K446" s="46"/>
      <c r="L446" s="46"/>
      <c r="M446" s="48"/>
      <c r="N446" s="48"/>
      <c r="O446" s="49"/>
      <c r="P446" s="48"/>
      <c r="Q446" s="48"/>
      <c r="R446" s="48"/>
      <c r="S446" s="46"/>
      <c r="T446" s="48"/>
      <c r="U446" s="48"/>
      <c r="V446" s="25"/>
      <c r="W446" s="25"/>
      <c r="X446" s="25"/>
    </row>
    <row r="447" spans="1:24" ht="15" customHeight="1" x14ac:dyDescent="0.25">
      <c r="A447" s="48"/>
      <c r="B447" s="49"/>
      <c r="C447" s="48"/>
      <c r="D447" s="48"/>
      <c r="E447" s="53"/>
      <c r="F447" s="46"/>
      <c r="G447" s="46"/>
      <c r="H447" s="46"/>
      <c r="I447" s="46"/>
      <c r="J447" s="46"/>
      <c r="K447" s="46"/>
      <c r="L447" s="46"/>
      <c r="M447" s="48"/>
      <c r="N447" s="48"/>
      <c r="O447" s="49"/>
      <c r="P447" s="48"/>
      <c r="Q447" s="48"/>
      <c r="R447" s="48"/>
      <c r="S447" s="46"/>
      <c r="T447" s="48"/>
      <c r="U447" s="48"/>
      <c r="V447" s="25"/>
      <c r="W447" s="25"/>
      <c r="X447" s="25"/>
    </row>
    <row r="448" spans="1:24" ht="15" customHeight="1" x14ac:dyDescent="0.2">
      <c r="A448" s="122" t="s">
        <v>241</v>
      </c>
      <c r="B448" s="123" t="s">
        <v>242</v>
      </c>
      <c r="C448" s="123" t="s">
        <v>242</v>
      </c>
      <c r="D448" s="123" t="s">
        <v>242</v>
      </c>
      <c r="E448" s="124" t="s">
        <v>242</v>
      </c>
      <c r="F448" s="124" t="s">
        <v>242</v>
      </c>
      <c r="G448" s="124" t="s">
        <v>242</v>
      </c>
      <c r="H448" s="125" t="s">
        <v>243</v>
      </c>
      <c r="I448" s="125" t="s">
        <v>244</v>
      </c>
      <c r="J448" s="125" t="s">
        <v>245</v>
      </c>
      <c r="K448" s="125" t="s">
        <v>246</v>
      </c>
      <c r="L448" s="125" t="s">
        <v>246</v>
      </c>
      <c r="M448" s="126" t="s">
        <v>242</v>
      </c>
      <c r="N448" s="127" t="s">
        <v>242</v>
      </c>
      <c r="O448" s="127" t="s">
        <v>242</v>
      </c>
      <c r="P448" s="127" t="s">
        <v>242</v>
      </c>
      <c r="Q448" s="127" t="s">
        <v>242</v>
      </c>
      <c r="R448" s="127" t="s">
        <v>242</v>
      </c>
      <c r="S448" s="128" t="s">
        <v>242</v>
      </c>
      <c r="T448" s="129" t="s">
        <v>242</v>
      </c>
      <c r="U448" s="124" t="s">
        <v>242</v>
      </c>
      <c r="V448" s="130">
        <v>1</v>
      </c>
      <c r="W448" s="131" t="s">
        <v>74</v>
      </c>
      <c r="X448" s="132" t="s">
        <v>247</v>
      </c>
    </row>
    <row r="449" spans="1:24" ht="15" customHeight="1" x14ac:dyDescent="0.2">
      <c r="A449" s="122" t="s">
        <v>241</v>
      </c>
      <c r="B449" s="123" t="s">
        <v>326</v>
      </c>
      <c r="C449" s="123" t="s">
        <v>249</v>
      </c>
      <c r="D449" s="123" t="s">
        <v>260</v>
      </c>
      <c r="E449" s="124" t="s">
        <v>223</v>
      </c>
      <c r="F449" s="124" t="s">
        <v>42</v>
      </c>
      <c r="G449" s="124" t="s">
        <v>251</v>
      </c>
      <c r="H449" s="125" t="s">
        <v>243</v>
      </c>
      <c r="I449" s="125" t="s">
        <v>244</v>
      </c>
      <c r="J449" s="125" t="s">
        <v>245</v>
      </c>
      <c r="K449" s="125" t="s">
        <v>246</v>
      </c>
      <c r="L449" s="125" t="s">
        <v>246</v>
      </c>
      <c r="M449" s="126" t="s">
        <v>242</v>
      </c>
      <c r="N449" s="127">
        <v>1</v>
      </c>
      <c r="O449" s="127" t="s">
        <v>242</v>
      </c>
      <c r="P449" s="127" t="s">
        <v>242</v>
      </c>
      <c r="Q449" s="127" t="s">
        <v>242</v>
      </c>
      <c r="R449" s="127">
        <v>1</v>
      </c>
      <c r="S449" s="127" t="s">
        <v>242</v>
      </c>
      <c r="T449" s="129" t="s">
        <v>242</v>
      </c>
      <c r="U449" s="124">
        <v>1</v>
      </c>
      <c r="V449" s="130"/>
      <c r="W449" s="131" t="s">
        <v>74</v>
      </c>
      <c r="X449" s="132" t="s">
        <v>247</v>
      </c>
    </row>
    <row r="450" spans="1:24" ht="15" customHeight="1" x14ac:dyDescent="0.2">
      <c r="A450" s="122" t="s">
        <v>241</v>
      </c>
      <c r="B450" s="123" t="s">
        <v>242</v>
      </c>
      <c r="C450" s="123" t="s">
        <v>242</v>
      </c>
      <c r="D450" s="123" t="s">
        <v>242</v>
      </c>
      <c r="E450" s="124" t="s">
        <v>242</v>
      </c>
      <c r="F450" s="124" t="s">
        <v>242</v>
      </c>
      <c r="G450" s="124" t="s">
        <v>242</v>
      </c>
      <c r="H450" s="125" t="s">
        <v>243</v>
      </c>
      <c r="I450" s="125" t="s">
        <v>244</v>
      </c>
      <c r="J450" s="125" t="s">
        <v>245</v>
      </c>
      <c r="K450" s="125" t="s">
        <v>253</v>
      </c>
      <c r="L450" s="125" t="s">
        <v>253</v>
      </c>
      <c r="M450" s="126" t="s">
        <v>242</v>
      </c>
      <c r="N450" s="127" t="s">
        <v>242</v>
      </c>
      <c r="O450" s="127" t="s">
        <v>242</v>
      </c>
      <c r="P450" s="127" t="s">
        <v>242</v>
      </c>
      <c r="Q450" s="127" t="s">
        <v>242</v>
      </c>
      <c r="R450" s="127" t="s">
        <v>242</v>
      </c>
      <c r="S450" s="127" t="s">
        <v>242</v>
      </c>
      <c r="T450" s="129" t="s">
        <v>242</v>
      </c>
      <c r="U450" s="124" t="s">
        <v>242</v>
      </c>
      <c r="V450" s="130">
        <v>13</v>
      </c>
      <c r="W450" s="131" t="s">
        <v>179</v>
      </c>
      <c r="X450" s="132" t="s">
        <v>247</v>
      </c>
    </row>
    <row r="451" spans="1:24" ht="15" customHeight="1" x14ac:dyDescent="0.2">
      <c r="A451" s="122" t="s">
        <v>241</v>
      </c>
      <c r="B451" s="123" t="s">
        <v>326</v>
      </c>
      <c r="C451" s="123" t="s">
        <v>249</v>
      </c>
      <c r="D451" s="123" t="s">
        <v>254</v>
      </c>
      <c r="E451" s="124" t="s">
        <v>53</v>
      </c>
      <c r="F451" s="124" t="s">
        <v>42</v>
      </c>
      <c r="G451" s="124" t="s">
        <v>251</v>
      </c>
      <c r="H451" s="125" t="s">
        <v>243</v>
      </c>
      <c r="I451" s="125" t="s">
        <v>244</v>
      </c>
      <c r="J451" s="125" t="s">
        <v>245</v>
      </c>
      <c r="K451" s="125" t="s">
        <v>253</v>
      </c>
      <c r="L451" s="125" t="s">
        <v>253</v>
      </c>
      <c r="M451" s="126" t="s">
        <v>242</v>
      </c>
      <c r="N451" s="127">
        <v>1</v>
      </c>
      <c r="O451" s="127">
        <v>13</v>
      </c>
      <c r="P451" s="127" t="s">
        <v>242</v>
      </c>
      <c r="Q451" s="127" t="s">
        <v>242</v>
      </c>
      <c r="R451" s="127">
        <v>13</v>
      </c>
      <c r="S451" s="127" t="s">
        <v>242</v>
      </c>
      <c r="T451" s="129" t="s">
        <v>242</v>
      </c>
      <c r="U451" s="124">
        <v>13</v>
      </c>
      <c r="V451" s="130"/>
      <c r="W451" s="131" t="s">
        <v>179</v>
      </c>
      <c r="X451" s="132" t="s">
        <v>247</v>
      </c>
    </row>
    <row r="452" spans="1:24" ht="15" customHeight="1" x14ac:dyDescent="0.2">
      <c r="A452" s="122" t="s">
        <v>241</v>
      </c>
      <c r="B452" s="123" t="s">
        <v>242</v>
      </c>
      <c r="C452" s="123" t="s">
        <v>242</v>
      </c>
      <c r="D452" s="123" t="s">
        <v>242</v>
      </c>
      <c r="E452" s="124" t="s">
        <v>242</v>
      </c>
      <c r="F452" s="124" t="s">
        <v>242</v>
      </c>
      <c r="G452" s="124" t="s">
        <v>242</v>
      </c>
      <c r="H452" s="125" t="s">
        <v>243</v>
      </c>
      <c r="I452" s="125" t="s">
        <v>244</v>
      </c>
      <c r="J452" s="125" t="s">
        <v>257</v>
      </c>
      <c r="K452" s="125" t="s">
        <v>258</v>
      </c>
      <c r="L452" s="125" t="s">
        <v>258</v>
      </c>
      <c r="M452" s="126" t="s">
        <v>242</v>
      </c>
      <c r="N452" s="127" t="s">
        <v>242</v>
      </c>
      <c r="O452" s="127" t="s">
        <v>242</v>
      </c>
      <c r="P452" s="127" t="s">
        <v>242</v>
      </c>
      <c r="Q452" s="127" t="s">
        <v>242</v>
      </c>
      <c r="R452" s="127" t="s">
        <v>242</v>
      </c>
      <c r="S452" s="127" t="s">
        <v>242</v>
      </c>
      <c r="T452" s="129" t="s">
        <v>242</v>
      </c>
      <c r="U452" s="124" t="s">
        <v>242</v>
      </c>
      <c r="V452" s="130">
        <v>15</v>
      </c>
      <c r="W452" s="131" t="s">
        <v>179</v>
      </c>
      <c r="X452" s="132" t="s">
        <v>259</v>
      </c>
    </row>
    <row r="453" spans="1:24" ht="15" customHeight="1" x14ac:dyDescent="0.2">
      <c r="A453" s="122" t="s">
        <v>241</v>
      </c>
      <c r="B453" s="123" t="s">
        <v>326</v>
      </c>
      <c r="C453" s="123" t="s">
        <v>249</v>
      </c>
      <c r="D453" s="123" t="s">
        <v>260</v>
      </c>
      <c r="E453" s="124" t="s">
        <v>296</v>
      </c>
      <c r="F453" s="124" t="s">
        <v>42</v>
      </c>
      <c r="G453" s="124" t="s">
        <v>251</v>
      </c>
      <c r="H453" s="125" t="s">
        <v>243</v>
      </c>
      <c r="I453" s="125" t="s">
        <v>244</v>
      </c>
      <c r="J453" s="125" t="s">
        <v>257</v>
      </c>
      <c r="K453" s="125" t="s">
        <v>258</v>
      </c>
      <c r="L453" s="125" t="s">
        <v>258</v>
      </c>
      <c r="M453" s="126" t="s">
        <v>242</v>
      </c>
      <c r="N453" s="127">
        <v>1</v>
      </c>
      <c r="O453" s="127">
        <v>15</v>
      </c>
      <c r="P453" s="127" t="s">
        <v>242</v>
      </c>
      <c r="Q453" s="127" t="s">
        <v>242</v>
      </c>
      <c r="R453" s="127">
        <v>15</v>
      </c>
      <c r="S453" s="127" t="s">
        <v>242</v>
      </c>
      <c r="T453" s="129" t="s">
        <v>242</v>
      </c>
      <c r="U453" s="124">
        <v>15</v>
      </c>
      <c r="V453" s="130"/>
      <c r="W453" s="131" t="s">
        <v>179</v>
      </c>
      <c r="X453" s="132" t="s">
        <v>259</v>
      </c>
    </row>
    <row r="454" spans="1:24" ht="15" customHeight="1" x14ac:dyDescent="0.2">
      <c r="A454" s="122" t="s">
        <v>241</v>
      </c>
      <c r="B454" s="123" t="s">
        <v>242</v>
      </c>
      <c r="C454" s="123" t="s">
        <v>242</v>
      </c>
      <c r="D454" s="123" t="s">
        <v>242</v>
      </c>
      <c r="E454" s="124" t="s">
        <v>242</v>
      </c>
      <c r="F454" s="124" t="s">
        <v>242</v>
      </c>
      <c r="G454" s="124" t="s">
        <v>242</v>
      </c>
      <c r="H454" s="125" t="s">
        <v>243</v>
      </c>
      <c r="I454" s="125" t="s">
        <v>244</v>
      </c>
      <c r="J454" s="125" t="s">
        <v>257</v>
      </c>
      <c r="K454" s="125" t="s">
        <v>261</v>
      </c>
      <c r="L454" s="125" t="s">
        <v>261</v>
      </c>
      <c r="M454" s="126" t="s">
        <v>242</v>
      </c>
      <c r="N454" s="127" t="s">
        <v>242</v>
      </c>
      <c r="O454" s="127" t="s">
        <v>242</v>
      </c>
      <c r="P454" s="127" t="s">
        <v>242</v>
      </c>
      <c r="Q454" s="127" t="s">
        <v>242</v>
      </c>
      <c r="R454" s="127" t="s">
        <v>242</v>
      </c>
      <c r="S454" s="127" t="s">
        <v>242</v>
      </c>
      <c r="T454" s="129" t="s">
        <v>242</v>
      </c>
      <c r="U454" s="124" t="s">
        <v>242</v>
      </c>
      <c r="V454" s="130">
        <v>200</v>
      </c>
      <c r="W454" s="131" t="s">
        <v>262</v>
      </c>
      <c r="X454" s="132" t="s">
        <v>259</v>
      </c>
    </row>
    <row r="455" spans="1:24" ht="15" customHeight="1" x14ac:dyDescent="0.2">
      <c r="A455" s="122" t="s">
        <v>241</v>
      </c>
      <c r="B455" s="123" t="s">
        <v>326</v>
      </c>
      <c r="C455" s="123" t="s">
        <v>249</v>
      </c>
      <c r="D455" s="123" t="s">
        <v>242</v>
      </c>
      <c r="E455" s="124" t="s">
        <v>242</v>
      </c>
      <c r="F455" s="124" t="s">
        <v>242</v>
      </c>
      <c r="G455" s="124" t="s">
        <v>251</v>
      </c>
      <c r="H455" s="125" t="s">
        <v>243</v>
      </c>
      <c r="I455" s="125" t="s">
        <v>244</v>
      </c>
      <c r="J455" s="125" t="s">
        <v>257</v>
      </c>
      <c r="K455" s="125" t="s">
        <v>261</v>
      </c>
      <c r="L455" s="125" t="s">
        <v>261</v>
      </c>
      <c r="M455" s="126" t="s">
        <v>242</v>
      </c>
      <c r="N455" s="127">
        <v>200</v>
      </c>
      <c r="O455" s="127" t="s">
        <v>242</v>
      </c>
      <c r="P455" s="127" t="s">
        <v>242</v>
      </c>
      <c r="Q455" s="127" t="s">
        <v>242</v>
      </c>
      <c r="R455" s="127">
        <v>200</v>
      </c>
      <c r="S455" s="127" t="s">
        <v>242</v>
      </c>
      <c r="T455" s="129" t="s">
        <v>242</v>
      </c>
      <c r="U455" s="124">
        <v>200</v>
      </c>
      <c r="V455" s="130"/>
      <c r="W455" s="131" t="s">
        <v>262</v>
      </c>
      <c r="X455" s="132" t="s">
        <v>259</v>
      </c>
    </row>
    <row r="456" spans="1:24" ht="15" customHeight="1" x14ac:dyDescent="0.2">
      <c r="A456" s="122" t="s">
        <v>241</v>
      </c>
      <c r="B456" s="123" t="s">
        <v>242</v>
      </c>
      <c r="C456" s="123" t="s">
        <v>242</v>
      </c>
      <c r="D456" s="123" t="s">
        <v>242</v>
      </c>
      <c r="E456" s="124" t="s">
        <v>242</v>
      </c>
      <c r="F456" s="124" t="s">
        <v>242</v>
      </c>
      <c r="G456" s="124" t="s">
        <v>242</v>
      </c>
      <c r="H456" s="125" t="s">
        <v>243</v>
      </c>
      <c r="I456" s="125" t="s">
        <v>244</v>
      </c>
      <c r="J456" s="125" t="s">
        <v>257</v>
      </c>
      <c r="K456" s="125" t="s">
        <v>280</v>
      </c>
      <c r="L456" s="125" t="s">
        <v>280</v>
      </c>
      <c r="M456" s="126" t="s">
        <v>242</v>
      </c>
      <c r="N456" s="127" t="s">
        <v>242</v>
      </c>
      <c r="O456" s="127" t="s">
        <v>242</v>
      </c>
      <c r="P456" s="127" t="s">
        <v>242</v>
      </c>
      <c r="Q456" s="127" t="s">
        <v>242</v>
      </c>
      <c r="R456" s="127" t="s">
        <v>242</v>
      </c>
      <c r="S456" s="127" t="s">
        <v>242</v>
      </c>
      <c r="T456" s="129" t="s">
        <v>242</v>
      </c>
      <c r="U456" s="124" t="s">
        <v>242</v>
      </c>
      <c r="V456" s="130">
        <v>60</v>
      </c>
      <c r="W456" s="131" t="s">
        <v>262</v>
      </c>
      <c r="X456" s="132" t="s">
        <v>259</v>
      </c>
    </row>
    <row r="457" spans="1:24" ht="15" customHeight="1" x14ac:dyDescent="0.2">
      <c r="A457" s="122" t="s">
        <v>241</v>
      </c>
      <c r="B457" s="123" t="s">
        <v>326</v>
      </c>
      <c r="C457" s="123" t="s">
        <v>249</v>
      </c>
      <c r="D457" s="123" t="s">
        <v>242</v>
      </c>
      <c r="E457" s="124" t="s">
        <v>242</v>
      </c>
      <c r="F457" s="124" t="s">
        <v>242</v>
      </c>
      <c r="G457" s="124" t="s">
        <v>251</v>
      </c>
      <c r="H457" s="125" t="s">
        <v>243</v>
      </c>
      <c r="I457" s="125" t="s">
        <v>244</v>
      </c>
      <c r="J457" s="125" t="s">
        <v>257</v>
      </c>
      <c r="K457" s="125" t="s">
        <v>280</v>
      </c>
      <c r="L457" s="125" t="s">
        <v>280</v>
      </c>
      <c r="M457" s="126" t="s">
        <v>242</v>
      </c>
      <c r="N457" s="127">
        <v>60</v>
      </c>
      <c r="O457" s="127" t="s">
        <v>242</v>
      </c>
      <c r="P457" s="127" t="s">
        <v>242</v>
      </c>
      <c r="Q457" s="127" t="s">
        <v>242</v>
      </c>
      <c r="R457" s="127">
        <v>60</v>
      </c>
      <c r="S457" s="127" t="s">
        <v>242</v>
      </c>
      <c r="T457" s="129" t="s">
        <v>242</v>
      </c>
      <c r="U457" s="124">
        <v>60</v>
      </c>
      <c r="V457" s="130"/>
      <c r="W457" s="131" t="s">
        <v>262</v>
      </c>
      <c r="X457" s="132" t="s">
        <v>259</v>
      </c>
    </row>
    <row r="458" spans="1:24" ht="15" customHeight="1" x14ac:dyDescent="0.2">
      <c r="A458" s="122" t="s">
        <v>241</v>
      </c>
      <c r="B458" s="123" t="s">
        <v>242</v>
      </c>
      <c r="C458" s="123" t="s">
        <v>242</v>
      </c>
      <c r="D458" s="123" t="s">
        <v>242</v>
      </c>
      <c r="E458" s="124" t="s">
        <v>242</v>
      </c>
      <c r="F458" s="124" t="s">
        <v>242</v>
      </c>
      <c r="G458" s="124" t="s">
        <v>242</v>
      </c>
      <c r="H458" s="125" t="s">
        <v>243</v>
      </c>
      <c r="I458" s="125" t="s">
        <v>244</v>
      </c>
      <c r="J458" s="125" t="s">
        <v>257</v>
      </c>
      <c r="K458" s="125" t="s">
        <v>264</v>
      </c>
      <c r="L458" s="125" t="s">
        <v>264</v>
      </c>
      <c r="M458" s="126" t="s">
        <v>242</v>
      </c>
      <c r="N458" s="127" t="s">
        <v>242</v>
      </c>
      <c r="O458" s="127" t="s">
        <v>242</v>
      </c>
      <c r="P458" s="127" t="s">
        <v>242</v>
      </c>
      <c r="Q458" s="127" t="s">
        <v>242</v>
      </c>
      <c r="R458" s="127" t="s">
        <v>242</v>
      </c>
      <c r="S458" s="127" t="s">
        <v>242</v>
      </c>
      <c r="T458" s="129" t="s">
        <v>242</v>
      </c>
      <c r="U458" s="124" t="s">
        <v>242</v>
      </c>
      <c r="V458" s="130">
        <v>134.97</v>
      </c>
      <c r="W458" s="131" t="s">
        <v>99</v>
      </c>
      <c r="X458" s="132" t="s">
        <v>259</v>
      </c>
    </row>
    <row r="459" spans="1:24" ht="15" customHeight="1" x14ac:dyDescent="0.2">
      <c r="A459" s="122" t="s">
        <v>241</v>
      </c>
      <c r="B459" s="123" t="s">
        <v>326</v>
      </c>
      <c r="C459" s="123" t="s">
        <v>249</v>
      </c>
      <c r="D459" s="123" t="s">
        <v>242</v>
      </c>
      <c r="E459" s="124" t="s">
        <v>242</v>
      </c>
      <c r="F459" s="124" t="s">
        <v>242</v>
      </c>
      <c r="G459" s="124" t="s">
        <v>251</v>
      </c>
      <c r="H459" s="125" t="s">
        <v>243</v>
      </c>
      <c r="I459" s="125" t="s">
        <v>244</v>
      </c>
      <c r="J459" s="125" t="s">
        <v>257</v>
      </c>
      <c r="K459" s="125" t="s">
        <v>264</v>
      </c>
      <c r="L459" s="125" t="s">
        <v>264</v>
      </c>
      <c r="M459" s="126" t="s">
        <v>242</v>
      </c>
      <c r="N459" s="127">
        <v>134.97</v>
      </c>
      <c r="O459" s="127" t="s">
        <v>242</v>
      </c>
      <c r="P459" s="127" t="s">
        <v>242</v>
      </c>
      <c r="Q459" s="127" t="s">
        <v>242</v>
      </c>
      <c r="R459" s="127">
        <v>134.97</v>
      </c>
      <c r="S459" s="127" t="s">
        <v>242</v>
      </c>
      <c r="T459" s="129" t="s">
        <v>242</v>
      </c>
      <c r="U459" s="124">
        <v>134.97</v>
      </c>
      <c r="V459" s="130"/>
      <c r="W459" s="131" t="s">
        <v>99</v>
      </c>
      <c r="X459" s="132" t="s">
        <v>259</v>
      </c>
    </row>
    <row r="460" spans="1:24" ht="15" customHeight="1" x14ac:dyDescent="0.2">
      <c r="A460" s="122" t="s">
        <v>241</v>
      </c>
      <c r="B460" s="123" t="s">
        <v>242</v>
      </c>
      <c r="C460" s="123" t="s">
        <v>242</v>
      </c>
      <c r="D460" s="123" t="s">
        <v>242</v>
      </c>
      <c r="E460" s="124" t="s">
        <v>242</v>
      </c>
      <c r="F460" s="124" t="s">
        <v>242</v>
      </c>
      <c r="G460" s="124" t="s">
        <v>242</v>
      </c>
      <c r="H460" s="125" t="s">
        <v>243</v>
      </c>
      <c r="I460" s="125" t="s">
        <v>244</v>
      </c>
      <c r="J460" s="125" t="s">
        <v>257</v>
      </c>
      <c r="K460" s="125" t="s">
        <v>268</v>
      </c>
      <c r="L460" s="125" t="s">
        <v>268</v>
      </c>
      <c r="M460" s="126" t="s">
        <v>242</v>
      </c>
      <c r="N460" s="127" t="s">
        <v>242</v>
      </c>
      <c r="O460" s="127" t="s">
        <v>242</v>
      </c>
      <c r="P460" s="127" t="s">
        <v>242</v>
      </c>
      <c r="Q460" s="127" t="s">
        <v>242</v>
      </c>
      <c r="R460" s="127" t="s">
        <v>242</v>
      </c>
      <c r="S460" s="127" t="s">
        <v>242</v>
      </c>
      <c r="T460" s="129" t="s">
        <v>242</v>
      </c>
      <c r="U460" s="124" t="s">
        <v>242</v>
      </c>
      <c r="V460" s="130">
        <v>280</v>
      </c>
      <c r="W460" s="131" t="s">
        <v>74</v>
      </c>
      <c r="X460" s="132" t="s">
        <v>259</v>
      </c>
    </row>
    <row r="461" spans="1:24" ht="15" customHeight="1" x14ac:dyDescent="0.2">
      <c r="A461" s="122" t="s">
        <v>241</v>
      </c>
      <c r="B461" s="123" t="s">
        <v>326</v>
      </c>
      <c r="C461" s="123" t="s">
        <v>249</v>
      </c>
      <c r="D461" s="123" t="s">
        <v>242</v>
      </c>
      <c r="E461" s="124" t="s">
        <v>242</v>
      </c>
      <c r="F461" s="124" t="s">
        <v>242</v>
      </c>
      <c r="G461" s="124" t="s">
        <v>251</v>
      </c>
      <c r="H461" s="125" t="s">
        <v>243</v>
      </c>
      <c r="I461" s="125" t="s">
        <v>244</v>
      </c>
      <c r="J461" s="125" t="s">
        <v>257</v>
      </c>
      <c r="K461" s="125" t="s">
        <v>268</v>
      </c>
      <c r="L461" s="125" t="s">
        <v>268</v>
      </c>
      <c r="M461" s="126" t="s">
        <v>242</v>
      </c>
      <c r="N461" s="127">
        <v>280</v>
      </c>
      <c r="O461" s="127" t="s">
        <v>242</v>
      </c>
      <c r="P461" s="127" t="s">
        <v>242</v>
      </c>
      <c r="Q461" s="127" t="s">
        <v>242</v>
      </c>
      <c r="R461" s="127">
        <v>280</v>
      </c>
      <c r="S461" s="127" t="s">
        <v>242</v>
      </c>
      <c r="T461" s="129" t="s">
        <v>242</v>
      </c>
      <c r="U461" s="124">
        <v>280</v>
      </c>
      <c r="V461" s="130"/>
      <c r="W461" s="131" t="s">
        <v>74</v>
      </c>
      <c r="X461" s="132" t="s">
        <v>259</v>
      </c>
    </row>
    <row r="462" spans="1:24" ht="15" customHeight="1" x14ac:dyDescent="0.2">
      <c r="A462" s="122" t="s">
        <v>241</v>
      </c>
      <c r="B462" s="123" t="s">
        <v>242</v>
      </c>
      <c r="C462" s="123" t="s">
        <v>242</v>
      </c>
      <c r="D462" s="123" t="s">
        <v>242</v>
      </c>
      <c r="E462" s="124" t="s">
        <v>242</v>
      </c>
      <c r="F462" s="124" t="s">
        <v>242</v>
      </c>
      <c r="G462" s="124" t="s">
        <v>242</v>
      </c>
      <c r="H462" s="125" t="s">
        <v>243</v>
      </c>
      <c r="I462" s="125" t="s">
        <v>244</v>
      </c>
      <c r="J462" s="125" t="s">
        <v>257</v>
      </c>
      <c r="K462" s="125" t="s">
        <v>269</v>
      </c>
      <c r="L462" s="125" t="s">
        <v>269</v>
      </c>
      <c r="M462" s="126" t="s">
        <v>242</v>
      </c>
      <c r="N462" s="127" t="s">
        <v>242</v>
      </c>
      <c r="O462" s="127" t="s">
        <v>242</v>
      </c>
      <c r="P462" s="127" t="s">
        <v>242</v>
      </c>
      <c r="Q462" s="127" t="s">
        <v>242</v>
      </c>
      <c r="R462" s="127" t="s">
        <v>242</v>
      </c>
      <c r="S462" s="127" t="s">
        <v>242</v>
      </c>
      <c r="T462" s="129" t="s">
        <v>242</v>
      </c>
      <c r="U462" s="124" t="s">
        <v>242</v>
      </c>
      <c r="V462" s="130">
        <v>6.66</v>
      </c>
      <c r="W462" s="131" t="s">
        <v>270</v>
      </c>
      <c r="X462" s="132" t="s">
        <v>259</v>
      </c>
    </row>
    <row r="463" spans="1:24" ht="15" customHeight="1" x14ac:dyDescent="0.2">
      <c r="A463" s="122" t="s">
        <v>241</v>
      </c>
      <c r="B463" s="123" t="s">
        <v>326</v>
      </c>
      <c r="C463" s="123" t="s">
        <v>249</v>
      </c>
      <c r="D463" s="123" t="s">
        <v>250</v>
      </c>
      <c r="E463" s="124" t="s">
        <v>41</v>
      </c>
      <c r="F463" s="124" t="s">
        <v>279</v>
      </c>
      <c r="G463" s="124" t="s">
        <v>251</v>
      </c>
      <c r="H463" s="125" t="s">
        <v>243</v>
      </c>
      <c r="I463" s="125" t="s">
        <v>244</v>
      </c>
      <c r="J463" s="125" t="s">
        <v>257</v>
      </c>
      <c r="K463" s="125" t="s">
        <v>269</v>
      </c>
      <c r="L463" s="125" t="s">
        <v>269</v>
      </c>
      <c r="M463" s="126" t="s">
        <v>242</v>
      </c>
      <c r="N463" s="127">
        <v>1</v>
      </c>
      <c r="O463" s="127">
        <v>1.5</v>
      </c>
      <c r="P463" s="127">
        <v>1.1000000000000001</v>
      </c>
      <c r="Q463" s="127" t="s">
        <v>242</v>
      </c>
      <c r="R463" s="127">
        <v>1.65</v>
      </c>
      <c r="S463" s="127">
        <v>3</v>
      </c>
      <c r="T463" s="129" t="s">
        <v>242</v>
      </c>
      <c r="U463" s="124">
        <v>4.95</v>
      </c>
      <c r="V463" s="130"/>
      <c r="W463" s="131" t="s">
        <v>270</v>
      </c>
      <c r="X463" s="132" t="s">
        <v>259</v>
      </c>
    </row>
    <row r="464" spans="1:24" ht="15" customHeight="1" x14ac:dyDescent="0.2">
      <c r="A464" s="122" t="s">
        <v>241</v>
      </c>
      <c r="B464" s="123" t="s">
        <v>326</v>
      </c>
      <c r="C464" s="123" t="s">
        <v>249</v>
      </c>
      <c r="D464" s="123" t="s">
        <v>254</v>
      </c>
      <c r="E464" s="124" t="s">
        <v>45</v>
      </c>
      <c r="F464" s="124" t="s">
        <v>46</v>
      </c>
      <c r="G464" s="124" t="s">
        <v>251</v>
      </c>
      <c r="H464" s="125" t="s">
        <v>243</v>
      </c>
      <c r="I464" s="125" t="s">
        <v>244</v>
      </c>
      <c r="J464" s="125" t="s">
        <v>257</v>
      </c>
      <c r="K464" s="125" t="s">
        <v>269</v>
      </c>
      <c r="L464" s="125" t="s">
        <v>269</v>
      </c>
      <c r="M464" s="126" t="s">
        <v>242</v>
      </c>
      <c r="N464" s="127">
        <v>1</v>
      </c>
      <c r="O464" s="127">
        <v>0.9</v>
      </c>
      <c r="P464" s="127">
        <v>0.7</v>
      </c>
      <c r="Q464" s="127" t="s">
        <v>242</v>
      </c>
      <c r="R464" s="127">
        <v>0.63</v>
      </c>
      <c r="S464" s="127">
        <v>1</v>
      </c>
      <c r="T464" s="129" t="s">
        <v>242</v>
      </c>
      <c r="U464" s="124">
        <v>0.63</v>
      </c>
      <c r="V464" s="130"/>
      <c r="W464" s="131" t="s">
        <v>270</v>
      </c>
      <c r="X464" s="132" t="s">
        <v>259</v>
      </c>
    </row>
    <row r="465" spans="1:24" ht="15" customHeight="1" x14ac:dyDescent="0.2">
      <c r="A465" s="122" t="s">
        <v>241</v>
      </c>
      <c r="B465" s="123" t="s">
        <v>326</v>
      </c>
      <c r="C465" s="123" t="s">
        <v>249</v>
      </c>
      <c r="D465" s="123" t="s">
        <v>252</v>
      </c>
      <c r="E465" s="124" t="s">
        <v>293</v>
      </c>
      <c r="F465" s="124" t="s">
        <v>46</v>
      </c>
      <c r="G465" s="124" t="s">
        <v>251</v>
      </c>
      <c r="H465" s="125" t="s">
        <v>243</v>
      </c>
      <c r="I465" s="125" t="s">
        <v>244</v>
      </c>
      <c r="J465" s="125" t="s">
        <v>257</v>
      </c>
      <c r="K465" s="125" t="s">
        <v>269</v>
      </c>
      <c r="L465" s="125" t="s">
        <v>269</v>
      </c>
      <c r="M465" s="126" t="s">
        <v>242</v>
      </c>
      <c r="N465" s="127">
        <v>1</v>
      </c>
      <c r="O465" s="127">
        <v>1.8</v>
      </c>
      <c r="P465" s="127">
        <v>0.6</v>
      </c>
      <c r="Q465" s="127" t="s">
        <v>242</v>
      </c>
      <c r="R465" s="127">
        <v>1.08</v>
      </c>
      <c r="S465" s="127">
        <v>1</v>
      </c>
      <c r="T465" s="129" t="s">
        <v>242</v>
      </c>
      <c r="U465" s="124">
        <v>1.08</v>
      </c>
      <c r="V465" s="130"/>
      <c r="W465" s="131" t="s">
        <v>270</v>
      </c>
      <c r="X465" s="132" t="s">
        <v>259</v>
      </c>
    </row>
    <row r="466" spans="1:24" ht="15" customHeight="1" x14ac:dyDescent="0.2">
      <c r="A466" s="122" t="s">
        <v>241</v>
      </c>
      <c r="B466" s="123" t="s">
        <v>242</v>
      </c>
      <c r="C466" s="123" t="s">
        <v>242</v>
      </c>
      <c r="D466" s="123" t="s">
        <v>242</v>
      </c>
      <c r="E466" s="124" t="s">
        <v>242</v>
      </c>
      <c r="F466" s="124" t="s">
        <v>242</v>
      </c>
      <c r="G466" s="124" t="s">
        <v>242</v>
      </c>
      <c r="H466" s="125" t="s">
        <v>243</v>
      </c>
      <c r="I466" s="125" t="s">
        <v>244</v>
      </c>
      <c r="J466" s="125" t="s">
        <v>257</v>
      </c>
      <c r="K466" s="125" t="s">
        <v>271</v>
      </c>
      <c r="L466" s="125" t="s">
        <v>271</v>
      </c>
      <c r="M466" s="126" t="s">
        <v>242</v>
      </c>
      <c r="N466" s="127" t="s">
        <v>242</v>
      </c>
      <c r="O466" s="127" t="s">
        <v>242</v>
      </c>
      <c r="P466" s="127" t="s">
        <v>242</v>
      </c>
      <c r="Q466" s="127" t="s">
        <v>242</v>
      </c>
      <c r="R466" s="127" t="s">
        <v>242</v>
      </c>
      <c r="S466" s="127" t="s">
        <v>242</v>
      </c>
      <c r="T466" s="129" t="s">
        <v>242</v>
      </c>
      <c r="U466" s="124" t="s">
        <v>242</v>
      </c>
      <c r="V466" s="130">
        <v>397</v>
      </c>
      <c r="W466" s="131" t="s">
        <v>179</v>
      </c>
      <c r="X466" s="132" t="s">
        <v>259</v>
      </c>
    </row>
    <row r="467" spans="1:24" ht="15" customHeight="1" x14ac:dyDescent="0.2">
      <c r="A467" s="122" t="s">
        <v>241</v>
      </c>
      <c r="B467" s="123" t="s">
        <v>326</v>
      </c>
      <c r="C467" s="123" t="s">
        <v>249</v>
      </c>
      <c r="D467" s="123" t="s">
        <v>242</v>
      </c>
      <c r="E467" s="124" t="s">
        <v>242</v>
      </c>
      <c r="F467" s="124" t="s">
        <v>242</v>
      </c>
      <c r="G467" s="124" t="s">
        <v>251</v>
      </c>
      <c r="H467" s="125" t="s">
        <v>243</v>
      </c>
      <c r="I467" s="125" t="s">
        <v>244</v>
      </c>
      <c r="J467" s="125" t="s">
        <v>257</v>
      </c>
      <c r="K467" s="125" t="s">
        <v>271</v>
      </c>
      <c r="L467" s="125" t="s">
        <v>271</v>
      </c>
      <c r="M467" s="126" t="s">
        <v>242</v>
      </c>
      <c r="N467" s="127">
        <v>1</v>
      </c>
      <c r="O467" s="127">
        <v>159</v>
      </c>
      <c r="P467" s="127" t="s">
        <v>242</v>
      </c>
      <c r="Q467" s="127" t="s">
        <v>242</v>
      </c>
      <c r="R467" s="127">
        <v>159</v>
      </c>
      <c r="S467" s="127">
        <v>1</v>
      </c>
      <c r="T467" s="129" t="s">
        <v>242</v>
      </c>
      <c r="U467" s="124">
        <v>159</v>
      </c>
      <c r="V467" s="130"/>
      <c r="W467" s="131" t="s">
        <v>179</v>
      </c>
      <c r="X467" s="132" t="s">
        <v>259</v>
      </c>
    </row>
    <row r="468" spans="1:24" ht="15" customHeight="1" x14ac:dyDescent="0.2">
      <c r="A468" s="122" t="s">
        <v>241</v>
      </c>
      <c r="B468" s="123" t="s">
        <v>326</v>
      </c>
      <c r="C468" s="123" t="s">
        <v>249</v>
      </c>
      <c r="D468" s="123" t="s">
        <v>242</v>
      </c>
      <c r="E468" s="124" t="s">
        <v>242</v>
      </c>
      <c r="F468" s="124" t="s">
        <v>242</v>
      </c>
      <c r="G468" s="124" t="s">
        <v>251</v>
      </c>
      <c r="H468" s="125" t="s">
        <v>243</v>
      </c>
      <c r="I468" s="125" t="s">
        <v>244</v>
      </c>
      <c r="J468" s="125" t="s">
        <v>257</v>
      </c>
      <c r="K468" s="125" t="s">
        <v>271</v>
      </c>
      <c r="L468" s="125" t="s">
        <v>271</v>
      </c>
      <c r="M468" s="126" t="s">
        <v>242</v>
      </c>
      <c r="N468" s="127">
        <v>1</v>
      </c>
      <c r="O468" s="127">
        <v>8</v>
      </c>
      <c r="P468" s="127" t="s">
        <v>242</v>
      </c>
      <c r="Q468" s="127" t="s">
        <v>242</v>
      </c>
      <c r="R468" s="127">
        <v>8</v>
      </c>
      <c r="S468" s="127">
        <v>15</v>
      </c>
      <c r="T468" s="129" t="s">
        <v>242</v>
      </c>
      <c r="U468" s="124">
        <v>120</v>
      </c>
      <c r="V468" s="130"/>
      <c r="W468" s="131" t="s">
        <v>179</v>
      </c>
      <c r="X468" s="132" t="s">
        <v>259</v>
      </c>
    </row>
    <row r="469" spans="1:24" ht="15" customHeight="1" x14ac:dyDescent="0.2">
      <c r="A469" s="122" t="s">
        <v>241</v>
      </c>
      <c r="B469" s="123" t="s">
        <v>326</v>
      </c>
      <c r="C469" s="123" t="s">
        <v>249</v>
      </c>
      <c r="D469" s="123" t="s">
        <v>242</v>
      </c>
      <c r="E469" s="124" t="s">
        <v>242</v>
      </c>
      <c r="F469" s="124" t="s">
        <v>242</v>
      </c>
      <c r="G469" s="124" t="s">
        <v>251</v>
      </c>
      <c r="H469" s="125" t="s">
        <v>243</v>
      </c>
      <c r="I469" s="125" t="s">
        <v>244</v>
      </c>
      <c r="J469" s="125" t="s">
        <v>257</v>
      </c>
      <c r="K469" s="125" t="s">
        <v>271</v>
      </c>
      <c r="L469" s="125" t="s">
        <v>271</v>
      </c>
      <c r="M469" s="126" t="s">
        <v>242</v>
      </c>
      <c r="N469" s="127">
        <v>1</v>
      </c>
      <c r="O469" s="127">
        <v>79</v>
      </c>
      <c r="P469" s="127" t="s">
        <v>242</v>
      </c>
      <c r="Q469" s="127" t="s">
        <v>242</v>
      </c>
      <c r="R469" s="127">
        <v>79</v>
      </c>
      <c r="S469" s="127">
        <v>1</v>
      </c>
      <c r="T469" s="129" t="s">
        <v>242</v>
      </c>
      <c r="U469" s="124">
        <v>79</v>
      </c>
      <c r="V469" s="130"/>
      <c r="W469" s="131" t="s">
        <v>179</v>
      </c>
      <c r="X469" s="132" t="s">
        <v>259</v>
      </c>
    </row>
    <row r="470" spans="1:24" ht="15" customHeight="1" x14ac:dyDescent="0.2">
      <c r="A470" s="122" t="s">
        <v>241</v>
      </c>
      <c r="B470" s="123" t="s">
        <v>326</v>
      </c>
      <c r="C470" s="123" t="s">
        <v>249</v>
      </c>
      <c r="D470" s="123" t="s">
        <v>242</v>
      </c>
      <c r="E470" s="124" t="s">
        <v>242</v>
      </c>
      <c r="F470" s="124" t="s">
        <v>242</v>
      </c>
      <c r="G470" s="124" t="s">
        <v>251</v>
      </c>
      <c r="H470" s="125" t="s">
        <v>243</v>
      </c>
      <c r="I470" s="125" t="s">
        <v>244</v>
      </c>
      <c r="J470" s="125" t="s">
        <v>257</v>
      </c>
      <c r="K470" s="125" t="s">
        <v>271</v>
      </c>
      <c r="L470" s="125" t="s">
        <v>271</v>
      </c>
      <c r="M470" s="126" t="s">
        <v>242</v>
      </c>
      <c r="N470" s="127">
        <v>1</v>
      </c>
      <c r="O470" s="127">
        <v>39</v>
      </c>
      <c r="P470" s="127" t="s">
        <v>242</v>
      </c>
      <c r="Q470" s="127" t="s">
        <v>242</v>
      </c>
      <c r="R470" s="127">
        <v>39</v>
      </c>
      <c r="S470" s="127">
        <v>1</v>
      </c>
      <c r="T470" s="129" t="s">
        <v>242</v>
      </c>
      <c r="U470" s="124">
        <v>39</v>
      </c>
      <c r="V470" s="130"/>
      <c r="W470" s="131" t="s">
        <v>179</v>
      </c>
      <c r="X470" s="132" t="s">
        <v>259</v>
      </c>
    </row>
    <row r="471" spans="1:24" ht="15" customHeight="1" x14ac:dyDescent="0.2">
      <c r="A471" s="122" t="s">
        <v>241</v>
      </c>
      <c r="B471" s="123" t="s">
        <v>242</v>
      </c>
      <c r="C471" s="123" t="s">
        <v>242</v>
      </c>
      <c r="D471" s="123" t="s">
        <v>242</v>
      </c>
      <c r="E471" s="124" t="s">
        <v>242</v>
      </c>
      <c r="F471" s="124" t="s">
        <v>242</v>
      </c>
      <c r="G471" s="124" t="s">
        <v>242</v>
      </c>
      <c r="H471" s="125" t="s">
        <v>243</v>
      </c>
      <c r="I471" s="125" t="s">
        <v>244</v>
      </c>
      <c r="J471" s="125" t="s">
        <v>257</v>
      </c>
      <c r="K471" s="125" t="s">
        <v>275</v>
      </c>
      <c r="L471" s="125" t="s">
        <v>275</v>
      </c>
      <c r="M471" s="126" t="s">
        <v>242</v>
      </c>
      <c r="N471" s="127" t="s">
        <v>242</v>
      </c>
      <c r="O471" s="127" t="s">
        <v>242</v>
      </c>
      <c r="P471" s="127" t="s">
        <v>242</v>
      </c>
      <c r="Q471" s="127" t="s">
        <v>242</v>
      </c>
      <c r="R471" s="127" t="s">
        <v>242</v>
      </c>
      <c r="S471" s="127" t="s">
        <v>242</v>
      </c>
      <c r="T471" s="129" t="s">
        <v>242</v>
      </c>
      <c r="U471" s="124" t="s">
        <v>242</v>
      </c>
      <c r="V471" s="130">
        <v>15</v>
      </c>
      <c r="W471" s="131" t="s">
        <v>74</v>
      </c>
      <c r="X471" s="132" t="s">
        <v>259</v>
      </c>
    </row>
    <row r="472" spans="1:24" ht="15" customHeight="1" x14ac:dyDescent="0.2">
      <c r="A472" s="122" t="s">
        <v>241</v>
      </c>
      <c r="B472" s="123" t="s">
        <v>326</v>
      </c>
      <c r="C472" s="123" t="s">
        <v>249</v>
      </c>
      <c r="D472" s="123" t="s">
        <v>254</v>
      </c>
      <c r="E472" s="124" t="s">
        <v>45</v>
      </c>
      <c r="F472" s="124" t="s">
        <v>46</v>
      </c>
      <c r="G472" s="124" t="s">
        <v>251</v>
      </c>
      <c r="H472" s="125" t="s">
        <v>243</v>
      </c>
      <c r="I472" s="125" t="s">
        <v>244</v>
      </c>
      <c r="J472" s="125" t="s">
        <v>257</v>
      </c>
      <c r="K472" s="125" t="s">
        <v>275</v>
      </c>
      <c r="L472" s="125" t="s">
        <v>275</v>
      </c>
      <c r="M472" s="126" t="s">
        <v>242</v>
      </c>
      <c r="N472" s="127">
        <v>15</v>
      </c>
      <c r="O472" s="127" t="s">
        <v>242</v>
      </c>
      <c r="P472" s="127" t="s">
        <v>242</v>
      </c>
      <c r="Q472" s="127" t="s">
        <v>242</v>
      </c>
      <c r="R472" s="127">
        <v>15</v>
      </c>
      <c r="S472" s="127">
        <v>1</v>
      </c>
      <c r="T472" s="129" t="s">
        <v>242</v>
      </c>
      <c r="U472" s="124">
        <v>15</v>
      </c>
      <c r="V472" s="130"/>
      <c r="W472" s="131" t="s">
        <v>74</v>
      </c>
      <c r="X472" s="132" t="s">
        <v>259</v>
      </c>
    </row>
    <row r="473" spans="1:24" ht="15" customHeight="1" x14ac:dyDescent="0.25">
      <c r="A473" s="48"/>
      <c r="B473" s="49"/>
      <c r="C473" s="48"/>
      <c r="D473" s="48"/>
      <c r="E473" s="53"/>
      <c r="F473" s="46"/>
      <c r="G473" s="46"/>
      <c r="H473" s="46"/>
      <c r="I473" s="46"/>
      <c r="J473" s="46"/>
      <c r="K473" s="46"/>
      <c r="L473" s="46"/>
      <c r="M473" s="48"/>
      <c r="N473" s="48"/>
      <c r="O473" s="49"/>
      <c r="P473" s="48"/>
      <c r="Q473" s="48"/>
      <c r="R473" s="48"/>
      <c r="S473" s="46"/>
      <c r="T473" s="48"/>
      <c r="U473" s="48"/>
      <c r="V473" s="25"/>
      <c r="W473" s="25"/>
      <c r="X473" s="25"/>
    </row>
    <row r="474" spans="1:24" ht="15" customHeight="1" x14ac:dyDescent="0.25">
      <c r="A474" s="48"/>
      <c r="B474" s="49"/>
      <c r="C474" s="48"/>
      <c r="D474" s="48"/>
      <c r="E474" s="53"/>
      <c r="F474" s="46"/>
      <c r="G474" s="46"/>
      <c r="H474" s="46"/>
      <c r="I474" s="46"/>
      <c r="J474" s="46"/>
      <c r="K474" s="46"/>
      <c r="L474" s="46"/>
      <c r="M474" s="48"/>
      <c r="N474" s="48"/>
      <c r="O474" s="49"/>
      <c r="P474" s="48"/>
      <c r="Q474" s="48"/>
      <c r="R474" s="48"/>
      <c r="S474" s="46"/>
      <c r="T474" s="48"/>
      <c r="U474" s="48"/>
      <c r="V474" s="25"/>
      <c r="W474" s="25"/>
      <c r="X474" s="25"/>
    </row>
    <row r="475" spans="1:24" ht="15" customHeight="1" x14ac:dyDescent="0.2">
      <c r="A475" s="54" t="s">
        <v>241</v>
      </c>
      <c r="B475" s="55" t="s">
        <v>242</v>
      </c>
      <c r="C475" s="55" t="s">
        <v>242</v>
      </c>
      <c r="D475" s="55" t="s">
        <v>242</v>
      </c>
      <c r="E475" s="56" t="s">
        <v>242</v>
      </c>
      <c r="F475" s="56" t="s">
        <v>242</v>
      </c>
      <c r="G475" s="56" t="s">
        <v>242</v>
      </c>
      <c r="H475" s="57" t="s">
        <v>243</v>
      </c>
      <c r="I475" s="57" t="s">
        <v>244</v>
      </c>
      <c r="J475" s="57" t="s">
        <v>245</v>
      </c>
      <c r="K475" s="57" t="s">
        <v>255</v>
      </c>
      <c r="L475" s="57" t="s">
        <v>255</v>
      </c>
      <c r="M475" s="58" t="s">
        <v>242</v>
      </c>
      <c r="N475" s="59" t="s">
        <v>242</v>
      </c>
      <c r="O475" s="59" t="s">
        <v>242</v>
      </c>
      <c r="P475" s="59" t="s">
        <v>242</v>
      </c>
      <c r="Q475" s="59" t="s">
        <v>242</v>
      </c>
      <c r="R475" s="59" t="s">
        <v>242</v>
      </c>
      <c r="S475" s="60" t="s">
        <v>242</v>
      </c>
      <c r="T475" s="61" t="s">
        <v>242</v>
      </c>
      <c r="U475" s="56" t="s">
        <v>242</v>
      </c>
      <c r="V475" s="62">
        <v>21</v>
      </c>
      <c r="W475" s="63" t="s">
        <v>179</v>
      </c>
      <c r="X475" s="64" t="s">
        <v>247</v>
      </c>
    </row>
    <row r="476" spans="1:24" ht="15" customHeight="1" x14ac:dyDescent="0.2">
      <c r="A476" s="54" t="s">
        <v>241</v>
      </c>
      <c r="B476" s="55" t="s">
        <v>327</v>
      </c>
      <c r="C476" s="55" t="s">
        <v>249</v>
      </c>
      <c r="D476" s="55" t="s">
        <v>254</v>
      </c>
      <c r="E476" s="56" t="s">
        <v>45</v>
      </c>
      <c r="F476" s="56" t="s">
        <v>47</v>
      </c>
      <c r="G476" s="56" t="s">
        <v>251</v>
      </c>
      <c r="H476" s="57" t="s">
        <v>243</v>
      </c>
      <c r="I476" s="57" t="s">
        <v>244</v>
      </c>
      <c r="J476" s="57" t="s">
        <v>245</v>
      </c>
      <c r="K476" s="57" t="s">
        <v>255</v>
      </c>
      <c r="L476" s="57" t="s">
        <v>255</v>
      </c>
      <c r="M476" s="58" t="s">
        <v>242</v>
      </c>
      <c r="N476" s="59">
        <v>1</v>
      </c>
      <c r="O476" s="59">
        <v>15</v>
      </c>
      <c r="P476" s="59" t="s">
        <v>242</v>
      </c>
      <c r="Q476" s="59" t="s">
        <v>242</v>
      </c>
      <c r="R476" s="59">
        <v>15</v>
      </c>
      <c r="S476" s="59">
        <v>1</v>
      </c>
      <c r="T476" s="61" t="s">
        <v>242</v>
      </c>
      <c r="U476" s="56">
        <v>15</v>
      </c>
      <c r="V476" s="62"/>
      <c r="W476" s="63" t="s">
        <v>179</v>
      </c>
      <c r="X476" s="64" t="s">
        <v>247</v>
      </c>
    </row>
    <row r="477" spans="1:24" ht="15" customHeight="1" x14ac:dyDescent="0.2">
      <c r="A477" s="54" t="s">
        <v>241</v>
      </c>
      <c r="B477" s="55" t="s">
        <v>327</v>
      </c>
      <c r="C477" s="55" t="s">
        <v>249</v>
      </c>
      <c r="D477" s="55" t="s">
        <v>260</v>
      </c>
      <c r="E477" s="56" t="s">
        <v>301</v>
      </c>
      <c r="F477" s="56" t="s">
        <v>46</v>
      </c>
      <c r="G477" s="56" t="s">
        <v>251</v>
      </c>
      <c r="H477" s="57" t="s">
        <v>243</v>
      </c>
      <c r="I477" s="57" t="s">
        <v>244</v>
      </c>
      <c r="J477" s="57" t="s">
        <v>245</v>
      </c>
      <c r="K477" s="57" t="s">
        <v>255</v>
      </c>
      <c r="L477" s="57" t="s">
        <v>255</v>
      </c>
      <c r="M477" s="58" t="s">
        <v>242</v>
      </c>
      <c r="N477" s="59">
        <v>1</v>
      </c>
      <c r="O477" s="59">
        <v>6</v>
      </c>
      <c r="P477" s="59" t="s">
        <v>242</v>
      </c>
      <c r="Q477" s="59" t="s">
        <v>242</v>
      </c>
      <c r="R477" s="59">
        <v>6</v>
      </c>
      <c r="S477" s="59">
        <v>1</v>
      </c>
      <c r="T477" s="61" t="s">
        <v>242</v>
      </c>
      <c r="U477" s="56">
        <v>6</v>
      </c>
      <c r="V477" s="62"/>
      <c r="W477" s="63" t="s">
        <v>179</v>
      </c>
      <c r="X477" s="64" t="s">
        <v>247</v>
      </c>
    </row>
    <row r="478" spans="1:24" ht="15" customHeight="1" x14ac:dyDescent="0.2">
      <c r="A478" s="54" t="s">
        <v>241</v>
      </c>
      <c r="B478" s="55" t="s">
        <v>242</v>
      </c>
      <c r="C478" s="55" t="s">
        <v>242</v>
      </c>
      <c r="D478" s="55" t="s">
        <v>242</v>
      </c>
      <c r="E478" s="56" t="s">
        <v>242</v>
      </c>
      <c r="F478" s="56" t="s">
        <v>242</v>
      </c>
      <c r="G478" s="56" t="s">
        <v>242</v>
      </c>
      <c r="H478" s="57" t="s">
        <v>243</v>
      </c>
      <c r="I478" s="57" t="s">
        <v>244</v>
      </c>
      <c r="J478" s="57" t="s">
        <v>257</v>
      </c>
      <c r="K478" s="57" t="s">
        <v>278</v>
      </c>
      <c r="L478" s="57" t="s">
        <v>278</v>
      </c>
      <c r="M478" s="58" t="s">
        <v>242</v>
      </c>
      <c r="N478" s="59" t="s">
        <v>242</v>
      </c>
      <c r="O478" s="59" t="s">
        <v>242</v>
      </c>
      <c r="P478" s="59" t="s">
        <v>242</v>
      </c>
      <c r="Q478" s="59" t="s">
        <v>242</v>
      </c>
      <c r="R478" s="59" t="s">
        <v>242</v>
      </c>
      <c r="S478" s="59" t="s">
        <v>242</v>
      </c>
      <c r="T478" s="61" t="s">
        <v>242</v>
      </c>
      <c r="U478" s="56" t="s">
        <v>242</v>
      </c>
      <c r="V478" s="62">
        <v>24</v>
      </c>
      <c r="W478" s="63" t="s">
        <v>179</v>
      </c>
      <c r="X478" s="64" t="s">
        <v>259</v>
      </c>
    </row>
    <row r="479" spans="1:24" ht="15" customHeight="1" x14ac:dyDescent="0.2">
      <c r="A479" s="54" t="s">
        <v>241</v>
      </c>
      <c r="B479" s="55" t="s">
        <v>327</v>
      </c>
      <c r="C479" s="55" t="s">
        <v>249</v>
      </c>
      <c r="D479" s="55" t="s">
        <v>254</v>
      </c>
      <c r="E479" s="56" t="s">
        <v>45</v>
      </c>
      <c r="F479" s="56" t="s">
        <v>279</v>
      </c>
      <c r="G479" s="56" t="s">
        <v>251</v>
      </c>
      <c r="H479" s="57" t="s">
        <v>243</v>
      </c>
      <c r="I479" s="57" t="s">
        <v>244</v>
      </c>
      <c r="J479" s="57" t="s">
        <v>257</v>
      </c>
      <c r="K479" s="57" t="s">
        <v>278</v>
      </c>
      <c r="L479" s="57" t="s">
        <v>278</v>
      </c>
      <c r="M479" s="58" t="s">
        <v>242</v>
      </c>
      <c r="N479" s="59">
        <v>1</v>
      </c>
      <c r="O479" s="59">
        <v>24</v>
      </c>
      <c r="P479" s="59" t="s">
        <v>242</v>
      </c>
      <c r="Q479" s="59" t="s">
        <v>242</v>
      </c>
      <c r="R479" s="59">
        <v>24</v>
      </c>
      <c r="S479" s="59">
        <v>1</v>
      </c>
      <c r="T479" s="61" t="s">
        <v>242</v>
      </c>
      <c r="U479" s="56">
        <v>24</v>
      </c>
      <c r="V479" s="62"/>
      <c r="W479" s="63" t="s">
        <v>179</v>
      </c>
      <c r="X479" s="64" t="s">
        <v>259</v>
      </c>
    </row>
    <row r="480" spans="1:24" ht="15" customHeight="1" x14ac:dyDescent="0.2">
      <c r="A480" s="54" t="s">
        <v>241</v>
      </c>
      <c r="B480" s="55" t="s">
        <v>242</v>
      </c>
      <c r="C480" s="55" t="s">
        <v>242</v>
      </c>
      <c r="D480" s="55" t="s">
        <v>242</v>
      </c>
      <c r="E480" s="56" t="s">
        <v>242</v>
      </c>
      <c r="F480" s="56" t="s">
        <v>242</v>
      </c>
      <c r="G480" s="56" t="s">
        <v>242</v>
      </c>
      <c r="H480" s="57" t="s">
        <v>243</v>
      </c>
      <c r="I480" s="57" t="s">
        <v>244</v>
      </c>
      <c r="J480" s="57" t="s">
        <v>257</v>
      </c>
      <c r="K480" s="57" t="s">
        <v>258</v>
      </c>
      <c r="L480" s="57" t="s">
        <v>258</v>
      </c>
      <c r="M480" s="58" t="s">
        <v>242</v>
      </c>
      <c r="N480" s="59" t="s">
        <v>242</v>
      </c>
      <c r="O480" s="59" t="s">
        <v>242</v>
      </c>
      <c r="P480" s="59" t="s">
        <v>242</v>
      </c>
      <c r="Q480" s="59" t="s">
        <v>242</v>
      </c>
      <c r="R480" s="59" t="s">
        <v>242</v>
      </c>
      <c r="S480" s="59" t="s">
        <v>242</v>
      </c>
      <c r="T480" s="61" t="s">
        <v>242</v>
      </c>
      <c r="U480" s="56" t="s">
        <v>242</v>
      </c>
      <c r="V480" s="62">
        <v>65</v>
      </c>
      <c r="W480" s="63" t="s">
        <v>179</v>
      </c>
      <c r="X480" s="64" t="s">
        <v>259</v>
      </c>
    </row>
    <row r="481" spans="1:24" ht="15" customHeight="1" x14ac:dyDescent="0.2">
      <c r="A481" s="54" t="s">
        <v>241</v>
      </c>
      <c r="B481" s="55" t="s">
        <v>327</v>
      </c>
      <c r="C481" s="55" t="s">
        <v>249</v>
      </c>
      <c r="D481" s="55" t="s">
        <v>260</v>
      </c>
      <c r="E481" s="56" t="s">
        <v>302</v>
      </c>
      <c r="F481" s="56" t="s">
        <v>44</v>
      </c>
      <c r="G481" s="56" t="s">
        <v>251</v>
      </c>
      <c r="H481" s="57" t="s">
        <v>243</v>
      </c>
      <c r="I481" s="57" t="s">
        <v>244</v>
      </c>
      <c r="J481" s="57" t="s">
        <v>257</v>
      </c>
      <c r="K481" s="57" t="s">
        <v>258</v>
      </c>
      <c r="L481" s="57" t="s">
        <v>258</v>
      </c>
      <c r="M481" s="58" t="s">
        <v>242</v>
      </c>
      <c r="N481" s="59">
        <v>1</v>
      </c>
      <c r="O481" s="59">
        <v>20</v>
      </c>
      <c r="P481" s="59" t="s">
        <v>242</v>
      </c>
      <c r="Q481" s="59" t="s">
        <v>242</v>
      </c>
      <c r="R481" s="59">
        <v>20</v>
      </c>
      <c r="S481" s="59">
        <v>1</v>
      </c>
      <c r="T481" s="61" t="s">
        <v>242</v>
      </c>
      <c r="U481" s="56">
        <v>20</v>
      </c>
      <c r="V481" s="62"/>
      <c r="W481" s="63" t="s">
        <v>179</v>
      </c>
      <c r="X481" s="64" t="s">
        <v>259</v>
      </c>
    </row>
    <row r="482" spans="1:24" ht="15" customHeight="1" x14ac:dyDescent="0.2">
      <c r="A482" s="54" t="s">
        <v>241</v>
      </c>
      <c r="B482" s="55" t="s">
        <v>327</v>
      </c>
      <c r="C482" s="55" t="s">
        <v>249</v>
      </c>
      <c r="D482" s="55" t="s">
        <v>260</v>
      </c>
      <c r="E482" s="56" t="s">
        <v>222</v>
      </c>
      <c r="F482" s="56" t="s">
        <v>44</v>
      </c>
      <c r="G482" s="56" t="s">
        <v>251</v>
      </c>
      <c r="H482" s="57" t="s">
        <v>243</v>
      </c>
      <c r="I482" s="57" t="s">
        <v>244</v>
      </c>
      <c r="J482" s="57" t="s">
        <v>257</v>
      </c>
      <c r="K482" s="57" t="s">
        <v>258</v>
      </c>
      <c r="L482" s="57" t="s">
        <v>258</v>
      </c>
      <c r="M482" s="58" t="s">
        <v>242</v>
      </c>
      <c r="N482" s="59">
        <v>1</v>
      </c>
      <c r="O482" s="59">
        <v>45</v>
      </c>
      <c r="P482" s="59" t="s">
        <v>242</v>
      </c>
      <c r="Q482" s="59" t="s">
        <v>242</v>
      </c>
      <c r="R482" s="59">
        <v>45</v>
      </c>
      <c r="S482" s="59">
        <v>1</v>
      </c>
      <c r="T482" s="61" t="s">
        <v>242</v>
      </c>
      <c r="U482" s="56">
        <v>45</v>
      </c>
      <c r="V482" s="62"/>
      <c r="W482" s="63" t="s">
        <v>179</v>
      </c>
      <c r="X482" s="64" t="s">
        <v>259</v>
      </c>
    </row>
    <row r="483" spans="1:24" ht="15" customHeight="1" x14ac:dyDescent="0.2">
      <c r="A483" s="54" t="s">
        <v>241</v>
      </c>
      <c r="B483" s="55" t="s">
        <v>242</v>
      </c>
      <c r="C483" s="55" t="s">
        <v>242</v>
      </c>
      <c r="D483" s="55" t="s">
        <v>242</v>
      </c>
      <c r="E483" s="56" t="s">
        <v>242</v>
      </c>
      <c r="F483" s="56" t="s">
        <v>242</v>
      </c>
      <c r="G483" s="56" t="s">
        <v>242</v>
      </c>
      <c r="H483" s="57" t="s">
        <v>243</v>
      </c>
      <c r="I483" s="57" t="s">
        <v>244</v>
      </c>
      <c r="J483" s="57" t="s">
        <v>257</v>
      </c>
      <c r="K483" s="57" t="s">
        <v>261</v>
      </c>
      <c r="L483" s="57" t="s">
        <v>261</v>
      </c>
      <c r="M483" s="58" t="s">
        <v>242</v>
      </c>
      <c r="N483" s="59" t="s">
        <v>242</v>
      </c>
      <c r="O483" s="59" t="s">
        <v>242</v>
      </c>
      <c r="P483" s="59" t="s">
        <v>242</v>
      </c>
      <c r="Q483" s="59" t="s">
        <v>242</v>
      </c>
      <c r="R483" s="59" t="s">
        <v>242</v>
      </c>
      <c r="S483" s="59" t="s">
        <v>242</v>
      </c>
      <c r="T483" s="61" t="s">
        <v>242</v>
      </c>
      <c r="U483" s="56" t="s">
        <v>242</v>
      </c>
      <c r="V483" s="62">
        <v>200</v>
      </c>
      <c r="W483" s="63" t="s">
        <v>262</v>
      </c>
      <c r="X483" s="64" t="s">
        <v>259</v>
      </c>
    </row>
    <row r="484" spans="1:24" ht="15" customHeight="1" x14ac:dyDescent="0.2">
      <c r="A484" s="54" t="s">
        <v>241</v>
      </c>
      <c r="B484" s="55" t="s">
        <v>327</v>
      </c>
      <c r="C484" s="55" t="s">
        <v>249</v>
      </c>
      <c r="D484" s="55" t="s">
        <v>242</v>
      </c>
      <c r="E484" s="56" t="s">
        <v>242</v>
      </c>
      <c r="F484" s="56" t="s">
        <v>242</v>
      </c>
      <c r="G484" s="56" t="s">
        <v>251</v>
      </c>
      <c r="H484" s="57" t="s">
        <v>243</v>
      </c>
      <c r="I484" s="57" t="s">
        <v>244</v>
      </c>
      <c r="J484" s="57" t="s">
        <v>257</v>
      </c>
      <c r="K484" s="57" t="s">
        <v>261</v>
      </c>
      <c r="L484" s="57" t="s">
        <v>261</v>
      </c>
      <c r="M484" s="58" t="s">
        <v>242</v>
      </c>
      <c r="N484" s="59">
        <v>200</v>
      </c>
      <c r="O484" s="59" t="s">
        <v>242</v>
      </c>
      <c r="P484" s="59" t="s">
        <v>242</v>
      </c>
      <c r="Q484" s="59" t="s">
        <v>242</v>
      </c>
      <c r="R484" s="59">
        <v>200</v>
      </c>
      <c r="S484" s="59">
        <v>1</v>
      </c>
      <c r="T484" s="61" t="s">
        <v>242</v>
      </c>
      <c r="U484" s="56">
        <v>200</v>
      </c>
      <c r="V484" s="62"/>
      <c r="W484" s="63" t="s">
        <v>262</v>
      </c>
      <c r="X484" s="64" t="s">
        <v>259</v>
      </c>
    </row>
    <row r="485" spans="1:24" ht="15" customHeight="1" x14ac:dyDescent="0.2">
      <c r="A485" s="54" t="s">
        <v>241</v>
      </c>
      <c r="B485" s="55" t="s">
        <v>242</v>
      </c>
      <c r="C485" s="55" t="s">
        <v>242</v>
      </c>
      <c r="D485" s="55" t="s">
        <v>242</v>
      </c>
      <c r="E485" s="56" t="s">
        <v>242</v>
      </c>
      <c r="F485" s="56" t="s">
        <v>242</v>
      </c>
      <c r="G485" s="56" t="s">
        <v>242</v>
      </c>
      <c r="H485" s="57" t="s">
        <v>243</v>
      </c>
      <c r="I485" s="57" t="s">
        <v>244</v>
      </c>
      <c r="J485" s="57" t="s">
        <v>257</v>
      </c>
      <c r="K485" s="57" t="s">
        <v>264</v>
      </c>
      <c r="L485" s="57" t="s">
        <v>264</v>
      </c>
      <c r="M485" s="58" t="s">
        <v>242</v>
      </c>
      <c r="N485" s="59" t="s">
        <v>242</v>
      </c>
      <c r="O485" s="59" t="s">
        <v>242</v>
      </c>
      <c r="P485" s="59" t="s">
        <v>242</v>
      </c>
      <c r="Q485" s="59" t="s">
        <v>242</v>
      </c>
      <c r="R485" s="59" t="s">
        <v>242</v>
      </c>
      <c r="S485" s="59" t="s">
        <v>242</v>
      </c>
      <c r="T485" s="61" t="s">
        <v>242</v>
      </c>
      <c r="U485" s="56" t="s">
        <v>242</v>
      </c>
      <c r="V485" s="62">
        <v>84.37</v>
      </c>
      <c r="W485" s="63" t="s">
        <v>99</v>
      </c>
      <c r="X485" s="64" t="s">
        <v>259</v>
      </c>
    </row>
    <row r="486" spans="1:24" ht="15" customHeight="1" x14ac:dyDescent="0.2">
      <c r="A486" s="54" t="s">
        <v>241</v>
      </c>
      <c r="B486" s="55" t="s">
        <v>327</v>
      </c>
      <c r="C486" s="55" t="s">
        <v>249</v>
      </c>
      <c r="D486" s="55" t="s">
        <v>242</v>
      </c>
      <c r="E486" s="56" t="s">
        <v>242</v>
      </c>
      <c r="F486" s="56" t="s">
        <v>242</v>
      </c>
      <c r="G486" s="56" t="s">
        <v>251</v>
      </c>
      <c r="H486" s="57" t="s">
        <v>243</v>
      </c>
      <c r="I486" s="57" t="s">
        <v>244</v>
      </c>
      <c r="J486" s="57" t="s">
        <v>257</v>
      </c>
      <c r="K486" s="57" t="s">
        <v>264</v>
      </c>
      <c r="L486" s="57" t="s">
        <v>264</v>
      </c>
      <c r="M486" s="58" t="s">
        <v>242</v>
      </c>
      <c r="N486" s="59">
        <v>84.37</v>
      </c>
      <c r="O486" s="59" t="s">
        <v>242</v>
      </c>
      <c r="P486" s="59" t="s">
        <v>242</v>
      </c>
      <c r="Q486" s="59" t="s">
        <v>242</v>
      </c>
      <c r="R486" s="59">
        <v>84.37</v>
      </c>
      <c r="S486" s="59">
        <v>1</v>
      </c>
      <c r="T486" s="61" t="s">
        <v>242</v>
      </c>
      <c r="U486" s="56">
        <v>84.37</v>
      </c>
      <c r="V486" s="62"/>
      <c r="W486" s="63" t="s">
        <v>99</v>
      </c>
      <c r="X486" s="64" t="s">
        <v>259</v>
      </c>
    </row>
    <row r="487" spans="1:24" ht="15" customHeight="1" x14ac:dyDescent="0.2">
      <c r="A487" s="54" t="s">
        <v>241</v>
      </c>
      <c r="B487" s="55" t="s">
        <v>242</v>
      </c>
      <c r="C487" s="55" t="s">
        <v>242</v>
      </c>
      <c r="D487" s="55" t="s">
        <v>242</v>
      </c>
      <c r="E487" s="56" t="s">
        <v>242</v>
      </c>
      <c r="F487" s="56" t="s">
        <v>242</v>
      </c>
      <c r="G487" s="56" t="s">
        <v>242</v>
      </c>
      <c r="H487" s="57" t="s">
        <v>243</v>
      </c>
      <c r="I487" s="57" t="s">
        <v>244</v>
      </c>
      <c r="J487" s="57" t="s">
        <v>257</v>
      </c>
      <c r="K487" s="57" t="s">
        <v>267</v>
      </c>
      <c r="L487" s="57" t="s">
        <v>267</v>
      </c>
      <c r="M487" s="58" t="s">
        <v>242</v>
      </c>
      <c r="N487" s="59" t="s">
        <v>242</v>
      </c>
      <c r="O487" s="59" t="s">
        <v>242</v>
      </c>
      <c r="P487" s="59" t="s">
        <v>242</v>
      </c>
      <c r="Q487" s="59" t="s">
        <v>242</v>
      </c>
      <c r="R487" s="59" t="s">
        <v>242</v>
      </c>
      <c r="S487" s="59" t="s">
        <v>242</v>
      </c>
      <c r="T487" s="61" t="s">
        <v>242</v>
      </c>
      <c r="U487" s="56" t="s">
        <v>242</v>
      </c>
      <c r="V487" s="62">
        <v>6</v>
      </c>
      <c r="W487" s="63" t="s">
        <v>74</v>
      </c>
      <c r="X487" s="64" t="s">
        <v>259</v>
      </c>
    </row>
    <row r="488" spans="1:24" ht="15" customHeight="1" x14ac:dyDescent="0.2">
      <c r="A488" s="54" t="s">
        <v>241</v>
      </c>
      <c r="B488" s="55" t="s">
        <v>327</v>
      </c>
      <c r="C488" s="55" t="s">
        <v>249</v>
      </c>
      <c r="D488" s="55" t="s">
        <v>254</v>
      </c>
      <c r="E488" s="56" t="s">
        <v>45</v>
      </c>
      <c r="F488" s="56" t="s">
        <v>44</v>
      </c>
      <c r="G488" s="56" t="s">
        <v>251</v>
      </c>
      <c r="H488" s="57" t="s">
        <v>243</v>
      </c>
      <c r="I488" s="57" t="s">
        <v>244</v>
      </c>
      <c r="J488" s="57" t="s">
        <v>257</v>
      </c>
      <c r="K488" s="57" t="s">
        <v>267</v>
      </c>
      <c r="L488" s="57" t="s">
        <v>267</v>
      </c>
      <c r="M488" s="58" t="s">
        <v>242</v>
      </c>
      <c r="N488" s="59">
        <v>6</v>
      </c>
      <c r="O488" s="59" t="s">
        <v>242</v>
      </c>
      <c r="P488" s="59" t="s">
        <v>242</v>
      </c>
      <c r="Q488" s="59" t="s">
        <v>242</v>
      </c>
      <c r="R488" s="59">
        <v>6</v>
      </c>
      <c r="S488" s="59">
        <v>1</v>
      </c>
      <c r="T488" s="61" t="s">
        <v>242</v>
      </c>
      <c r="U488" s="56">
        <v>6</v>
      </c>
      <c r="V488" s="62"/>
      <c r="W488" s="63" t="s">
        <v>74</v>
      </c>
      <c r="X488" s="64" t="s">
        <v>259</v>
      </c>
    </row>
    <row r="489" spans="1:24" ht="15" customHeight="1" x14ac:dyDescent="0.2">
      <c r="A489" s="54" t="s">
        <v>241</v>
      </c>
      <c r="B489" s="55" t="s">
        <v>242</v>
      </c>
      <c r="C489" s="55" t="s">
        <v>242</v>
      </c>
      <c r="D489" s="55" t="s">
        <v>242</v>
      </c>
      <c r="E489" s="56" t="s">
        <v>242</v>
      </c>
      <c r="F489" s="56" t="s">
        <v>242</v>
      </c>
      <c r="G489" s="56" t="s">
        <v>242</v>
      </c>
      <c r="H489" s="57" t="s">
        <v>243</v>
      </c>
      <c r="I489" s="57" t="s">
        <v>244</v>
      </c>
      <c r="J489" s="57" t="s">
        <v>257</v>
      </c>
      <c r="K489" s="57" t="s">
        <v>268</v>
      </c>
      <c r="L489" s="57" t="s">
        <v>268</v>
      </c>
      <c r="M489" s="58" t="s">
        <v>242</v>
      </c>
      <c r="N489" s="59" t="s">
        <v>242</v>
      </c>
      <c r="O489" s="59" t="s">
        <v>242</v>
      </c>
      <c r="P489" s="59" t="s">
        <v>242</v>
      </c>
      <c r="Q489" s="59" t="s">
        <v>242</v>
      </c>
      <c r="R489" s="59" t="s">
        <v>242</v>
      </c>
      <c r="S489" s="59" t="s">
        <v>242</v>
      </c>
      <c r="T489" s="61" t="s">
        <v>242</v>
      </c>
      <c r="U489" s="56" t="s">
        <v>242</v>
      </c>
      <c r="V489" s="62">
        <v>181</v>
      </c>
      <c r="W489" s="63" t="s">
        <v>74</v>
      </c>
      <c r="X489" s="64" t="s">
        <v>259</v>
      </c>
    </row>
    <row r="490" spans="1:24" ht="15" customHeight="1" x14ac:dyDescent="0.2">
      <c r="A490" s="54" t="s">
        <v>241</v>
      </c>
      <c r="B490" s="55" t="s">
        <v>327</v>
      </c>
      <c r="C490" s="55" t="s">
        <v>249</v>
      </c>
      <c r="D490" s="55" t="s">
        <v>242</v>
      </c>
      <c r="E490" s="56" t="s">
        <v>242</v>
      </c>
      <c r="F490" s="56" t="s">
        <v>242</v>
      </c>
      <c r="G490" s="56" t="s">
        <v>251</v>
      </c>
      <c r="H490" s="57" t="s">
        <v>243</v>
      </c>
      <c r="I490" s="57" t="s">
        <v>244</v>
      </c>
      <c r="J490" s="57" t="s">
        <v>257</v>
      </c>
      <c r="K490" s="57" t="s">
        <v>268</v>
      </c>
      <c r="L490" s="57" t="s">
        <v>268</v>
      </c>
      <c r="M490" s="58" t="s">
        <v>242</v>
      </c>
      <c r="N490" s="59">
        <v>181</v>
      </c>
      <c r="O490" s="59" t="s">
        <v>242</v>
      </c>
      <c r="P490" s="59" t="s">
        <v>242</v>
      </c>
      <c r="Q490" s="59" t="s">
        <v>242</v>
      </c>
      <c r="R490" s="59">
        <v>181</v>
      </c>
      <c r="S490" s="59">
        <v>1</v>
      </c>
      <c r="T490" s="61" t="s">
        <v>242</v>
      </c>
      <c r="U490" s="56">
        <v>181</v>
      </c>
      <c r="V490" s="62"/>
      <c r="W490" s="63" t="s">
        <v>74</v>
      </c>
      <c r="X490" s="64" t="s">
        <v>259</v>
      </c>
    </row>
    <row r="491" spans="1:24" ht="15" customHeight="1" x14ac:dyDescent="0.2">
      <c r="A491" s="54" t="s">
        <v>241</v>
      </c>
      <c r="B491" s="55" t="s">
        <v>242</v>
      </c>
      <c r="C491" s="55" t="s">
        <v>242</v>
      </c>
      <c r="D491" s="55" t="s">
        <v>242</v>
      </c>
      <c r="E491" s="56" t="s">
        <v>242</v>
      </c>
      <c r="F491" s="56" t="s">
        <v>242</v>
      </c>
      <c r="G491" s="56" t="s">
        <v>242</v>
      </c>
      <c r="H491" s="57" t="s">
        <v>243</v>
      </c>
      <c r="I491" s="57" t="s">
        <v>244</v>
      </c>
      <c r="J491" s="57" t="s">
        <v>257</v>
      </c>
      <c r="K491" s="57" t="s">
        <v>269</v>
      </c>
      <c r="L491" s="57" t="s">
        <v>269</v>
      </c>
      <c r="M491" s="58" t="s">
        <v>242</v>
      </c>
      <c r="N491" s="59" t="s">
        <v>242</v>
      </c>
      <c r="O491" s="59" t="s">
        <v>242</v>
      </c>
      <c r="P491" s="59" t="s">
        <v>242</v>
      </c>
      <c r="Q491" s="59" t="s">
        <v>242</v>
      </c>
      <c r="R491" s="59" t="s">
        <v>242</v>
      </c>
      <c r="S491" s="59" t="s">
        <v>242</v>
      </c>
      <c r="T491" s="61" t="s">
        <v>242</v>
      </c>
      <c r="U491" s="56" t="s">
        <v>242</v>
      </c>
      <c r="V491" s="62">
        <v>5.08</v>
      </c>
      <c r="W491" s="63" t="s">
        <v>270</v>
      </c>
      <c r="X491" s="64" t="s">
        <v>259</v>
      </c>
    </row>
    <row r="492" spans="1:24" ht="15" customHeight="1" x14ac:dyDescent="0.2">
      <c r="A492" s="54" t="s">
        <v>241</v>
      </c>
      <c r="B492" s="55" t="s">
        <v>327</v>
      </c>
      <c r="C492" s="55" t="s">
        <v>249</v>
      </c>
      <c r="D492" s="55" t="s">
        <v>252</v>
      </c>
      <c r="E492" s="56" t="s">
        <v>54</v>
      </c>
      <c r="F492" s="56" t="s">
        <v>46</v>
      </c>
      <c r="G492" s="56" t="s">
        <v>251</v>
      </c>
      <c r="H492" s="57" t="s">
        <v>243</v>
      </c>
      <c r="I492" s="57" t="s">
        <v>244</v>
      </c>
      <c r="J492" s="57" t="s">
        <v>257</v>
      </c>
      <c r="K492" s="57" t="s">
        <v>269</v>
      </c>
      <c r="L492" s="57" t="s">
        <v>269</v>
      </c>
      <c r="M492" s="58" t="s">
        <v>242</v>
      </c>
      <c r="N492" s="59">
        <v>1</v>
      </c>
      <c r="O492" s="59">
        <v>3</v>
      </c>
      <c r="P492" s="59">
        <v>0.5</v>
      </c>
      <c r="Q492" s="59" t="s">
        <v>242</v>
      </c>
      <c r="R492" s="59">
        <v>1.5</v>
      </c>
      <c r="S492" s="59">
        <v>1</v>
      </c>
      <c r="T492" s="61" t="s">
        <v>242</v>
      </c>
      <c r="U492" s="56">
        <v>1.5</v>
      </c>
      <c r="V492" s="62"/>
      <c r="W492" s="63" t="s">
        <v>270</v>
      </c>
      <c r="X492" s="64" t="s">
        <v>259</v>
      </c>
    </row>
    <row r="493" spans="1:24" ht="15" customHeight="1" x14ac:dyDescent="0.2">
      <c r="A493" s="54" t="s">
        <v>241</v>
      </c>
      <c r="B493" s="55" t="s">
        <v>327</v>
      </c>
      <c r="C493" s="55" t="s">
        <v>249</v>
      </c>
      <c r="D493" s="55" t="s">
        <v>250</v>
      </c>
      <c r="E493" s="56" t="s">
        <v>41</v>
      </c>
      <c r="F493" s="56" t="s">
        <v>42</v>
      </c>
      <c r="G493" s="56" t="s">
        <v>251</v>
      </c>
      <c r="H493" s="57" t="s">
        <v>243</v>
      </c>
      <c r="I493" s="57" t="s">
        <v>244</v>
      </c>
      <c r="J493" s="57" t="s">
        <v>257</v>
      </c>
      <c r="K493" s="57" t="s">
        <v>269</v>
      </c>
      <c r="L493" s="57" t="s">
        <v>269</v>
      </c>
      <c r="M493" s="58" t="s">
        <v>242</v>
      </c>
      <c r="N493" s="59">
        <v>1</v>
      </c>
      <c r="O493" s="59">
        <v>1.1000000000000001</v>
      </c>
      <c r="P493" s="59">
        <v>0.8</v>
      </c>
      <c r="Q493" s="59" t="s">
        <v>242</v>
      </c>
      <c r="R493" s="59">
        <v>0.88</v>
      </c>
      <c r="S493" s="59">
        <v>1</v>
      </c>
      <c r="T493" s="61" t="s">
        <v>242</v>
      </c>
      <c r="U493" s="56">
        <v>0.88</v>
      </c>
      <c r="V493" s="62"/>
      <c r="W493" s="63" t="s">
        <v>270</v>
      </c>
      <c r="X493" s="64" t="s">
        <v>259</v>
      </c>
    </row>
    <row r="494" spans="1:24" ht="15" customHeight="1" x14ac:dyDescent="0.2">
      <c r="A494" s="54" t="s">
        <v>241</v>
      </c>
      <c r="B494" s="55" t="s">
        <v>327</v>
      </c>
      <c r="C494" s="55" t="s">
        <v>249</v>
      </c>
      <c r="D494" s="55" t="s">
        <v>260</v>
      </c>
      <c r="E494" s="56" t="s">
        <v>54</v>
      </c>
      <c r="F494" s="56" t="s">
        <v>279</v>
      </c>
      <c r="G494" s="56" t="s">
        <v>251</v>
      </c>
      <c r="H494" s="57" t="s">
        <v>243</v>
      </c>
      <c r="I494" s="57" t="s">
        <v>244</v>
      </c>
      <c r="J494" s="57" t="s">
        <v>257</v>
      </c>
      <c r="K494" s="57" t="s">
        <v>269</v>
      </c>
      <c r="L494" s="57" t="s">
        <v>269</v>
      </c>
      <c r="M494" s="58" t="s">
        <v>242</v>
      </c>
      <c r="N494" s="59">
        <v>1</v>
      </c>
      <c r="O494" s="59">
        <v>1.5</v>
      </c>
      <c r="P494" s="59">
        <v>0.9</v>
      </c>
      <c r="Q494" s="59" t="s">
        <v>242</v>
      </c>
      <c r="R494" s="59">
        <v>1.35</v>
      </c>
      <c r="S494" s="59">
        <v>2</v>
      </c>
      <c r="T494" s="61" t="s">
        <v>242</v>
      </c>
      <c r="U494" s="56">
        <v>2.7</v>
      </c>
      <c r="V494" s="62"/>
      <c r="W494" s="63" t="s">
        <v>270</v>
      </c>
      <c r="X494" s="64" t="s">
        <v>259</v>
      </c>
    </row>
    <row r="495" spans="1:24" ht="15" customHeight="1" x14ac:dyDescent="0.2">
      <c r="A495" s="54" t="s">
        <v>241</v>
      </c>
      <c r="B495" s="55" t="s">
        <v>242</v>
      </c>
      <c r="C495" s="55" t="s">
        <v>242</v>
      </c>
      <c r="D495" s="55" t="s">
        <v>242</v>
      </c>
      <c r="E495" s="56" t="s">
        <v>242</v>
      </c>
      <c r="F495" s="56" t="s">
        <v>242</v>
      </c>
      <c r="G495" s="56" t="s">
        <v>242</v>
      </c>
      <c r="H495" s="57" t="s">
        <v>243</v>
      </c>
      <c r="I495" s="57" t="s">
        <v>244</v>
      </c>
      <c r="J495" s="57" t="s">
        <v>257</v>
      </c>
      <c r="K495" s="57" t="s">
        <v>271</v>
      </c>
      <c r="L495" s="57" t="s">
        <v>271</v>
      </c>
      <c r="M495" s="58" t="s">
        <v>242</v>
      </c>
      <c r="N495" s="59" t="s">
        <v>242</v>
      </c>
      <c r="O495" s="59" t="s">
        <v>242</v>
      </c>
      <c r="P495" s="59" t="s">
        <v>242</v>
      </c>
      <c r="Q495" s="59" t="s">
        <v>242</v>
      </c>
      <c r="R495" s="59" t="s">
        <v>242</v>
      </c>
      <c r="S495" s="59" t="s">
        <v>242</v>
      </c>
      <c r="T495" s="61" t="s">
        <v>242</v>
      </c>
      <c r="U495" s="56" t="s">
        <v>242</v>
      </c>
      <c r="V495" s="62">
        <v>308</v>
      </c>
      <c r="W495" s="63" t="s">
        <v>179</v>
      </c>
      <c r="X495" s="64" t="s">
        <v>259</v>
      </c>
    </row>
    <row r="496" spans="1:24" ht="15" customHeight="1" x14ac:dyDescent="0.2">
      <c r="A496" s="54" t="s">
        <v>241</v>
      </c>
      <c r="B496" s="55" t="s">
        <v>327</v>
      </c>
      <c r="C496" s="55" t="s">
        <v>249</v>
      </c>
      <c r="D496" s="55" t="s">
        <v>242</v>
      </c>
      <c r="E496" s="56" t="s">
        <v>242</v>
      </c>
      <c r="F496" s="56" t="s">
        <v>242</v>
      </c>
      <c r="G496" s="56" t="s">
        <v>251</v>
      </c>
      <c r="H496" s="57" t="s">
        <v>243</v>
      </c>
      <c r="I496" s="57" t="s">
        <v>244</v>
      </c>
      <c r="J496" s="57" t="s">
        <v>257</v>
      </c>
      <c r="K496" s="57" t="s">
        <v>271</v>
      </c>
      <c r="L496" s="57" t="s">
        <v>271</v>
      </c>
      <c r="M496" s="58" t="s">
        <v>242</v>
      </c>
      <c r="N496" s="59">
        <v>1</v>
      </c>
      <c r="O496" s="59" t="s">
        <v>309</v>
      </c>
      <c r="P496" s="59" t="s">
        <v>242</v>
      </c>
      <c r="Q496" s="59" t="s">
        <v>242</v>
      </c>
      <c r="R496" s="59">
        <v>121</v>
      </c>
      <c r="S496" s="59" t="s">
        <v>281</v>
      </c>
      <c r="T496" s="61" t="s">
        <v>242</v>
      </c>
      <c r="U496" s="56">
        <v>121</v>
      </c>
      <c r="V496" s="62"/>
      <c r="W496" s="63" t="s">
        <v>179</v>
      </c>
      <c r="X496" s="64" t="s">
        <v>259</v>
      </c>
    </row>
    <row r="497" spans="1:24" ht="15" customHeight="1" x14ac:dyDescent="0.2">
      <c r="A497" s="54" t="s">
        <v>241</v>
      </c>
      <c r="B497" s="55" t="s">
        <v>327</v>
      </c>
      <c r="C497" s="55" t="s">
        <v>249</v>
      </c>
      <c r="D497" s="55" t="s">
        <v>242</v>
      </c>
      <c r="E497" s="56" t="s">
        <v>242</v>
      </c>
      <c r="F497" s="56" t="s">
        <v>242</v>
      </c>
      <c r="G497" s="56" t="s">
        <v>251</v>
      </c>
      <c r="H497" s="57" t="s">
        <v>243</v>
      </c>
      <c r="I497" s="57" t="s">
        <v>244</v>
      </c>
      <c r="J497" s="57" t="s">
        <v>257</v>
      </c>
      <c r="K497" s="57" t="s">
        <v>271</v>
      </c>
      <c r="L497" s="57" t="s">
        <v>271</v>
      </c>
      <c r="M497" s="58" t="s">
        <v>242</v>
      </c>
      <c r="N497" s="59">
        <v>1</v>
      </c>
      <c r="O497" s="59">
        <v>8</v>
      </c>
      <c r="P497" s="59" t="s">
        <v>242</v>
      </c>
      <c r="Q497" s="59" t="s">
        <v>242</v>
      </c>
      <c r="R497" s="59">
        <v>8</v>
      </c>
      <c r="S497" s="59">
        <v>12</v>
      </c>
      <c r="T497" s="61" t="s">
        <v>242</v>
      </c>
      <c r="U497" s="56">
        <v>96</v>
      </c>
      <c r="V497" s="62"/>
      <c r="W497" s="63" t="s">
        <v>179</v>
      </c>
      <c r="X497" s="64" t="s">
        <v>259</v>
      </c>
    </row>
    <row r="498" spans="1:24" ht="15" customHeight="1" x14ac:dyDescent="0.2">
      <c r="A498" s="54" t="s">
        <v>241</v>
      </c>
      <c r="B498" s="55" t="s">
        <v>327</v>
      </c>
      <c r="C498" s="55" t="s">
        <v>249</v>
      </c>
      <c r="D498" s="55" t="s">
        <v>242</v>
      </c>
      <c r="E498" s="56" t="s">
        <v>242</v>
      </c>
      <c r="F498" s="56" t="s">
        <v>242</v>
      </c>
      <c r="G498" s="56" t="s">
        <v>251</v>
      </c>
      <c r="H498" s="57" t="s">
        <v>243</v>
      </c>
      <c r="I498" s="57" t="s">
        <v>244</v>
      </c>
      <c r="J498" s="57" t="s">
        <v>257</v>
      </c>
      <c r="K498" s="57" t="s">
        <v>271</v>
      </c>
      <c r="L498" s="57" t="s">
        <v>271</v>
      </c>
      <c r="M498" s="58" t="s">
        <v>242</v>
      </c>
      <c r="N498" s="59">
        <v>1</v>
      </c>
      <c r="O498" s="59">
        <v>61</v>
      </c>
      <c r="P498" s="59" t="s">
        <v>242</v>
      </c>
      <c r="Q498" s="59" t="s">
        <v>242</v>
      </c>
      <c r="R498" s="59">
        <v>61</v>
      </c>
      <c r="S498" s="59">
        <v>1</v>
      </c>
      <c r="T498" s="61" t="s">
        <v>242</v>
      </c>
      <c r="U498" s="56">
        <v>61</v>
      </c>
      <c r="V498" s="62"/>
      <c r="W498" s="63" t="s">
        <v>179</v>
      </c>
      <c r="X498" s="64" t="s">
        <v>259</v>
      </c>
    </row>
    <row r="499" spans="1:24" ht="15" customHeight="1" x14ac:dyDescent="0.2">
      <c r="A499" s="54" t="s">
        <v>241</v>
      </c>
      <c r="B499" s="55" t="s">
        <v>327</v>
      </c>
      <c r="C499" s="55" t="s">
        <v>249</v>
      </c>
      <c r="D499" s="55" t="s">
        <v>260</v>
      </c>
      <c r="E499" s="56" t="s">
        <v>54</v>
      </c>
      <c r="F499" s="56" t="s">
        <v>279</v>
      </c>
      <c r="G499" s="56" t="s">
        <v>251</v>
      </c>
      <c r="H499" s="57" t="s">
        <v>243</v>
      </c>
      <c r="I499" s="57" t="s">
        <v>244</v>
      </c>
      <c r="J499" s="57" t="s">
        <v>257</v>
      </c>
      <c r="K499" s="57" t="s">
        <v>271</v>
      </c>
      <c r="L499" s="57" t="s">
        <v>271</v>
      </c>
      <c r="M499" s="58" t="s">
        <v>242</v>
      </c>
      <c r="N499" s="59">
        <v>1</v>
      </c>
      <c r="O499" s="59">
        <v>30</v>
      </c>
      <c r="P499" s="59" t="s">
        <v>242</v>
      </c>
      <c r="Q499" s="59" t="s">
        <v>242</v>
      </c>
      <c r="R499" s="59">
        <v>30</v>
      </c>
      <c r="S499" s="59">
        <v>1</v>
      </c>
      <c r="T499" s="61" t="s">
        <v>242</v>
      </c>
      <c r="U499" s="56">
        <v>30</v>
      </c>
      <c r="V499" s="62"/>
      <c r="W499" s="63" t="s">
        <v>179</v>
      </c>
      <c r="X499" s="64" t="s">
        <v>259</v>
      </c>
    </row>
    <row r="500" spans="1:24" ht="15" customHeight="1" x14ac:dyDescent="0.25">
      <c r="A500" s="48"/>
      <c r="B500" s="49"/>
      <c r="C500" s="48"/>
      <c r="D500" s="48"/>
      <c r="E500" s="53"/>
      <c r="F500" s="46"/>
      <c r="G500" s="46"/>
      <c r="H500" s="46"/>
      <c r="I500" s="46"/>
      <c r="J500" s="46"/>
      <c r="K500" s="46"/>
      <c r="L500" s="46"/>
      <c r="M500" s="48"/>
      <c r="N500" s="48"/>
      <c r="O500" s="49"/>
      <c r="P500" s="48"/>
      <c r="Q500" s="48"/>
      <c r="R500" s="48"/>
      <c r="S500" s="46"/>
      <c r="T500" s="48"/>
      <c r="U500" s="48"/>
      <c r="V500" s="25"/>
      <c r="W500" s="25"/>
      <c r="X500" s="25"/>
    </row>
    <row r="501" spans="1:24" ht="15" customHeight="1" x14ac:dyDescent="0.25">
      <c r="A501" s="48"/>
      <c r="B501" s="49"/>
      <c r="C501" s="48"/>
      <c r="D501" s="48"/>
      <c r="E501" s="53"/>
      <c r="F501" s="46"/>
      <c r="G501" s="46"/>
      <c r="H501" s="46"/>
      <c r="I501" s="46"/>
      <c r="J501" s="46"/>
      <c r="K501" s="46"/>
      <c r="L501" s="46"/>
      <c r="M501" s="48"/>
      <c r="N501" s="48"/>
      <c r="O501" s="49"/>
      <c r="P501" s="48"/>
      <c r="Q501" s="48"/>
      <c r="R501" s="48"/>
      <c r="S501" s="46"/>
      <c r="T501" s="48"/>
      <c r="U501" s="48"/>
      <c r="V501" s="25"/>
      <c r="W501" s="25"/>
      <c r="X501" s="25"/>
    </row>
    <row r="502" spans="1:24" ht="15" customHeight="1" x14ac:dyDescent="0.2">
      <c r="A502" s="133" t="s">
        <v>241</v>
      </c>
      <c r="B502" s="134" t="s">
        <v>242</v>
      </c>
      <c r="C502" s="134" t="s">
        <v>242</v>
      </c>
      <c r="D502" s="134" t="s">
        <v>242</v>
      </c>
      <c r="E502" s="135" t="s">
        <v>242</v>
      </c>
      <c r="F502" s="135" t="s">
        <v>242</v>
      </c>
      <c r="G502" s="135" t="s">
        <v>242</v>
      </c>
      <c r="H502" s="136" t="s">
        <v>243</v>
      </c>
      <c r="I502" s="136" t="s">
        <v>244</v>
      </c>
      <c r="J502" s="136" t="s">
        <v>245</v>
      </c>
      <c r="K502" s="136" t="s">
        <v>255</v>
      </c>
      <c r="L502" s="136" t="s">
        <v>255</v>
      </c>
      <c r="M502" s="137" t="s">
        <v>242</v>
      </c>
      <c r="N502" s="138" t="s">
        <v>242</v>
      </c>
      <c r="O502" s="138" t="s">
        <v>242</v>
      </c>
      <c r="P502" s="138" t="s">
        <v>242</v>
      </c>
      <c r="Q502" s="138" t="s">
        <v>242</v>
      </c>
      <c r="R502" s="138" t="s">
        <v>242</v>
      </c>
      <c r="S502" s="139" t="s">
        <v>242</v>
      </c>
      <c r="T502" s="140" t="s">
        <v>242</v>
      </c>
      <c r="U502" s="135" t="s">
        <v>242</v>
      </c>
      <c r="V502" s="141">
        <v>18</v>
      </c>
      <c r="W502" s="142" t="s">
        <v>179</v>
      </c>
      <c r="X502" s="143" t="s">
        <v>247</v>
      </c>
    </row>
    <row r="503" spans="1:24" ht="15" customHeight="1" x14ac:dyDescent="0.2">
      <c r="A503" s="133" t="s">
        <v>241</v>
      </c>
      <c r="B503" s="134" t="s">
        <v>328</v>
      </c>
      <c r="C503" s="134" t="s">
        <v>249</v>
      </c>
      <c r="D503" s="134" t="s">
        <v>254</v>
      </c>
      <c r="E503" s="135" t="s">
        <v>45</v>
      </c>
      <c r="F503" s="135" t="s">
        <v>279</v>
      </c>
      <c r="G503" s="135" t="s">
        <v>251</v>
      </c>
      <c r="H503" s="136" t="s">
        <v>243</v>
      </c>
      <c r="I503" s="136" t="s">
        <v>244</v>
      </c>
      <c r="J503" s="136" t="s">
        <v>245</v>
      </c>
      <c r="K503" s="136" t="s">
        <v>255</v>
      </c>
      <c r="L503" s="136" t="s">
        <v>255</v>
      </c>
      <c r="M503" s="137" t="s">
        <v>242</v>
      </c>
      <c r="N503" s="138">
        <v>1</v>
      </c>
      <c r="O503" s="138">
        <v>18</v>
      </c>
      <c r="P503" s="138" t="s">
        <v>242</v>
      </c>
      <c r="Q503" s="138" t="s">
        <v>242</v>
      </c>
      <c r="R503" s="138">
        <v>18</v>
      </c>
      <c r="S503" s="138" t="s">
        <v>242</v>
      </c>
      <c r="T503" s="140" t="s">
        <v>242</v>
      </c>
      <c r="U503" s="135">
        <v>18</v>
      </c>
      <c r="V503" s="141"/>
      <c r="W503" s="142" t="s">
        <v>179</v>
      </c>
      <c r="X503" s="143" t="s">
        <v>247</v>
      </c>
    </row>
    <row r="504" spans="1:24" ht="15" customHeight="1" x14ac:dyDescent="0.2">
      <c r="A504" s="133" t="s">
        <v>241</v>
      </c>
      <c r="B504" s="134" t="s">
        <v>242</v>
      </c>
      <c r="C504" s="134" t="s">
        <v>242</v>
      </c>
      <c r="D504" s="134" t="s">
        <v>242</v>
      </c>
      <c r="E504" s="135" t="s">
        <v>242</v>
      </c>
      <c r="F504" s="135" t="s">
        <v>242</v>
      </c>
      <c r="G504" s="135" t="s">
        <v>242</v>
      </c>
      <c r="H504" s="136" t="s">
        <v>243</v>
      </c>
      <c r="I504" s="136" t="s">
        <v>244</v>
      </c>
      <c r="J504" s="136" t="s">
        <v>257</v>
      </c>
      <c r="K504" s="136" t="s">
        <v>278</v>
      </c>
      <c r="L504" s="136" t="s">
        <v>278</v>
      </c>
      <c r="M504" s="137" t="s">
        <v>242</v>
      </c>
      <c r="N504" s="138" t="s">
        <v>242</v>
      </c>
      <c r="O504" s="138" t="s">
        <v>242</v>
      </c>
      <c r="P504" s="138" t="s">
        <v>242</v>
      </c>
      <c r="Q504" s="138" t="s">
        <v>242</v>
      </c>
      <c r="R504" s="138" t="s">
        <v>242</v>
      </c>
      <c r="S504" s="138" t="s">
        <v>242</v>
      </c>
      <c r="T504" s="140" t="s">
        <v>242</v>
      </c>
      <c r="U504" s="135" t="s">
        <v>242</v>
      </c>
      <c r="V504" s="141">
        <v>3</v>
      </c>
      <c r="W504" s="142" t="s">
        <v>179</v>
      </c>
      <c r="X504" s="143" t="s">
        <v>259</v>
      </c>
    </row>
    <row r="505" spans="1:24" ht="15" customHeight="1" x14ac:dyDescent="0.2">
      <c r="A505" s="133" t="s">
        <v>241</v>
      </c>
      <c r="B505" s="134" t="s">
        <v>328</v>
      </c>
      <c r="C505" s="134" t="s">
        <v>249</v>
      </c>
      <c r="D505" s="134" t="s">
        <v>254</v>
      </c>
      <c r="E505" s="135" t="s">
        <v>43</v>
      </c>
      <c r="F505" s="135" t="s">
        <v>47</v>
      </c>
      <c r="G505" s="135" t="s">
        <v>251</v>
      </c>
      <c r="H505" s="136" t="s">
        <v>243</v>
      </c>
      <c r="I505" s="136" t="s">
        <v>244</v>
      </c>
      <c r="J505" s="136" t="s">
        <v>257</v>
      </c>
      <c r="K505" s="136" t="s">
        <v>278</v>
      </c>
      <c r="L505" s="136" t="s">
        <v>278</v>
      </c>
      <c r="M505" s="137" t="s">
        <v>242</v>
      </c>
      <c r="N505" s="138">
        <v>1</v>
      </c>
      <c r="O505" s="138">
        <v>3</v>
      </c>
      <c r="P505" s="138" t="s">
        <v>242</v>
      </c>
      <c r="Q505" s="138" t="s">
        <v>242</v>
      </c>
      <c r="R505" s="138">
        <v>3</v>
      </c>
      <c r="S505" s="138" t="s">
        <v>242</v>
      </c>
      <c r="T505" s="140" t="s">
        <v>242</v>
      </c>
      <c r="U505" s="135">
        <v>3</v>
      </c>
      <c r="V505" s="141"/>
      <c r="W505" s="142" t="s">
        <v>179</v>
      </c>
      <c r="X505" s="143" t="s">
        <v>259</v>
      </c>
    </row>
    <row r="506" spans="1:24" ht="15" customHeight="1" x14ac:dyDescent="0.2">
      <c r="A506" s="133" t="s">
        <v>241</v>
      </c>
      <c r="B506" s="134" t="s">
        <v>242</v>
      </c>
      <c r="C506" s="134" t="s">
        <v>242</v>
      </c>
      <c r="D506" s="134" t="s">
        <v>242</v>
      </c>
      <c r="E506" s="135" t="s">
        <v>242</v>
      </c>
      <c r="F506" s="135" t="s">
        <v>242</v>
      </c>
      <c r="G506" s="135" t="s">
        <v>242</v>
      </c>
      <c r="H506" s="136" t="s">
        <v>243</v>
      </c>
      <c r="I506" s="136" t="s">
        <v>244</v>
      </c>
      <c r="J506" s="136" t="s">
        <v>257</v>
      </c>
      <c r="K506" s="136" t="s">
        <v>258</v>
      </c>
      <c r="L506" s="136" t="s">
        <v>258</v>
      </c>
      <c r="M506" s="137" t="s">
        <v>242</v>
      </c>
      <c r="N506" s="138" t="s">
        <v>242</v>
      </c>
      <c r="O506" s="138" t="s">
        <v>242</v>
      </c>
      <c r="P506" s="138" t="s">
        <v>242</v>
      </c>
      <c r="Q506" s="138" t="s">
        <v>242</v>
      </c>
      <c r="R506" s="138" t="s">
        <v>242</v>
      </c>
      <c r="S506" s="138" t="s">
        <v>242</v>
      </c>
      <c r="T506" s="140" t="s">
        <v>242</v>
      </c>
      <c r="U506" s="135" t="s">
        <v>242</v>
      </c>
      <c r="V506" s="141">
        <v>6</v>
      </c>
      <c r="W506" s="142" t="s">
        <v>179</v>
      </c>
      <c r="X506" s="143" t="s">
        <v>259</v>
      </c>
    </row>
    <row r="507" spans="1:24" ht="15" customHeight="1" x14ac:dyDescent="0.2">
      <c r="A507" s="133" t="s">
        <v>241</v>
      </c>
      <c r="B507" s="134" t="s">
        <v>328</v>
      </c>
      <c r="C507" s="134" t="s">
        <v>249</v>
      </c>
      <c r="D507" s="134" t="s">
        <v>250</v>
      </c>
      <c r="E507" s="135" t="s">
        <v>41</v>
      </c>
      <c r="F507" s="135" t="s">
        <v>46</v>
      </c>
      <c r="G507" s="135" t="s">
        <v>251</v>
      </c>
      <c r="H507" s="136" t="s">
        <v>243</v>
      </c>
      <c r="I507" s="136" t="s">
        <v>244</v>
      </c>
      <c r="J507" s="136" t="s">
        <v>257</v>
      </c>
      <c r="K507" s="136" t="s">
        <v>258</v>
      </c>
      <c r="L507" s="136" t="s">
        <v>258</v>
      </c>
      <c r="M507" s="137" t="s">
        <v>242</v>
      </c>
      <c r="N507" s="138">
        <v>1</v>
      </c>
      <c r="O507" s="138">
        <v>6</v>
      </c>
      <c r="P507" s="138" t="s">
        <v>242</v>
      </c>
      <c r="Q507" s="138" t="s">
        <v>242</v>
      </c>
      <c r="R507" s="138">
        <v>6</v>
      </c>
      <c r="S507" s="138" t="s">
        <v>242</v>
      </c>
      <c r="T507" s="140" t="s">
        <v>242</v>
      </c>
      <c r="U507" s="135">
        <v>6</v>
      </c>
      <c r="V507" s="141"/>
      <c r="W507" s="142" t="s">
        <v>179</v>
      </c>
      <c r="X507" s="143" t="s">
        <v>259</v>
      </c>
    </row>
    <row r="508" spans="1:24" ht="15" customHeight="1" x14ac:dyDescent="0.2">
      <c r="A508" s="133" t="s">
        <v>241</v>
      </c>
      <c r="B508" s="134" t="s">
        <v>242</v>
      </c>
      <c r="C508" s="134" t="s">
        <v>242</v>
      </c>
      <c r="D508" s="134" t="s">
        <v>242</v>
      </c>
      <c r="E508" s="135" t="s">
        <v>242</v>
      </c>
      <c r="F508" s="135" t="s">
        <v>242</v>
      </c>
      <c r="G508" s="135" t="s">
        <v>242</v>
      </c>
      <c r="H508" s="136" t="s">
        <v>243</v>
      </c>
      <c r="I508" s="136" t="s">
        <v>244</v>
      </c>
      <c r="J508" s="136" t="s">
        <v>257</v>
      </c>
      <c r="K508" s="136" t="s">
        <v>261</v>
      </c>
      <c r="L508" s="136" t="s">
        <v>261</v>
      </c>
      <c r="M508" s="137" t="s">
        <v>242</v>
      </c>
      <c r="N508" s="138" t="s">
        <v>242</v>
      </c>
      <c r="O508" s="138" t="s">
        <v>242</v>
      </c>
      <c r="P508" s="138" t="s">
        <v>242</v>
      </c>
      <c r="Q508" s="138" t="s">
        <v>242</v>
      </c>
      <c r="R508" s="138" t="s">
        <v>242</v>
      </c>
      <c r="S508" s="138" t="s">
        <v>242</v>
      </c>
      <c r="T508" s="140" t="s">
        <v>242</v>
      </c>
      <c r="U508" s="135" t="s">
        <v>242</v>
      </c>
      <c r="V508" s="141">
        <v>200</v>
      </c>
      <c r="W508" s="142" t="s">
        <v>262</v>
      </c>
      <c r="X508" s="143" t="s">
        <v>259</v>
      </c>
    </row>
    <row r="509" spans="1:24" ht="15" customHeight="1" x14ac:dyDescent="0.2">
      <c r="A509" s="133" t="s">
        <v>241</v>
      </c>
      <c r="B509" s="134" t="s">
        <v>328</v>
      </c>
      <c r="C509" s="134" t="s">
        <v>249</v>
      </c>
      <c r="D509" s="134" t="s">
        <v>242</v>
      </c>
      <c r="E509" s="135" t="s">
        <v>242</v>
      </c>
      <c r="F509" s="135" t="s">
        <v>242</v>
      </c>
      <c r="G509" s="135" t="s">
        <v>251</v>
      </c>
      <c r="H509" s="136" t="s">
        <v>243</v>
      </c>
      <c r="I509" s="136" t="s">
        <v>244</v>
      </c>
      <c r="J509" s="136" t="s">
        <v>257</v>
      </c>
      <c r="K509" s="136" t="s">
        <v>261</v>
      </c>
      <c r="L509" s="136" t="s">
        <v>261</v>
      </c>
      <c r="M509" s="137" t="s">
        <v>242</v>
      </c>
      <c r="N509" s="138">
        <v>200</v>
      </c>
      <c r="O509" s="138" t="s">
        <v>242</v>
      </c>
      <c r="P509" s="138" t="s">
        <v>242</v>
      </c>
      <c r="Q509" s="138" t="s">
        <v>242</v>
      </c>
      <c r="R509" s="138">
        <v>200</v>
      </c>
      <c r="S509" s="138" t="s">
        <v>242</v>
      </c>
      <c r="T509" s="140" t="s">
        <v>242</v>
      </c>
      <c r="U509" s="135">
        <v>200</v>
      </c>
      <c r="V509" s="141"/>
      <c r="W509" s="142" t="s">
        <v>262</v>
      </c>
      <c r="X509" s="143" t="s">
        <v>259</v>
      </c>
    </row>
    <row r="510" spans="1:24" ht="15" customHeight="1" x14ac:dyDescent="0.2">
      <c r="A510" s="133" t="s">
        <v>241</v>
      </c>
      <c r="B510" s="134" t="s">
        <v>242</v>
      </c>
      <c r="C510" s="134" t="s">
        <v>242</v>
      </c>
      <c r="D510" s="134" t="s">
        <v>242</v>
      </c>
      <c r="E510" s="135" t="s">
        <v>242</v>
      </c>
      <c r="F510" s="135" t="s">
        <v>242</v>
      </c>
      <c r="G510" s="135" t="s">
        <v>242</v>
      </c>
      <c r="H510" s="136" t="s">
        <v>243</v>
      </c>
      <c r="I510" s="136" t="s">
        <v>244</v>
      </c>
      <c r="J510" s="136" t="s">
        <v>257</v>
      </c>
      <c r="K510" s="136" t="s">
        <v>280</v>
      </c>
      <c r="L510" s="136" t="s">
        <v>280</v>
      </c>
      <c r="M510" s="137" t="s">
        <v>242</v>
      </c>
      <c r="N510" s="138" t="s">
        <v>242</v>
      </c>
      <c r="O510" s="138" t="s">
        <v>242</v>
      </c>
      <c r="P510" s="138" t="s">
        <v>242</v>
      </c>
      <c r="Q510" s="138" t="s">
        <v>242</v>
      </c>
      <c r="R510" s="138" t="s">
        <v>242</v>
      </c>
      <c r="S510" s="138" t="s">
        <v>242</v>
      </c>
      <c r="T510" s="140" t="s">
        <v>242</v>
      </c>
      <c r="U510" s="135" t="s">
        <v>242</v>
      </c>
      <c r="V510" s="141">
        <v>1000</v>
      </c>
      <c r="W510" s="142" t="s">
        <v>262</v>
      </c>
      <c r="X510" s="143" t="s">
        <v>259</v>
      </c>
    </row>
    <row r="511" spans="1:24" ht="15" customHeight="1" x14ac:dyDescent="0.2">
      <c r="A511" s="133" t="s">
        <v>241</v>
      </c>
      <c r="B511" s="134" t="s">
        <v>328</v>
      </c>
      <c r="C511" s="134" t="s">
        <v>249</v>
      </c>
      <c r="D511" s="134" t="s">
        <v>242</v>
      </c>
      <c r="E511" s="135" t="s">
        <v>242</v>
      </c>
      <c r="F511" s="135" t="s">
        <v>242</v>
      </c>
      <c r="G511" s="135" t="s">
        <v>251</v>
      </c>
      <c r="H511" s="136" t="s">
        <v>243</v>
      </c>
      <c r="I511" s="136" t="s">
        <v>244</v>
      </c>
      <c r="J511" s="136" t="s">
        <v>257</v>
      </c>
      <c r="K511" s="136" t="s">
        <v>280</v>
      </c>
      <c r="L511" s="136" t="s">
        <v>280</v>
      </c>
      <c r="M511" s="137" t="s">
        <v>242</v>
      </c>
      <c r="N511" s="138">
        <v>1000</v>
      </c>
      <c r="O511" s="138" t="s">
        <v>242</v>
      </c>
      <c r="P511" s="138" t="s">
        <v>242</v>
      </c>
      <c r="Q511" s="138" t="s">
        <v>242</v>
      </c>
      <c r="R511" s="138">
        <v>1000</v>
      </c>
      <c r="S511" s="138" t="s">
        <v>242</v>
      </c>
      <c r="T511" s="140" t="s">
        <v>242</v>
      </c>
      <c r="U511" s="135">
        <v>1000</v>
      </c>
      <c r="V511" s="141"/>
      <c r="W511" s="142" t="s">
        <v>262</v>
      </c>
      <c r="X511" s="143" t="s">
        <v>259</v>
      </c>
    </row>
    <row r="512" spans="1:24" ht="15" customHeight="1" x14ac:dyDescent="0.2">
      <c r="A512" s="133" t="s">
        <v>241</v>
      </c>
      <c r="B512" s="134" t="s">
        <v>242</v>
      </c>
      <c r="C512" s="134" t="s">
        <v>242</v>
      </c>
      <c r="D512" s="134" t="s">
        <v>242</v>
      </c>
      <c r="E512" s="135" t="s">
        <v>242</v>
      </c>
      <c r="F512" s="135" t="s">
        <v>242</v>
      </c>
      <c r="G512" s="135" t="s">
        <v>242</v>
      </c>
      <c r="H512" s="136" t="s">
        <v>243</v>
      </c>
      <c r="I512" s="136" t="s">
        <v>244</v>
      </c>
      <c r="J512" s="136" t="s">
        <v>257</v>
      </c>
      <c r="K512" s="136" t="s">
        <v>264</v>
      </c>
      <c r="L512" s="136" t="s">
        <v>264</v>
      </c>
      <c r="M512" s="137" t="s">
        <v>242</v>
      </c>
      <c r="N512" s="138" t="s">
        <v>242</v>
      </c>
      <c r="O512" s="138" t="s">
        <v>242</v>
      </c>
      <c r="P512" s="138" t="s">
        <v>242</v>
      </c>
      <c r="Q512" s="138" t="s">
        <v>242</v>
      </c>
      <c r="R512" s="138" t="s">
        <v>242</v>
      </c>
      <c r="S512" s="138" t="s">
        <v>242</v>
      </c>
      <c r="T512" s="140" t="s">
        <v>242</v>
      </c>
      <c r="U512" s="135" t="s">
        <v>242</v>
      </c>
      <c r="V512" s="141">
        <v>180.75</v>
      </c>
      <c r="W512" s="142" t="s">
        <v>99</v>
      </c>
      <c r="X512" s="143" t="s">
        <v>259</v>
      </c>
    </row>
    <row r="513" spans="1:24" ht="15" customHeight="1" x14ac:dyDescent="0.2">
      <c r="A513" s="133" t="s">
        <v>241</v>
      </c>
      <c r="B513" s="134" t="s">
        <v>328</v>
      </c>
      <c r="C513" s="134" t="s">
        <v>249</v>
      </c>
      <c r="D513" s="134" t="s">
        <v>242</v>
      </c>
      <c r="E513" s="135" t="s">
        <v>242</v>
      </c>
      <c r="F513" s="135" t="s">
        <v>242</v>
      </c>
      <c r="G513" s="135" t="s">
        <v>251</v>
      </c>
      <c r="H513" s="136" t="s">
        <v>243</v>
      </c>
      <c r="I513" s="136" t="s">
        <v>244</v>
      </c>
      <c r="J513" s="136" t="s">
        <v>257</v>
      </c>
      <c r="K513" s="136" t="s">
        <v>264</v>
      </c>
      <c r="L513" s="136" t="s">
        <v>264</v>
      </c>
      <c r="M513" s="137" t="s">
        <v>242</v>
      </c>
      <c r="N513" s="138" t="s">
        <v>329</v>
      </c>
      <c r="O513" s="138" t="s">
        <v>242</v>
      </c>
      <c r="P513" s="138" t="s">
        <v>242</v>
      </c>
      <c r="Q513" s="138" t="s">
        <v>242</v>
      </c>
      <c r="R513" s="138">
        <v>180.75</v>
      </c>
      <c r="S513" s="138" t="s">
        <v>242</v>
      </c>
      <c r="T513" s="140" t="s">
        <v>242</v>
      </c>
      <c r="U513" s="135">
        <v>180.75</v>
      </c>
      <c r="V513" s="141"/>
      <c r="W513" s="142" t="s">
        <v>99</v>
      </c>
      <c r="X513" s="143" t="s">
        <v>259</v>
      </c>
    </row>
    <row r="514" spans="1:24" ht="15" customHeight="1" x14ac:dyDescent="0.2">
      <c r="A514" s="133" t="s">
        <v>241</v>
      </c>
      <c r="B514" s="134" t="s">
        <v>242</v>
      </c>
      <c r="C514" s="134" t="s">
        <v>242</v>
      </c>
      <c r="D514" s="134" t="s">
        <v>242</v>
      </c>
      <c r="E514" s="135" t="s">
        <v>242</v>
      </c>
      <c r="F514" s="135" t="s">
        <v>242</v>
      </c>
      <c r="G514" s="135" t="s">
        <v>242</v>
      </c>
      <c r="H514" s="136" t="s">
        <v>243</v>
      </c>
      <c r="I514" s="136" t="s">
        <v>244</v>
      </c>
      <c r="J514" s="136" t="s">
        <v>257</v>
      </c>
      <c r="K514" s="136" t="s">
        <v>268</v>
      </c>
      <c r="L514" s="136" t="s">
        <v>268</v>
      </c>
      <c r="M514" s="137" t="s">
        <v>242</v>
      </c>
      <c r="N514" s="138" t="s">
        <v>242</v>
      </c>
      <c r="O514" s="138" t="s">
        <v>242</v>
      </c>
      <c r="P514" s="138" t="s">
        <v>242</v>
      </c>
      <c r="Q514" s="138" t="s">
        <v>242</v>
      </c>
      <c r="R514" s="138" t="s">
        <v>242</v>
      </c>
      <c r="S514" s="138" t="s">
        <v>242</v>
      </c>
      <c r="T514" s="140" t="s">
        <v>242</v>
      </c>
      <c r="U514" s="135" t="s">
        <v>242</v>
      </c>
      <c r="V514" s="141">
        <v>50</v>
      </c>
      <c r="W514" s="142" t="s">
        <v>74</v>
      </c>
      <c r="X514" s="143" t="s">
        <v>259</v>
      </c>
    </row>
    <row r="515" spans="1:24" ht="15" customHeight="1" x14ac:dyDescent="0.2">
      <c r="A515" s="133" t="s">
        <v>241</v>
      </c>
      <c r="B515" s="134" t="s">
        <v>328</v>
      </c>
      <c r="C515" s="134" t="s">
        <v>249</v>
      </c>
      <c r="D515" s="134" t="s">
        <v>250</v>
      </c>
      <c r="E515" s="135" t="s">
        <v>41</v>
      </c>
      <c r="F515" s="135" t="s">
        <v>46</v>
      </c>
      <c r="G515" s="135" t="s">
        <v>251</v>
      </c>
      <c r="H515" s="136" t="s">
        <v>243</v>
      </c>
      <c r="I515" s="136" t="s">
        <v>244</v>
      </c>
      <c r="J515" s="136" t="s">
        <v>257</v>
      </c>
      <c r="K515" s="136" t="s">
        <v>268</v>
      </c>
      <c r="L515" s="136" t="s">
        <v>268</v>
      </c>
      <c r="M515" s="137" t="s">
        <v>242</v>
      </c>
      <c r="N515" s="138">
        <v>50</v>
      </c>
      <c r="O515" s="138" t="s">
        <v>242</v>
      </c>
      <c r="P515" s="138" t="s">
        <v>242</v>
      </c>
      <c r="Q515" s="138" t="s">
        <v>242</v>
      </c>
      <c r="R515" s="138">
        <v>50</v>
      </c>
      <c r="S515" s="138" t="s">
        <v>242</v>
      </c>
      <c r="T515" s="140" t="s">
        <v>242</v>
      </c>
      <c r="U515" s="135">
        <v>50</v>
      </c>
      <c r="V515" s="141"/>
      <c r="W515" s="142" t="s">
        <v>74</v>
      </c>
      <c r="X515" s="143" t="s">
        <v>259</v>
      </c>
    </row>
    <row r="516" spans="1:24" ht="15" customHeight="1" x14ac:dyDescent="0.2">
      <c r="A516" s="133" t="s">
        <v>241</v>
      </c>
      <c r="B516" s="134" t="s">
        <v>242</v>
      </c>
      <c r="C516" s="134" t="s">
        <v>242</v>
      </c>
      <c r="D516" s="134" t="s">
        <v>242</v>
      </c>
      <c r="E516" s="135" t="s">
        <v>242</v>
      </c>
      <c r="F516" s="135" t="s">
        <v>242</v>
      </c>
      <c r="G516" s="135" t="s">
        <v>242</v>
      </c>
      <c r="H516" s="136" t="s">
        <v>243</v>
      </c>
      <c r="I516" s="136" t="s">
        <v>244</v>
      </c>
      <c r="J516" s="136" t="s">
        <v>257</v>
      </c>
      <c r="K516" s="136" t="s">
        <v>269</v>
      </c>
      <c r="L516" s="136" t="s">
        <v>269</v>
      </c>
      <c r="M516" s="137" t="s">
        <v>242</v>
      </c>
      <c r="N516" s="138" t="s">
        <v>242</v>
      </c>
      <c r="O516" s="138" t="s">
        <v>242</v>
      </c>
      <c r="P516" s="138" t="s">
        <v>242</v>
      </c>
      <c r="Q516" s="138" t="s">
        <v>242</v>
      </c>
      <c r="R516" s="138" t="s">
        <v>242</v>
      </c>
      <c r="S516" s="138" t="s">
        <v>242</v>
      </c>
      <c r="T516" s="140" t="s">
        <v>242</v>
      </c>
      <c r="U516" s="135" t="s">
        <v>242</v>
      </c>
      <c r="V516" s="141">
        <v>3.6</v>
      </c>
      <c r="W516" s="142" t="s">
        <v>270</v>
      </c>
      <c r="X516" s="143" t="s">
        <v>259</v>
      </c>
    </row>
    <row r="517" spans="1:24" ht="15" customHeight="1" x14ac:dyDescent="0.2">
      <c r="A517" s="133" t="s">
        <v>241</v>
      </c>
      <c r="B517" s="134" t="s">
        <v>328</v>
      </c>
      <c r="C517" s="134" t="s">
        <v>249</v>
      </c>
      <c r="D517" s="134" t="s">
        <v>252</v>
      </c>
      <c r="E517" s="135" t="s">
        <v>293</v>
      </c>
      <c r="F517" s="135" t="s">
        <v>279</v>
      </c>
      <c r="G517" s="135" t="s">
        <v>251</v>
      </c>
      <c r="H517" s="136" t="s">
        <v>243</v>
      </c>
      <c r="I517" s="136" t="s">
        <v>244</v>
      </c>
      <c r="J517" s="136" t="s">
        <v>257</v>
      </c>
      <c r="K517" s="136" t="s">
        <v>269</v>
      </c>
      <c r="L517" s="136" t="s">
        <v>269</v>
      </c>
      <c r="M517" s="137" t="s">
        <v>242</v>
      </c>
      <c r="N517" s="138">
        <v>1</v>
      </c>
      <c r="O517" s="138">
        <v>2</v>
      </c>
      <c r="P517" s="138">
        <v>1.8</v>
      </c>
      <c r="Q517" s="138" t="s">
        <v>242</v>
      </c>
      <c r="R517" s="138">
        <v>3.6</v>
      </c>
      <c r="S517" s="138" t="s">
        <v>242</v>
      </c>
      <c r="T517" s="140" t="s">
        <v>242</v>
      </c>
      <c r="U517" s="135">
        <v>3.6</v>
      </c>
      <c r="V517" s="141"/>
      <c r="W517" s="142" t="s">
        <v>270</v>
      </c>
      <c r="X517" s="143" t="s">
        <v>259</v>
      </c>
    </row>
    <row r="518" spans="1:24" ht="15" customHeight="1" x14ac:dyDescent="0.2">
      <c r="A518" s="133" t="s">
        <v>241</v>
      </c>
      <c r="B518" s="134" t="s">
        <v>242</v>
      </c>
      <c r="C518" s="134" t="s">
        <v>242</v>
      </c>
      <c r="D518" s="134" t="s">
        <v>242</v>
      </c>
      <c r="E518" s="135" t="s">
        <v>242</v>
      </c>
      <c r="F518" s="135" t="s">
        <v>242</v>
      </c>
      <c r="G518" s="135" t="s">
        <v>242</v>
      </c>
      <c r="H518" s="136" t="s">
        <v>243</v>
      </c>
      <c r="I518" s="136" t="s">
        <v>244</v>
      </c>
      <c r="J518" s="136" t="s">
        <v>257</v>
      </c>
      <c r="K518" s="136" t="s">
        <v>271</v>
      </c>
      <c r="L518" s="136" t="s">
        <v>271</v>
      </c>
      <c r="M518" s="137" t="s">
        <v>242</v>
      </c>
      <c r="N518" s="138" t="s">
        <v>242</v>
      </c>
      <c r="O518" s="138" t="s">
        <v>242</v>
      </c>
      <c r="P518" s="138" t="s">
        <v>242</v>
      </c>
      <c r="Q518" s="138" t="s">
        <v>242</v>
      </c>
      <c r="R518" s="138" t="s">
        <v>242</v>
      </c>
      <c r="S518" s="138" t="s">
        <v>242</v>
      </c>
      <c r="T518" s="140" t="s">
        <v>242</v>
      </c>
      <c r="U518" s="135" t="s">
        <v>242</v>
      </c>
      <c r="V518" s="141">
        <v>140</v>
      </c>
      <c r="W518" s="142" t="s">
        <v>179</v>
      </c>
      <c r="X518" s="143" t="s">
        <v>259</v>
      </c>
    </row>
    <row r="519" spans="1:24" ht="15" customHeight="1" x14ac:dyDescent="0.2">
      <c r="A519" s="133" t="s">
        <v>241</v>
      </c>
      <c r="B519" s="134" t="s">
        <v>328</v>
      </c>
      <c r="C519" s="134" t="s">
        <v>249</v>
      </c>
      <c r="D519" s="134" t="s">
        <v>242</v>
      </c>
      <c r="E519" s="135" t="s">
        <v>242</v>
      </c>
      <c r="F519" s="135" t="s">
        <v>242</v>
      </c>
      <c r="G519" s="135" t="s">
        <v>251</v>
      </c>
      <c r="H519" s="136" t="s">
        <v>243</v>
      </c>
      <c r="I519" s="136" t="s">
        <v>244</v>
      </c>
      <c r="J519" s="136" t="s">
        <v>257</v>
      </c>
      <c r="K519" s="136" t="s">
        <v>271</v>
      </c>
      <c r="L519" s="136" t="s">
        <v>271</v>
      </c>
      <c r="M519" s="137" t="s">
        <v>242</v>
      </c>
      <c r="N519" s="138">
        <v>1</v>
      </c>
      <c r="O519" s="138" t="s">
        <v>330</v>
      </c>
      <c r="P519" s="138" t="s">
        <v>242</v>
      </c>
      <c r="Q519" s="138" t="s">
        <v>242</v>
      </c>
      <c r="R519" s="138">
        <v>58</v>
      </c>
      <c r="S519" s="138" t="s">
        <v>242</v>
      </c>
      <c r="T519" s="140" t="s">
        <v>242</v>
      </c>
      <c r="U519" s="135">
        <v>58</v>
      </c>
      <c r="V519" s="141"/>
      <c r="W519" s="142" t="s">
        <v>179</v>
      </c>
      <c r="X519" s="143" t="s">
        <v>259</v>
      </c>
    </row>
    <row r="520" spans="1:24" ht="15" customHeight="1" x14ac:dyDescent="0.2">
      <c r="A520" s="133" t="s">
        <v>241</v>
      </c>
      <c r="B520" s="134" t="s">
        <v>328</v>
      </c>
      <c r="C520" s="134" t="s">
        <v>249</v>
      </c>
      <c r="D520" s="134" t="s">
        <v>242</v>
      </c>
      <c r="E520" s="135" t="s">
        <v>242</v>
      </c>
      <c r="F520" s="135" t="s">
        <v>242</v>
      </c>
      <c r="G520" s="135" t="s">
        <v>251</v>
      </c>
      <c r="H520" s="136" t="s">
        <v>243</v>
      </c>
      <c r="I520" s="136" t="s">
        <v>244</v>
      </c>
      <c r="J520" s="136" t="s">
        <v>257</v>
      </c>
      <c r="K520" s="136" t="s">
        <v>271</v>
      </c>
      <c r="L520" s="136" t="s">
        <v>271</v>
      </c>
      <c r="M520" s="137" t="s">
        <v>242</v>
      </c>
      <c r="N520" s="138">
        <v>1</v>
      </c>
      <c r="O520" s="138">
        <v>8</v>
      </c>
      <c r="P520" s="138" t="s">
        <v>242</v>
      </c>
      <c r="Q520" s="138" t="s">
        <v>242</v>
      </c>
      <c r="R520" s="138">
        <v>8</v>
      </c>
      <c r="S520" s="138">
        <v>5</v>
      </c>
      <c r="T520" s="140" t="s">
        <v>242</v>
      </c>
      <c r="U520" s="135">
        <v>40</v>
      </c>
      <c r="V520" s="141"/>
      <c r="W520" s="142" t="s">
        <v>179</v>
      </c>
      <c r="X520" s="143" t="s">
        <v>259</v>
      </c>
    </row>
    <row r="521" spans="1:24" ht="15" customHeight="1" x14ac:dyDescent="0.2">
      <c r="A521" s="133" t="s">
        <v>241</v>
      </c>
      <c r="B521" s="134" t="s">
        <v>328</v>
      </c>
      <c r="C521" s="134" t="s">
        <v>249</v>
      </c>
      <c r="D521" s="134" t="s">
        <v>242</v>
      </c>
      <c r="E521" s="135" t="s">
        <v>242</v>
      </c>
      <c r="F521" s="135" t="s">
        <v>242</v>
      </c>
      <c r="G521" s="135" t="s">
        <v>251</v>
      </c>
      <c r="H521" s="136" t="s">
        <v>243</v>
      </c>
      <c r="I521" s="136" t="s">
        <v>244</v>
      </c>
      <c r="J521" s="136" t="s">
        <v>257</v>
      </c>
      <c r="K521" s="136" t="s">
        <v>271</v>
      </c>
      <c r="L521" s="136" t="s">
        <v>271</v>
      </c>
      <c r="M521" s="137" t="s">
        <v>242</v>
      </c>
      <c r="N521" s="138">
        <v>1</v>
      </c>
      <c r="O521" s="138">
        <v>28</v>
      </c>
      <c r="P521" s="138" t="s">
        <v>242</v>
      </c>
      <c r="Q521" s="138" t="s">
        <v>242</v>
      </c>
      <c r="R521" s="138">
        <v>28</v>
      </c>
      <c r="S521" s="138" t="s">
        <v>242</v>
      </c>
      <c r="T521" s="140" t="s">
        <v>242</v>
      </c>
      <c r="U521" s="135">
        <v>28</v>
      </c>
      <c r="V521" s="141"/>
      <c r="W521" s="142" t="s">
        <v>179</v>
      </c>
      <c r="X521" s="143" t="s">
        <v>259</v>
      </c>
    </row>
    <row r="522" spans="1:24" ht="15" customHeight="1" x14ac:dyDescent="0.2">
      <c r="A522" s="133" t="s">
        <v>241</v>
      </c>
      <c r="B522" s="134" t="s">
        <v>328</v>
      </c>
      <c r="C522" s="134" t="s">
        <v>249</v>
      </c>
      <c r="D522" s="134" t="s">
        <v>242</v>
      </c>
      <c r="E522" s="135" t="s">
        <v>242</v>
      </c>
      <c r="F522" s="135" t="s">
        <v>242</v>
      </c>
      <c r="G522" s="135" t="s">
        <v>251</v>
      </c>
      <c r="H522" s="136" t="s">
        <v>243</v>
      </c>
      <c r="I522" s="136" t="s">
        <v>244</v>
      </c>
      <c r="J522" s="136" t="s">
        <v>257</v>
      </c>
      <c r="K522" s="136" t="s">
        <v>271</v>
      </c>
      <c r="L522" s="136" t="s">
        <v>271</v>
      </c>
      <c r="M522" s="137" t="s">
        <v>242</v>
      </c>
      <c r="N522" s="138">
        <v>1</v>
      </c>
      <c r="O522" s="138">
        <v>14</v>
      </c>
      <c r="P522" s="138" t="s">
        <v>242</v>
      </c>
      <c r="Q522" s="138" t="s">
        <v>242</v>
      </c>
      <c r="R522" s="138">
        <v>14</v>
      </c>
      <c r="S522" s="138" t="s">
        <v>242</v>
      </c>
      <c r="T522" s="140" t="s">
        <v>242</v>
      </c>
      <c r="U522" s="135">
        <v>14</v>
      </c>
      <c r="V522" s="141"/>
      <c r="W522" s="142" t="s">
        <v>179</v>
      </c>
      <c r="X522" s="143" t="s">
        <v>259</v>
      </c>
    </row>
    <row r="523" spans="1:24" ht="15" customHeight="1" x14ac:dyDescent="0.2">
      <c r="A523" s="133" t="s">
        <v>241</v>
      </c>
      <c r="B523" s="134" t="s">
        <v>242</v>
      </c>
      <c r="C523" s="134" t="s">
        <v>242</v>
      </c>
      <c r="D523" s="134" t="s">
        <v>242</v>
      </c>
      <c r="E523" s="135" t="s">
        <v>242</v>
      </c>
      <c r="F523" s="135" t="s">
        <v>242</v>
      </c>
      <c r="G523" s="135" t="s">
        <v>242</v>
      </c>
      <c r="H523" s="136" t="s">
        <v>243</v>
      </c>
      <c r="I523" s="136" t="s">
        <v>244</v>
      </c>
      <c r="J523" s="136" t="s">
        <v>257</v>
      </c>
      <c r="K523" s="136" t="s">
        <v>276</v>
      </c>
      <c r="L523" s="136" t="s">
        <v>276</v>
      </c>
      <c r="M523" s="137" t="s">
        <v>242</v>
      </c>
      <c r="N523" s="138" t="s">
        <v>242</v>
      </c>
      <c r="O523" s="138" t="s">
        <v>242</v>
      </c>
      <c r="P523" s="138" t="s">
        <v>242</v>
      </c>
      <c r="Q523" s="138" t="s">
        <v>242</v>
      </c>
      <c r="R523" s="138" t="s">
        <v>242</v>
      </c>
      <c r="S523" s="138" t="s">
        <v>242</v>
      </c>
      <c r="T523" s="140" t="s">
        <v>242</v>
      </c>
      <c r="U523" s="135" t="s">
        <v>242</v>
      </c>
      <c r="V523" s="141">
        <v>2.4</v>
      </c>
      <c r="W523" s="142" t="s">
        <v>270</v>
      </c>
      <c r="X523" s="143" t="s">
        <v>259</v>
      </c>
    </row>
    <row r="524" spans="1:24" ht="15" customHeight="1" x14ac:dyDescent="0.2">
      <c r="A524" s="133" t="s">
        <v>241</v>
      </c>
      <c r="B524" s="134" t="s">
        <v>328</v>
      </c>
      <c r="C524" s="134" t="s">
        <v>249</v>
      </c>
      <c r="D524" s="134" t="s">
        <v>254</v>
      </c>
      <c r="E524" s="135" t="s">
        <v>43</v>
      </c>
      <c r="F524" s="135" t="s">
        <v>47</v>
      </c>
      <c r="G524" s="135" t="s">
        <v>251</v>
      </c>
      <c r="H524" s="136" t="s">
        <v>243</v>
      </c>
      <c r="I524" s="136" t="s">
        <v>244</v>
      </c>
      <c r="J524" s="136" t="s">
        <v>257</v>
      </c>
      <c r="K524" s="136" t="s">
        <v>276</v>
      </c>
      <c r="L524" s="136" t="s">
        <v>276</v>
      </c>
      <c r="M524" s="137" t="s">
        <v>242</v>
      </c>
      <c r="N524" s="138">
        <v>1</v>
      </c>
      <c r="O524" s="138">
        <v>12</v>
      </c>
      <c r="P524" s="138">
        <v>0.2</v>
      </c>
      <c r="Q524" s="138" t="s">
        <v>242</v>
      </c>
      <c r="R524" s="138">
        <v>2.4</v>
      </c>
      <c r="S524" s="138" t="s">
        <v>242</v>
      </c>
      <c r="T524" s="140" t="s">
        <v>242</v>
      </c>
      <c r="U524" s="135">
        <v>2.4</v>
      </c>
      <c r="V524" s="141"/>
      <c r="W524" s="142" t="s">
        <v>270</v>
      </c>
      <c r="X524" s="143" t="s">
        <v>259</v>
      </c>
    </row>
    <row r="525" spans="1:24" ht="15" customHeight="1" x14ac:dyDescent="0.25">
      <c r="A525" s="48"/>
      <c r="B525" s="49"/>
      <c r="C525" s="48"/>
      <c r="D525" s="48"/>
      <c r="E525" s="53"/>
      <c r="F525" s="46"/>
      <c r="G525" s="46"/>
      <c r="H525" s="46"/>
      <c r="I525" s="46"/>
      <c r="J525" s="46"/>
      <c r="K525" s="46"/>
      <c r="L525" s="46"/>
      <c r="M525" s="48"/>
      <c r="N525" s="48"/>
      <c r="O525" s="49"/>
      <c r="P525" s="48"/>
      <c r="Q525" s="48"/>
      <c r="R525" s="48"/>
      <c r="S525" s="46"/>
      <c r="T525" s="48"/>
      <c r="U525" s="48"/>
      <c r="V525" s="25"/>
      <c r="W525" s="25"/>
      <c r="X525" s="25"/>
    </row>
    <row r="526" spans="1:24" ht="15" customHeight="1" x14ac:dyDescent="0.25">
      <c r="A526" s="48"/>
      <c r="B526" s="49"/>
      <c r="C526" s="48"/>
      <c r="D526" s="48"/>
      <c r="E526" s="53"/>
      <c r="F526" s="46"/>
      <c r="G526" s="46"/>
      <c r="H526" s="46"/>
      <c r="I526" s="46"/>
      <c r="J526" s="46"/>
      <c r="K526" s="46"/>
      <c r="L526" s="46"/>
      <c r="M526" s="48"/>
      <c r="N526" s="48"/>
      <c r="O526" s="49"/>
      <c r="P526" s="48"/>
      <c r="Q526" s="48"/>
      <c r="R526" s="48"/>
      <c r="S526" s="46"/>
      <c r="T526" s="48"/>
      <c r="U526" s="48"/>
      <c r="V526" s="25"/>
      <c r="W526" s="25"/>
      <c r="X526" s="25"/>
    </row>
    <row r="527" spans="1:24" ht="15" customHeight="1" x14ac:dyDescent="0.25">
      <c r="A527" s="48"/>
      <c r="B527" s="49"/>
      <c r="C527" s="48"/>
      <c r="D527" s="48"/>
      <c r="E527" s="53"/>
      <c r="F527" s="46"/>
      <c r="G527" s="46"/>
      <c r="H527" s="46"/>
      <c r="I527" s="46"/>
      <c r="J527" s="46"/>
      <c r="K527" s="46"/>
      <c r="L527" s="46"/>
      <c r="M527" s="48"/>
      <c r="N527" s="48"/>
      <c r="O527" s="49"/>
      <c r="P527" s="48"/>
      <c r="Q527" s="48"/>
      <c r="R527" s="48"/>
      <c r="S527" s="46"/>
      <c r="T527" s="48"/>
      <c r="U527" s="48"/>
      <c r="V527" s="25"/>
      <c r="W527" s="25"/>
      <c r="X527" s="25"/>
    </row>
    <row r="528" spans="1:24" ht="15" customHeight="1" x14ac:dyDescent="0.25">
      <c r="A528" s="48"/>
      <c r="B528" s="49"/>
      <c r="C528" s="48"/>
      <c r="D528" s="48"/>
      <c r="E528" s="53"/>
      <c r="F528" s="46"/>
      <c r="G528" s="46"/>
      <c r="H528" s="46"/>
      <c r="I528" s="46"/>
      <c r="J528" s="46"/>
      <c r="K528" s="46"/>
      <c r="L528" s="46"/>
      <c r="M528" s="48"/>
      <c r="N528" s="48"/>
      <c r="O528" s="49"/>
      <c r="P528" s="48"/>
      <c r="Q528" s="48"/>
      <c r="R528" s="48"/>
      <c r="S528" s="46"/>
      <c r="T528" s="48"/>
      <c r="U528" s="48"/>
      <c r="V528" s="25"/>
      <c r="W528" s="25"/>
      <c r="X528" s="25"/>
    </row>
    <row r="529" spans="1:24" ht="15" customHeight="1" x14ac:dyDescent="0.25">
      <c r="A529" s="48"/>
      <c r="B529" s="49"/>
      <c r="C529" s="48"/>
      <c r="D529" s="48"/>
      <c r="E529" s="53"/>
      <c r="F529" s="46"/>
      <c r="G529" s="46"/>
      <c r="H529" s="46"/>
      <c r="I529" s="46"/>
      <c r="J529" s="46"/>
      <c r="K529" s="46"/>
      <c r="L529" s="46"/>
      <c r="M529" s="48"/>
      <c r="N529" s="48"/>
      <c r="O529" s="49"/>
      <c r="P529" s="48"/>
      <c r="Q529" s="48"/>
      <c r="R529" s="48"/>
      <c r="S529" s="46"/>
      <c r="T529" s="48"/>
      <c r="U529" s="48"/>
      <c r="V529" s="25"/>
      <c r="W529" s="25"/>
      <c r="X529" s="25"/>
    </row>
    <row r="530" spans="1:24" ht="15" customHeight="1" x14ac:dyDescent="0.25">
      <c r="A530" s="48"/>
      <c r="B530" s="49"/>
      <c r="C530" s="48"/>
      <c r="D530" s="48"/>
      <c r="E530" s="53"/>
      <c r="F530" s="46"/>
      <c r="G530" s="46"/>
      <c r="H530" s="46"/>
      <c r="I530" s="46"/>
      <c r="J530" s="46"/>
      <c r="K530" s="46"/>
      <c r="L530" s="46"/>
      <c r="M530" s="48"/>
      <c r="N530" s="48"/>
      <c r="O530" s="49"/>
      <c r="P530" s="48"/>
      <c r="Q530" s="48"/>
      <c r="R530" s="48"/>
      <c r="S530" s="46"/>
      <c r="T530" s="48"/>
      <c r="U530" s="48"/>
      <c r="V530" s="25"/>
      <c r="W530" s="25"/>
      <c r="X530" s="25"/>
    </row>
    <row r="531" spans="1:24" ht="15" customHeight="1" x14ac:dyDescent="0.25">
      <c r="A531" s="48"/>
      <c r="B531" s="49"/>
      <c r="C531" s="48"/>
      <c r="D531" s="48"/>
      <c r="E531" s="53"/>
      <c r="F531" s="46"/>
      <c r="G531" s="46"/>
      <c r="H531" s="46"/>
      <c r="I531" s="46"/>
      <c r="J531" s="46"/>
      <c r="K531" s="46"/>
      <c r="L531" s="46"/>
      <c r="M531" s="48"/>
      <c r="N531" s="48"/>
      <c r="O531" s="49"/>
      <c r="P531" s="48"/>
      <c r="Q531" s="48"/>
      <c r="R531" s="48"/>
      <c r="S531" s="46"/>
      <c r="T531" s="48"/>
      <c r="U531" s="48"/>
      <c r="V531" s="25"/>
      <c r="W531" s="25"/>
      <c r="X531" s="25"/>
    </row>
    <row r="532" spans="1:24" ht="15" customHeight="1" x14ac:dyDescent="0.25">
      <c r="A532" s="48"/>
      <c r="B532" s="49"/>
      <c r="C532" s="48"/>
      <c r="D532" s="48"/>
      <c r="E532" s="53"/>
      <c r="F532" s="46"/>
      <c r="G532" s="46"/>
      <c r="H532" s="46"/>
      <c r="I532" s="46"/>
      <c r="J532" s="46"/>
      <c r="K532" s="46"/>
      <c r="L532" s="46"/>
      <c r="M532" s="48"/>
      <c r="N532" s="48"/>
      <c r="O532" s="49"/>
      <c r="P532" s="48"/>
      <c r="Q532" s="48"/>
      <c r="R532" s="48"/>
      <c r="S532" s="46"/>
      <c r="T532" s="48"/>
      <c r="U532" s="48"/>
      <c r="V532" s="25"/>
      <c r="W532" s="25"/>
      <c r="X532" s="25"/>
    </row>
    <row r="533" spans="1:24" ht="15" customHeight="1" x14ac:dyDescent="0.25">
      <c r="A533" s="48"/>
      <c r="B533" s="49"/>
      <c r="C533" s="48"/>
      <c r="D533" s="48"/>
      <c r="E533" s="53"/>
      <c r="F533" s="46"/>
      <c r="G533" s="46"/>
      <c r="H533" s="46"/>
      <c r="I533" s="46"/>
      <c r="J533" s="46"/>
      <c r="K533" s="46"/>
      <c r="L533" s="46"/>
      <c r="M533" s="48"/>
      <c r="N533" s="48"/>
      <c r="O533" s="49"/>
      <c r="P533" s="48"/>
      <c r="Q533" s="48"/>
      <c r="R533" s="48"/>
      <c r="S533" s="46"/>
      <c r="T533" s="48"/>
      <c r="U533" s="48"/>
      <c r="V533" s="25"/>
      <c r="W533" s="25"/>
      <c r="X533" s="25"/>
    </row>
    <row r="534" spans="1:24" ht="15" customHeight="1" x14ac:dyDescent="0.25">
      <c r="A534" s="48"/>
      <c r="B534" s="49"/>
      <c r="C534" s="48"/>
      <c r="D534" s="48"/>
      <c r="E534" s="53"/>
      <c r="F534" s="46"/>
      <c r="G534" s="46"/>
      <c r="H534" s="46"/>
      <c r="I534" s="46"/>
      <c r="J534" s="46"/>
      <c r="K534" s="46"/>
      <c r="L534" s="46"/>
      <c r="M534" s="48"/>
      <c r="N534" s="48"/>
      <c r="O534" s="49"/>
      <c r="P534" s="48"/>
      <c r="Q534" s="48"/>
      <c r="R534" s="48"/>
      <c r="S534" s="46"/>
      <c r="T534" s="48"/>
      <c r="U534" s="48"/>
      <c r="V534" s="25"/>
      <c r="W534" s="25"/>
      <c r="X534" s="25"/>
    </row>
    <row r="535" spans="1:24" ht="15" customHeight="1" x14ac:dyDescent="0.25">
      <c r="A535" s="48"/>
      <c r="B535" s="49"/>
      <c r="C535" s="48"/>
      <c r="D535" s="48"/>
      <c r="E535" s="53"/>
      <c r="F535" s="46"/>
      <c r="G535" s="46"/>
      <c r="H535" s="46"/>
      <c r="I535" s="46"/>
      <c r="J535" s="46"/>
      <c r="K535" s="46"/>
      <c r="L535" s="46"/>
      <c r="M535" s="48"/>
      <c r="N535" s="48"/>
      <c r="O535" s="49"/>
      <c r="P535" s="48"/>
      <c r="Q535" s="48"/>
      <c r="R535" s="48"/>
      <c r="S535" s="46"/>
      <c r="T535" s="48"/>
      <c r="U535" s="48"/>
      <c r="V535" s="25"/>
      <c r="W535" s="25"/>
      <c r="X535" s="25"/>
    </row>
    <row r="536" spans="1:24" ht="15" customHeight="1" x14ac:dyDescent="0.25">
      <c r="A536" s="48"/>
      <c r="B536" s="49"/>
      <c r="C536" s="48"/>
      <c r="D536" s="48"/>
      <c r="E536" s="53"/>
      <c r="F536" s="46"/>
      <c r="G536" s="46"/>
      <c r="H536" s="46"/>
      <c r="I536" s="46"/>
      <c r="J536" s="46"/>
      <c r="K536" s="46"/>
      <c r="L536" s="46"/>
      <c r="M536" s="48"/>
      <c r="N536" s="48"/>
      <c r="O536" s="49"/>
      <c r="P536" s="48"/>
      <c r="Q536" s="48"/>
      <c r="R536" s="48"/>
      <c r="S536" s="46"/>
      <c r="T536" s="48"/>
      <c r="U536" s="48"/>
      <c r="V536" s="25"/>
      <c r="W536" s="25"/>
      <c r="X536" s="25"/>
    </row>
    <row r="537" spans="1:24" ht="15" customHeight="1" x14ac:dyDescent="0.25">
      <c r="A537" s="48"/>
      <c r="B537" s="49"/>
      <c r="C537" s="48"/>
      <c r="D537" s="48"/>
      <c r="E537" s="53"/>
      <c r="F537" s="46"/>
      <c r="G537" s="46"/>
      <c r="H537" s="46"/>
      <c r="I537" s="46"/>
      <c r="J537" s="46"/>
      <c r="K537" s="46"/>
      <c r="L537" s="46"/>
      <c r="M537" s="48"/>
      <c r="N537" s="48"/>
      <c r="O537" s="49"/>
      <c r="P537" s="48"/>
      <c r="Q537" s="48"/>
      <c r="R537" s="48"/>
      <c r="S537" s="46"/>
      <c r="T537" s="48"/>
      <c r="U537" s="48"/>
      <c r="V537" s="25"/>
      <c r="W537" s="25"/>
      <c r="X537" s="25"/>
    </row>
    <row r="538" spans="1:24" ht="15" customHeight="1" x14ac:dyDescent="0.25">
      <c r="A538" s="48"/>
      <c r="B538" s="49"/>
      <c r="C538" s="48"/>
      <c r="D538" s="48"/>
      <c r="E538" s="53"/>
      <c r="F538" s="46"/>
      <c r="G538" s="46"/>
      <c r="H538" s="46"/>
      <c r="I538" s="46"/>
      <c r="J538" s="46"/>
      <c r="K538" s="46"/>
      <c r="L538" s="46"/>
      <c r="M538" s="48"/>
      <c r="N538" s="48"/>
      <c r="O538" s="49"/>
      <c r="P538" s="48"/>
      <c r="Q538" s="48"/>
      <c r="R538" s="48"/>
      <c r="S538" s="46"/>
      <c r="T538" s="48"/>
      <c r="U538" s="48"/>
      <c r="V538" s="25"/>
      <c r="W538" s="25"/>
      <c r="X538" s="25"/>
    </row>
    <row r="539" spans="1:24" ht="15" customHeight="1" x14ac:dyDescent="0.25">
      <c r="A539" s="48"/>
      <c r="B539" s="49"/>
      <c r="C539" s="48"/>
      <c r="D539" s="48"/>
      <c r="E539" s="53"/>
      <c r="F539" s="46"/>
      <c r="G539" s="46"/>
      <c r="H539" s="46"/>
      <c r="I539" s="46"/>
      <c r="J539" s="46"/>
      <c r="K539" s="46"/>
      <c r="L539" s="46"/>
      <c r="M539" s="48"/>
      <c r="N539" s="48"/>
      <c r="O539" s="49"/>
      <c r="P539" s="48"/>
      <c r="Q539" s="48"/>
      <c r="R539" s="48"/>
      <c r="S539" s="46"/>
      <c r="T539" s="48"/>
      <c r="U539" s="48"/>
      <c r="V539" s="25"/>
      <c r="W539" s="25"/>
      <c r="X539" s="25"/>
    </row>
    <row r="540" spans="1:24" ht="15" customHeight="1" x14ac:dyDescent="0.25">
      <c r="A540" s="48"/>
      <c r="B540" s="49"/>
      <c r="C540" s="48"/>
      <c r="D540" s="48"/>
      <c r="E540" s="53"/>
      <c r="F540" s="46"/>
      <c r="G540" s="46"/>
      <c r="H540" s="46"/>
      <c r="I540" s="46"/>
      <c r="J540" s="46"/>
      <c r="K540" s="46"/>
      <c r="L540" s="46"/>
      <c r="M540" s="48"/>
      <c r="N540" s="48"/>
      <c r="O540" s="49"/>
      <c r="P540" s="48"/>
      <c r="Q540" s="48"/>
      <c r="R540" s="48"/>
      <c r="S540" s="46"/>
      <c r="T540" s="48"/>
      <c r="U540" s="48"/>
      <c r="V540" s="25"/>
      <c r="W540" s="25"/>
      <c r="X540" s="25"/>
    </row>
    <row r="541" spans="1:24" ht="15" customHeight="1" x14ac:dyDescent="0.25">
      <c r="A541" s="48"/>
      <c r="B541" s="49"/>
      <c r="C541" s="48"/>
      <c r="D541" s="48"/>
      <c r="E541" s="53"/>
      <c r="F541" s="46"/>
      <c r="G541" s="46"/>
      <c r="H541" s="46"/>
      <c r="I541" s="46"/>
      <c r="J541" s="46"/>
      <c r="K541" s="46"/>
      <c r="L541" s="46"/>
      <c r="M541" s="48"/>
      <c r="N541" s="48"/>
      <c r="O541" s="49"/>
      <c r="P541" s="48"/>
      <c r="Q541" s="48"/>
      <c r="R541" s="48"/>
      <c r="S541" s="46"/>
      <c r="T541" s="48"/>
      <c r="U541" s="48"/>
      <c r="V541" s="25"/>
      <c r="W541" s="25"/>
      <c r="X541" s="25"/>
    </row>
    <row r="542" spans="1:24" ht="15" customHeight="1" x14ac:dyDescent="0.25">
      <c r="A542" s="48"/>
      <c r="B542" s="49"/>
      <c r="C542" s="48"/>
      <c r="D542" s="48"/>
      <c r="E542" s="53"/>
      <c r="F542" s="46"/>
      <c r="G542" s="46"/>
      <c r="H542" s="46"/>
      <c r="I542" s="46"/>
      <c r="J542" s="46"/>
      <c r="K542" s="46"/>
      <c r="L542" s="46"/>
      <c r="M542" s="48"/>
      <c r="N542" s="48"/>
      <c r="O542" s="49"/>
      <c r="P542" s="48"/>
      <c r="Q542" s="48"/>
      <c r="R542" s="48"/>
      <c r="S542" s="46"/>
      <c r="T542" s="48"/>
      <c r="U542" s="48"/>
      <c r="V542" s="25"/>
      <c r="W542" s="25"/>
      <c r="X542" s="25"/>
    </row>
    <row r="543" spans="1:24" ht="15" customHeight="1" x14ac:dyDescent="0.25">
      <c r="A543" s="48"/>
      <c r="B543" s="49"/>
      <c r="C543" s="48"/>
      <c r="D543" s="48"/>
      <c r="E543" s="53"/>
      <c r="F543" s="46"/>
      <c r="G543" s="46"/>
      <c r="H543" s="46"/>
      <c r="I543" s="46"/>
      <c r="J543" s="46"/>
      <c r="K543" s="46"/>
      <c r="L543" s="46"/>
      <c r="M543" s="48"/>
      <c r="N543" s="48"/>
      <c r="O543" s="49"/>
      <c r="P543" s="48"/>
      <c r="Q543" s="48"/>
      <c r="R543" s="48"/>
      <c r="S543" s="46"/>
      <c r="T543" s="48"/>
      <c r="U543" s="48"/>
      <c r="V543" s="25"/>
      <c r="W543" s="25"/>
      <c r="X543" s="25"/>
    </row>
    <row r="544" spans="1:24" ht="15" customHeight="1" x14ac:dyDescent="0.25">
      <c r="A544" s="48"/>
      <c r="B544" s="49"/>
      <c r="C544" s="48"/>
      <c r="D544" s="48"/>
      <c r="E544" s="53"/>
      <c r="F544" s="46"/>
      <c r="G544" s="46"/>
      <c r="H544" s="46"/>
      <c r="I544" s="46"/>
      <c r="J544" s="46"/>
      <c r="K544" s="46"/>
      <c r="L544" s="46"/>
      <c r="M544" s="48"/>
      <c r="N544" s="48"/>
      <c r="O544" s="49"/>
      <c r="P544" s="48"/>
      <c r="Q544" s="48"/>
      <c r="R544" s="48"/>
      <c r="S544" s="46"/>
      <c r="T544" s="48"/>
      <c r="U544" s="48"/>
      <c r="V544" s="25"/>
      <c r="W544" s="25"/>
      <c r="X544" s="25"/>
    </row>
    <row r="545" spans="1:24" ht="15" customHeight="1" x14ac:dyDescent="0.25">
      <c r="A545" s="48"/>
      <c r="B545" s="49"/>
      <c r="C545" s="48"/>
      <c r="D545" s="48"/>
      <c r="E545" s="53"/>
      <c r="F545" s="46"/>
      <c r="G545" s="46"/>
      <c r="H545" s="46"/>
      <c r="I545" s="46"/>
      <c r="J545" s="46"/>
      <c r="K545" s="46"/>
      <c r="L545" s="46"/>
      <c r="M545" s="48"/>
      <c r="N545" s="48"/>
      <c r="O545" s="49"/>
      <c r="P545" s="48"/>
      <c r="Q545" s="48"/>
      <c r="R545" s="48"/>
      <c r="S545" s="46"/>
      <c r="T545" s="48"/>
      <c r="U545" s="48"/>
      <c r="V545" s="25"/>
      <c r="W545" s="25"/>
      <c r="X545" s="25"/>
    </row>
    <row r="546" spans="1:24" ht="15" customHeight="1" x14ac:dyDescent="0.25">
      <c r="A546" s="48"/>
      <c r="B546" s="49"/>
      <c r="C546" s="48"/>
      <c r="D546" s="48"/>
      <c r="E546" s="53"/>
      <c r="F546" s="46"/>
      <c r="G546" s="46"/>
      <c r="H546" s="46"/>
      <c r="I546" s="46"/>
      <c r="J546" s="46"/>
      <c r="K546" s="46"/>
      <c r="L546" s="46"/>
      <c r="M546" s="48"/>
      <c r="N546" s="48"/>
      <c r="O546" s="49"/>
      <c r="P546" s="48"/>
      <c r="Q546" s="48"/>
      <c r="R546" s="48"/>
      <c r="S546" s="46"/>
      <c r="T546" s="48"/>
      <c r="U546" s="48"/>
      <c r="V546" s="25"/>
      <c r="W546" s="25"/>
      <c r="X546" s="25"/>
    </row>
    <row r="547" spans="1:24" ht="15" customHeight="1" x14ac:dyDescent="0.25">
      <c r="A547" s="48"/>
      <c r="B547" s="49"/>
      <c r="C547" s="48"/>
      <c r="D547" s="48"/>
      <c r="E547" s="53"/>
      <c r="F547" s="46"/>
      <c r="G547" s="46"/>
      <c r="H547" s="46"/>
      <c r="I547" s="46"/>
      <c r="J547" s="46"/>
      <c r="K547" s="46"/>
      <c r="L547" s="46"/>
      <c r="M547" s="48"/>
      <c r="N547" s="48"/>
      <c r="O547" s="49"/>
      <c r="P547" s="48"/>
      <c r="Q547" s="48"/>
      <c r="R547" s="48"/>
      <c r="S547" s="46"/>
      <c r="T547" s="48"/>
      <c r="U547" s="48"/>
      <c r="V547" s="25"/>
      <c r="W547" s="25"/>
      <c r="X547" s="25"/>
    </row>
    <row r="548" spans="1:24" ht="15" customHeight="1" x14ac:dyDescent="0.25">
      <c r="A548" s="48"/>
      <c r="B548" s="49"/>
      <c r="C548" s="48"/>
      <c r="D548" s="48"/>
      <c r="E548" s="53"/>
      <c r="F548" s="46"/>
      <c r="G548" s="46"/>
      <c r="H548" s="46"/>
      <c r="I548" s="46"/>
      <c r="J548" s="46"/>
      <c r="K548" s="46"/>
      <c r="L548" s="46"/>
      <c r="M548" s="48"/>
      <c r="N548" s="48"/>
      <c r="O548" s="49"/>
      <c r="P548" s="48"/>
      <c r="Q548" s="48"/>
      <c r="R548" s="48"/>
      <c r="S548" s="46"/>
      <c r="T548" s="48"/>
      <c r="U548" s="48"/>
      <c r="V548" s="25"/>
      <c r="W548" s="25"/>
      <c r="X548" s="25"/>
    </row>
    <row r="549" spans="1:24" ht="15" customHeight="1" x14ac:dyDescent="0.25">
      <c r="A549" s="48"/>
      <c r="B549" s="49"/>
      <c r="C549" s="48"/>
      <c r="D549" s="48"/>
      <c r="E549" s="53"/>
      <c r="F549" s="46"/>
      <c r="G549" s="46"/>
      <c r="H549" s="46"/>
      <c r="I549" s="46"/>
      <c r="J549" s="46"/>
      <c r="K549" s="46"/>
      <c r="L549" s="46"/>
      <c r="M549" s="48"/>
      <c r="N549" s="48"/>
      <c r="O549" s="49"/>
      <c r="P549" s="48"/>
      <c r="Q549" s="48"/>
      <c r="R549" s="48"/>
      <c r="S549" s="46"/>
      <c r="T549" s="48"/>
      <c r="U549" s="48"/>
      <c r="V549" s="25"/>
      <c r="W549" s="25"/>
      <c r="X549" s="25"/>
    </row>
    <row r="550" spans="1:24" ht="15" customHeight="1" x14ac:dyDescent="0.25">
      <c r="A550" s="48"/>
      <c r="B550" s="49"/>
      <c r="C550" s="48"/>
      <c r="D550" s="48"/>
      <c r="E550" s="53"/>
      <c r="F550" s="46"/>
      <c r="G550" s="46"/>
      <c r="H550" s="46"/>
      <c r="I550" s="46"/>
      <c r="J550" s="46"/>
      <c r="K550" s="46"/>
      <c r="L550" s="46"/>
      <c r="M550" s="48"/>
      <c r="N550" s="48"/>
      <c r="O550" s="49"/>
      <c r="P550" s="48"/>
      <c r="Q550" s="48"/>
      <c r="R550" s="48"/>
      <c r="S550" s="46"/>
      <c r="T550" s="48"/>
      <c r="U550" s="48"/>
      <c r="V550" s="25"/>
      <c r="W550" s="25"/>
      <c r="X550" s="25"/>
    </row>
    <row r="551" spans="1:24" ht="15" customHeight="1" x14ac:dyDescent="0.25">
      <c r="A551" s="48"/>
      <c r="B551" s="49"/>
      <c r="C551" s="48"/>
      <c r="D551" s="48"/>
      <c r="E551" s="53"/>
      <c r="F551" s="46"/>
      <c r="G551" s="46"/>
      <c r="H551" s="46"/>
      <c r="I551" s="46"/>
      <c r="J551" s="46"/>
      <c r="K551" s="46"/>
      <c r="L551" s="46"/>
      <c r="M551" s="48"/>
      <c r="N551" s="48"/>
      <c r="O551" s="49"/>
      <c r="P551" s="48"/>
      <c r="Q551" s="48"/>
      <c r="R551" s="48"/>
      <c r="S551" s="46"/>
      <c r="T551" s="48"/>
      <c r="U551" s="48"/>
      <c r="V551" s="25"/>
      <c r="W551" s="25"/>
      <c r="X551" s="25"/>
    </row>
    <row r="552" spans="1:24" ht="15" customHeight="1" x14ac:dyDescent="0.25">
      <c r="A552" s="48"/>
      <c r="B552" s="49"/>
      <c r="C552" s="48"/>
      <c r="D552" s="48"/>
      <c r="E552" s="53"/>
      <c r="F552" s="46"/>
      <c r="G552" s="46"/>
      <c r="H552" s="46"/>
      <c r="I552" s="46"/>
      <c r="J552" s="46"/>
      <c r="K552" s="46"/>
      <c r="L552" s="46"/>
      <c r="M552" s="48"/>
      <c r="N552" s="48"/>
      <c r="O552" s="49"/>
      <c r="P552" s="48"/>
      <c r="Q552" s="48"/>
      <c r="R552" s="48"/>
      <c r="S552" s="46"/>
      <c r="T552" s="48"/>
      <c r="U552" s="48"/>
      <c r="V552" s="25"/>
      <c r="W552" s="25"/>
      <c r="X552" s="25"/>
    </row>
    <row r="553" spans="1:24" ht="15" customHeight="1" x14ac:dyDescent="0.25">
      <c r="A553" s="48"/>
      <c r="B553" s="49"/>
      <c r="C553" s="48"/>
      <c r="D553" s="48"/>
      <c r="E553" s="53"/>
      <c r="F553" s="46"/>
      <c r="G553" s="46"/>
      <c r="H553" s="46"/>
      <c r="I553" s="46"/>
      <c r="J553" s="46"/>
      <c r="K553" s="46"/>
      <c r="L553" s="46"/>
      <c r="M553" s="48"/>
      <c r="N553" s="48"/>
      <c r="O553" s="49"/>
      <c r="P553" s="48"/>
      <c r="Q553" s="48"/>
      <c r="R553" s="48"/>
      <c r="S553" s="46"/>
      <c r="T553" s="48"/>
      <c r="U553" s="48"/>
      <c r="V553" s="25"/>
      <c r="W553" s="25"/>
      <c r="X553" s="25"/>
    </row>
    <row r="554" spans="1:24" ht="15" customHeight="1" x14ac:dyDescent="0.25">
      <c r="A554" s="48"/>
      <c r="B554" s="49"/>
      <c r="C554" s="48"/>
      <c r="D554" s="48"/>
      <c r="E554" s="53"/>
      <c r="F554" s="46"/>
      <c r="G554" s="46"/>
      <c r="H554" s="46"/>
      <c r="I554" s="46"/>
      <c r="J554" s="46"/>
      <c r="K554" s="46"/>
      <c r="L554" s="46"/>
      <c r="M554" s="48"/>
      <c r="N554" s="48"/>
      <c r="O554" s="49"/>
      <c r="P554" s="48"/>
      <c r="Q554" s="48"/>
      <c r="R554" s="48"/>
      <c r="S554" s="46"/>
      <c r="T554" s="48"/>
      <c r="U554" s="48"/>
      <c r="V554" s="25"/>
      <c r="W554" s="25"/>
      <c r="X554" s="25"/>
    </row>
    <row r="555" spans="1:24" ht="15" customHeight="1" x14ac:dyDescent="0.25">
      <c r="A555" s="48"/>
      <c r="B555" s="49"/>
      <c r="C555" s="48"/>
      <c r="D555" s="48"/>
      <c r="E555" s="53"/>
      <c r="F555" s="46"/>
      <c r="G555" s="46"/>
      <c r="H555" s="46"/>
      <c r="I555" s="46"/>
      <c r="J555" s="46"/>
      <c r="K555" s="46"/>
      <c r="L555" s="46"/>
      <c r="M555" s="48"/>
      <c r="N555" s="48"/>
      <c r="O555" s="49"/>
      <c r="P555" s="48"/>
      <c r="Q555" s="48"/>
      <c r="R555" s="48"/>
      <c r="S555" s="46"/>
      <c r="T555" s="48"/>
      <c r="U555" s="48"/>
      <c r="V555" s="25"/>
      <c r="W555" s="25"/>
      <c r="X555" s="25"/>
    </row>
    <row r="556" spans="1:24" ht="15" customHeight="1" x14ac:dyDescent="0.25">
      <c r="A556" s="48"/>
      <c r="B556" s="49"/>
      <c r="C556" s="48"/>
      <c r="D556" s="48"/>
      <c r="E556" s="53"/>
      <c r="F556" s="46"/>
      <c r="G556" s="46"/>
      <c r="H556" s="46"/>
      <c r="I556" s="46"/>
      <c r="J556" s="46"/>
      <c r="K556" s="46"/>
      <c r="L556" s="46"/>
      <c r="M556" s="48"/>
      <c r="N556" s="48"/>
      <c r="O556" s="49"/>
      <c r="P556" s="48"/>
      <c r="Q556" s="48"/>
      <c r="R556" s="48"/>
      <c r="S556" s="46"/>
      <c r="T556" s="48"/>
      <c r="U556" s="48"/>
      <c r="V556" s="25"/>
      <c r="W556" s="25"/>
      <c r="X556" s="25"/>
    </row>
    <row r="557" spans="1:24" ht="15" customHeight="1" x14ac:dyDescent="0.25">
      <c r="A557" s="48"/>
      <c r="B557" s="49"/>
      <c r="C557" s="48"/>
      <c r="D557" s="48"/>
      <c r="E557" s="53"/>
      <c r="F557" s="46"/>
      <c r="G557" s="46"/>
      <c r="H557" s="46"/>
      <c r="I557" s="46"/>
      <c r="J557" s="46"/>
      <c r="K557" s="46"/>
      <c r="L557" s="46"/>
      <c r="M557" s="48"/>
      <c r="N557" s="48"/>
      <c r="O557" s="49"/>
      <c r="P557" s="48"/>
      <c r="Q557" s="48"/>
      <c r="R557" s="48"/>
      <c r="S557" s="46"/>
      <c r="T557" s="48"/>
      <c r="U557" s="48"/>
      <c r="V557" s="25"/>
      <c r="W557" s="25"/>
      <c r="X557" s="25"/>
    </row>
    <row r="558" spans="1:24" ht="15" customHeight="1" x14ac:dyDescent="0.25">
      <c r="A558" s="48"/>
      <c r="B558" s="49"/>
      <c r="C558" s="48"/>
      <c r="D558" s="48"/>
      <c r="E558" s="53"/>
      <c r="F558" s="46"/>
      <c r="G558" s="46"/>
      <c r="H558" s="46"/>
      <c r="I558" s="46"/>
      <c r="J558" s="46"/>
      <c r="K558" s="46"/>
      <c r="L558" s="46"/>
      <c r="M558" s="48"/>
      <c r="N558" s="48"/>
      <c r="O558" s="49"/>
      <c r="P558" s="48"/>
      <c r="Q558" s="48"/>
      <c r="R558" s="48"/>
      <c r="S558" s="46"/>
      <c r="T558" s="48"/>
      <c r="U558" s="48"/>
      <c r="V558" s="25"/>
      <c r="W558" s="25"/>
      <c r="X558" s="25"/>
    </row>
    <row r="559" spans="1:24" ht="15" customHeight="1" x14ac:dyDescent="0.25">
      <c r="A559" s="48"/>
      <c r="B559" s="49"/>
      <c r="C559" s="48"/>
      <c r="D559" s="48"/>
      <c r="E559" s="53"/>
      <c r="F559" s="46"/>
      <c r="G559" s="46"/>
      <c r="H559" s="46"/>
      <c r="I559" s="46"/>
      <c r="J559" s="46"/>
      <c r="K559" s="46"/>
      <c r="L559" s="46"/>
      <c r="M559" s="48"/>
      <c r="N559" s="48"/>
      <c r="O559" s="49"/>
      <c r="P559" s="48"/>
      <c r="Q559" s="48"/>
      <c r="R559" s="48"/>
      <c r="S559" s="46"/>
      <c r="T559" s="48"/>
      <c r="U559" s="48"/>
      <c r="V559" s="25"/>
      <c r="W559" s="25"/>
      <c r="X559" s="25"/>
    </row>
    <row r="560" spans="1:24" ht="15" customHeight="1" x14ac:dyDescent="0.25">
      <c r="A560" s="48"/>
      <c r="B560" s="49"/>
      <c r="C560" s="48"/>
      <c r="D560" s="48"/>
      <c r="E560" s="53"/>
      <c r="F560" s="46"/>
      <c r="G560" s="46"/>
      <c r="H560" s="46"/>
      <c r="I560" s="46"/>
      <c r="J560" s="46"/>
      <c r="K560" s="46"/>
      <c r="L560" s="46"/>
      <c r="M560" s="48"/>
      <c r="N560" s="48"/>
      <c r="O560" s="49"/>
      <c r="P560" s="48"/>
      <c r="Q560" s="48"/>
      <c r="R560" s="48"/>
      <c r="S560" s="46"/>
      <c r="T560" s="48"/>
      <c r="U560" s="48"/>
      <c r="V560" s="25"/>
      <c r="W560" s="25"/>
      <c r="X560" s="25"/>
    </row>
    <row r="561" spans="1:24" ht="15" customHeight="1" x14ac:dyDescent="0.25">
      <c r="A561" s="48"/>
      <c r="B561" s="49"/>
      <c r="C561" s="48"/>
      <c r="D561" s="48"/>
      <c r="E561" s="53"/>
      <c r="F561" s="46"/>
      <c r="G561" s="46"/>
      <c r="H561" s="46"/>
      <c r="I561" s="46"/>
      <c r="J561" s="46"/>
      <c r="K561" s="46"/>
      <c r="L561" s="46"/>
      <c r="M561" s="48"/>
      <c r="N561" s="48"/>
      <c r="O561" s="49"/>
      <c r="P561" s="48"/>
      <c r="Q561" s="48"/>
      <c r="R561" s="48"/>
      <c r="S561" s="46"/>
      <c r="T561" s="48"/>
      <c r="U561" s="48"/>
      <c r="V561" s="25"/>
      <c r="W561" s="25"/>
      <c r="X561" s="25"/>
    </row>
    <row r="562" spans="1:24" ht="15" customHeight="1" x14ac:dyDescent="0.25">
      <c r="A562" s="48"/>
      <c r="B562" s="49"/>
      <c r="C562" s="48"/>
      <c r="D562" s="48"/>
      <c r="E562" s="53"/>
      <c r="F562" s="46"/>
      <c r="G562" s="46"/>
      <c r="H562" s="46"/>
      <c r="I562" s="46"/>
      <c r="J562" s="46"/>
      <c r="K562" s="46"/>
      <c r="L562" s="46"/>
      <c r="M562" s="48"/>
      <c r="N562" s="48"/>
      <c r="O562" s="49"/>
      <c r="P562" s="48"/>
      <c r="Q562" s="48"/>
      <c r="R562" s="48"/>
      <c r="S562" s="46"/>
      <c r="T562" s="48"/>
      <c r="U562" s="48"/>
      <c r="V562" s="25"/>
      <c r="W562" s="25"/>
      <c r="X562" s="25"/>
    </row>
    <row r="563" spans="1:24" ht="15" customHeight="1" x14ac:dyDescent="0.25">
      <c r="A563" s="48"/>
      <c r="B563" s="49"/>
      <c r="C563" s="48"/>
      <c r="D563" s="48"/>
      <c r="E563" s="53"/>
      <c r="F563" s="46"/>
      <c r="G563" s="46"/>
      <c r="H563" s="46"/>
      <c r="I563" s="46"/>
      <c r="J563" s="46"/>
      <c r="K563" s="46"/>
      <c r="L563" s="46"/>
      <c r="M563" s="48"/>
      <c r="N563" s="48"/>
      <c r="O563" s="49"/>
      <c r="P563" s="48"/>
      <c r="Q563" s="48"/>
      <c r="R563" s="48"/>
      <c r="S563" s="46"/>
      <c r="T563" s="48"/>
      <c r="U563" s="48"/>
      <c r="V563" s="25"/>
      <c r="W563" s="25"/>
      <c r="X563" s="25"/>
    </row>
    <row r="564" spans="1:24" ht="15" customHeight="1" x14ac:dyDescent="0.25">
      <c r="A564" s="48"/>
      <c r="B564" s="49"/>
      <c r="C564" s="48"/>
      <c r="D564" s="48"/>
      <c r="E564" s="53"/>
      <c r="F564" s="46"/>
      <c r="G564" s="46"/>
      <c r="H564" s="46"/>
      <c r="I564" s="46"/>
      <c r="J564" s="46"/>
      <c r="K564" s="46"/>
      <c r="L564" s="46"/>
      <c r="M564" s="48"/>
      <c r="N564" s="48"/>
      <c r="O564" s="49"/>
      <c r="P564" s="48"/>
      <c r="Q564" s="48"/>
      <c r="R564" s="48"/>
      <c r="S564" s="46"/>
      <c r="T564" s="48"/>
      <c r="U564" s="48"/>
      <c r="V564" s="25"/>
      <c r="W564" s="25"/>
      <c r="X564" s="25"/>
    </row>
    <row r="565" spans="1:24" ht="15" customHeight="1" x14ac:dyDescent="0.25">
      <c r="A565" s="48"/>
      <c r="B565" s="49"/>
      <c r="C565" s="48"/>
      <c r="D565" s="48"/>
      <c r="E565" s="53"/>
      <c r="F565" s="46"/>
      <c r="G565" s="46"/>
      <c r="H565" s="46"/>
      <c r="I565" s="46"/>
      <c r="J565" s="46"/>
      <c r="K565" s="46"/>
      <c r="L565" s="46"/>
      <c r="M565" s="48"/>
      <c r="N565" s="48"/>
      <c r="O565" s="49"/>
      <c r="P565" s="48"/>
      <c r="Q565" s="48"/>
      <c r="R565" s="48"/>
      <c r="S565" s="46"/>
      <c r="T565" s="48"/>
      <c r="U565" s="48"/>
      <c r="V565" s="25"/>
      <c r="W565" s="25"/>
      <c r="X565" s="25"/>
    </row>
    <row r="566" spans="1:24" ht="15" customHeight="1" x14ac:dyDescent="0.25">
      <c r="A566" s="48"/>
      <c r="B566" s="49"/>
      <c r="C566" s="48"/>
      <c r="D566" s="48"/>
      <c r="E566" s="53"/>
      <c r="F566" s="46"/>
      <c r="G566" s="46"/>
      <c r="H566" s="46"/>
      <c r="I566" s="46"/>
      <c r="J566" s="46"/>
      <c r="K566" s="46"/>
      <c r="L566" s="46"/>
      <c r="M566" s="48"/>
      <c r="N566" s="48"/>
      <c r="O566" s="49"/>
      <c r="P566" s="48"/>
      <c r="Q566" s="48"/>
      <c r="R566" s="48"/>
      <c r="S566" s="46"/>
      <c r="T566" s="48"/>
      <c r="U566" s="48"/>
      <c r="V566" s="25"/>
      <c r="W566" s="25"/>
      <c r="X566" s="25"/>
    </row>
    <row r="567" spans="1:24" ht="15" customHeight="1" x14ac:dyDescent="0.25">
      <c r="A567" s="48"/>
      <c r="B567" s="49"/>
      <c r="C567" s="48"/>
      <c r="D567" s="48"/>
      <c r="E567" s="53"/>
      <c r="F567" s="46"/>
      <c r="G567" s="46"/>
      <c r="H567" s="46"/>
      <c r="I567" s="46"/>
      <c r="J567" s="46"/>
      <c r="K567" s="46"/>
      <c r="L567" s="46"/>
      <c r="M567" s="48"/>
      <c r="N567" s="48"/>
      <c r="O567" s="49"/>
      <c r="P567" s="48"/>
      <c r="Q567" s="48"/>
      <c r="R567" s="48"/>
      <c r="S567" s="46"/>
      <c r="T567" s="48"/>
      <c r="U567" s="48"/>
      <c r="V567" s="25"/>
      <c r="W567" s="25"/>
      <c r="X567" s="25"/>
    </row>
    <row r="568" spans="1:24" ht="15" customHeight="1" x14ac:dyDescent="0.25">
      <c r="A568" s="48"/>
      <c r="B568" s="49"/>
      <c r="C568" s="48"/>
      <c r="D568" s="48"/>
      <c r="E568" s="53"/>
      <c r="F568" s="46"/>
      <c r="G568" s="46"/>
      <c r="H568" s="46"/>
      <c r="I568" s="46"/>
      <c r="J568" s="46"/>
      <c r="K568" s="46"/>
      <c r="L568" s="46"/>
      <c r="M568" s="48"/>
      <c r="N568" s="48"/>
      <c r="O568" s="49"/>
      <c r="P568" s="48"/>
      <c r="Q568" s="48"/>
      <c r="R568" s="48"/>
      <c r="S568" s="46"/>
      <c r="T568" s="48"/>
      <c r="U568" s="48"/>
      <c r="V568" s="25"/>
      <c r="W568" s="25"/>
      <c r="X568" s="25"/>
    </row>
    <row r="569" spans="1:24" ht="15" customHeight="1" x14ac:dyDescent="0.25">
      <c r="A569" s="48"/>
      <c r="B569" s="49"/>
      <c r="C569" s="48"/>
      <c r="D569" s="48"/>
      <c r="E569" s="53"/>
      <c r="F569" s="46"/>
      <c r="G569" s="46"/>
      <c r="H569" s="46"/>
      <c r="I569" s="46"/>
      <c r="J569" s="46"/>
      <c r="K569" s="46"/>
      <c r="L569" s="46"/>
      <c r="M569" s="48"/>
      <c r="N569" s="48"/>
      <c r="O569" s="49"/>
      <c r="P569" s="48"/>
      <c r="Q569" s="48"/>
      <c r="R569" s="48"/>
      <c r="S569" s="46"/>
      <c r="T569" s="48"/>
      <c r="U569" s="48"/>
      <c r="V569" s="25"/>
      <c r="W569" s="25"/>
      <c r="X569" s="25"/>
    </row>
    <row r="570" spans="1:24" ht="15" customHeight="1" x14ac:dyDescent="0.25">
      <c r="A570" s="48"/>
      <c r="B570" s="49"/>
      <c r="C570" s="48"/>
      <c r="D570" s="48"/>
      <c r="E570" s="53"/>
      <c r="F570" s="46"/>
      <c r="G570" s="46"/>
      <c r="H570" s="46"/>
      <c r="I570" s="46"/>
      <c r="J570" s="46"/>
      <c r="K570" s="46"/>
      <c r="L570" s="46"/>
      <c r="M570" s="48"/>
      <c r="N570" s="48"/>
      <c r="O570" s="49"/>
      <c r="P570" s="48"/>
      <c r="Q570" s="48"/>
      <c r="R570" s="48"/>
      <c r="S570" s="46"/>
      <c r="T570" s="48"/>
      <c r="U570" s="48"/>
      <c r="V570" s="25"/>
      <c r="W570" s="25"/>
      <c r="X570" s="25"/>
    </row>
    <row r="571" spans="1:24" ht="15" customHeight="1" x14ac:dyDescent="0.25">
      <c r="A571" s="48"/>
      <c r="B571" s="49"/>
      <c r="C571" s="48"/>
      <c r="D571" s="48"/>
      <c r="E571" s="53"/>
      <c r="F571" s="46"/>
      <c r="G571" s="46"/>
      <c r="H571" s="46"/>
      <c r="I571" s="46"/>
      <c r="J571" s="46"/>
      <c r="K571" s="46"/>
      <c r="L571" s="46"/>
      <c r="M571" s="48"/>
      <c r="N571" s="48"/>
      <c r="O571" s="49"/>
      <c r="P571" s="48"/>
      <c r="Q571" s="48"/>
      <c r="R571" s="48"/>
      <c r="S571" s="46"/>
      <c r="T571" s="48"/>
      <c r="U571" s="48"/>
      <c r="V571" s="25"/>
      <c r="W571" s="25"/>
      <c r="X571" s="25"/>
    </row>
    <row r="572" spans="1:24" ht="15" customHeight="1" x14ac:dyDescent="0.25">
      <c r="A572" s="48"/>
      <c r="B572" s="49"/>
      <c r="C572" s="48"/>
      <c r="D572" s="48"/>
      <c r="E572" s="53"/>
      <c r="F572" s="46"/>
      <c r="G572" s="46"/>
      <c r="H572" s="46"/>
      <c r="I572" s="46"/>
      <c r="J572" s="46"/>
      <c r="K572" s="46"/>
      <c r="L572" s="46"/>
      <c r="M572" s="48"/>
      <c r="N572" s="48"/>
      <c r="O572" s="49"/>
      <c r="P572" s="48"/>
      <c r="Q572" s="48"/>
      <c r="R572" s="48"/>
      <c r="S572" s="46"/>
      <c r="T572" s="48"/>
      <c r="U572" s="48"/>
      <c r="V572" s="25"/>
      <c r="W572" s="25"/>
      <c r="X572" s="25"/>
    </row>
    <row r="573" spans="1:24" ht="15" customHeight="1" x14ac:dyDescent="0.25">
      <c r="A573" s="48"/>
      <c r="B573" s="49"/>
      <c r="C573" s="48"/>
      <c r="D573" s="48"/>
      <c r="E573" s="53"/>
      <c r="F573" s="46"/>
      <c r="G573" s="46"/>
      <c r="H573" s="46"/>
      <c r="I573" s="46"/>
      <c r="J573" s="46"/>
      <c r="K573" s="46"/>
      <c r="L573" s="46"/>
      <c r="M573" s="48"/>
      <c r="N573" s="48"/>
      <c r="O573" s="49"/>
      <c r="P573" s="48"/>
      <c r="Q573" s="48"/>
      <c r="R573" s="48"/>
      <c r="S573" s="46"/>
      <c r="T573" s="48"/>
      <c r="U573" s="48"/>
      <c r="V573" s="25"/>
      <c r="W573" s="25"/>
      <c r="X573" s="25"/>
    </row>
    <row r="574" spans="1:24" ht="15" customHeight="1" x14ac:dyDescent="0.25">
      <c r="A574" s="48"/>
      <c r="B574" s="49"/>
      <c r="C574" s="48"/>
      <c r="D574" s="48"/>
      <c r="E574" s="53"/>
      <c r="F574" s="46"/>
      <c r="G574" s="46"/>
      <c r="H574" s="46"/>
      <c r="I574" s="46"/>
      <c r="J574" s="46"/>
      <c r="K574" s="46"/>
      <c r="L574" s="46"/>
      <c r="M574" s="48"/>
      <c r="N574" s="48"/>
      <c r="O574" s="49"/>
      <c r="P574" s="48"/>
      <c r="Q574" s="48"/>
      <c r="R574" s="48"/>
      <c r="S574" s="46"/>
      <c r="T574" s="48"/>
      <c r="U574" s="48"/>
      <c r="V574" s="25"/>
      <c r="W574" s="25"/>
      <c r="X574" s="25"/>
    </row>
    <row r="575" spans="1:24" ht="15" customHeight="1" x14ac:dyDescent="0.25">
      <c r="A575" s="48"/>
      <c r="B575" s="49"/>
      <c r="C575" s="48"/>
      <c r="D575" s="48"/>
      <c r="E575" s="53"/>
      <c r="F575" s="46"/>
      <c r="G575" s="46"/>
      <c r="H575" s="46"/>
      <c r="I575" s="46"/>
      <c r="J575" s="46"/>
      <c r="K575" s="46"/>
      <c r="L575" s="46"/>
      <c r="M575" s="48"/>
      <c r="N575" s="48"/>
      <c r="O575" s="49"/>
      <c r="P575" s="48"/>
      <c r="Q575" s="48"/>
      <c r="R575" s="48"/>
      <c r="S575" s="46"/>
      <c r="T575" s="48"/>
      <c r="U575" s="48"/>
      <c r="V575" s="25"/>
      <c r="W575" s="25"/>
      <c r="X575" s="25"/>
    </row>
    <row r="576" spans="1:24" ht="15" customHeight="1" x14ac:dyDescent="0.25">
      <c r="A576" s="48"/>
      <c r="B576" s="49"/>
      <c r="C576" s="48"/>
      <c r="D576" s="48"/>
      <c r="E576" s="53"/>
      <c r="F576" s="46"/>
      <c r="G576" s="46"/>
      <c r="H576" s="46"/>
      <c r="I576" s="46"/>
      <c r="J576" s="46"/>
      <c r="K576" s="46"/>
      <c r="L576" s="46"/>
      <c r="M576" s="48"/>
      <c r="N576" s="48"/>
      <c r="O576" s="49"/>
      <c r="P576" s="48"/>
      <c r="Q576" s="48"/>
      <c r="R576" s="48"/>
      <c r="S576" s="46"/>
      <c r="T576" s="48"/>
      <c r="U576" s="48"/>
      <c r="V576" s="25"/>
      <c r="W576" s="25"/>
      <c r="X576" s="25"/>
    </row>
    <row r="577" spans="1:24" ht="15" customHeight="1" x14ac:dyDescent="0.25">
      <c r="A577" s="48"/>
      <c r="B577" s="49"/>
      <c r="C577" s="48"/>
      <c r="D577" s="48"/>
      <c r="E577" s="53"/>
      <c r="F577" s="46"/>
      <c r="G577" s="46"/>
      <c r="H577" s="46"/>
      <c r="I577" s="46"/>
      <c r="J577" s="46"/>
      <c r="K577" s="46"/>
      <c r="L577" s="46"/>
      <c r="M577" s="48"/>
      <c r="N577" s="48"/>
      <c r="O577" s="49"/>
      <c r="P577" s="48"/>
      <c r="Q577" s="48"/>
      <c r="R577" s="48"/>
      <c r="S577" s="46"/>
      <c r="T577" s="48"/>
      <c r="U577" s="48"/>
      <c r="V577" s="25"/>
      <c r="W577" s="25"/>
      <c r="X577" s="25"/>
    </row>
    <row r="578" spans="1:24" ht="15" customHeight="1" x14ac:dyDescent="0.25">
      <c r="A578" s="48"/>
      <c r="B578" s="49"/>
      <c r="C578" s="48"/>
      <c r="D578" s="48"/>
      <c r="E578" s="53"/>
      <c r="F578" s="46"/>
      <c r="G578" s="46"/>
      <c r="H578" s="46"/>
      <c r="I578" s="46"/>
      <c r="J578" s="46"/>
      <c r="K578" s="46"/>
      <c r="L578" s="46"/>
      <c r="M578" s="48"/>
      <c r="N578" s="48"/>
      <c r="O578" s="49"/>
      <c r="P578" s="48"/>
      <c r="Q578" s="48"/>
      <c r="R578" s="48"/>
      <c r="S578" s="46"/>
      <c r="T578" s="48"/>
      <c r="U578" s="48"/>
      <c r="V578" s="25"/>
      <c r="W578" s="25"/>
      <c r="X578" s="25"/>
    </row>
    <row r="579" spans="1:24" ht="15" customHeight="1" x14ac:dyDescent="0.25">
      <c r="A579" s="48"/>
      <c r="B579" s="49"/>
      <c r="C579" s="48"/>
      <c r="D579" s="48"/>
      <c r="E579" s="53"/>
      <c r="F579" s="46"/>
      <c r="G579" s="46"/>
      <c r="H579" s="46"/>
      <c r="I579" s="46"/>
      <c r="J579" s="46"/>
      <c r="K579" s="46"/>
      <c r="L579" s="46"/>
      <c r="M579" s="48"/>
      <c r="N579" s="48"/>
      <c r="O579" s="49"/>
      <c r="P579" s="48"/>
      <c r="Q579" s="48"/>
      <c r="R579" s="48"/>
      <c r="S579" s="46"/>
      <c r="T579" s="48"/>
      <c r="U579" s="48"/>
      <c r="V579" s="25"/>
      <c r="W579" s="25"/>
      <c r="X579" s="25"/>
    </row>
    <row r="580" spans="1:24" ht="15" customHeight="1" x14ac:dyDescent="0.25">
      <c r="A580" s="48"/>
      <c r="B580" s="49"/>
      <c r="C580" s="48"/>
      <c r="D580" s="48"/>
      <c r="E580" s="53"/>
      <c r="F580" s="46"/>
      <c r="G580" s="46"/>
      <c r="H580" s="46"/>
      <c r="I580" s="46"/>
      <c r="J580" s="46"/>
      <c r="K580" s="46"/>
      <c r="L580" s="46"/>
      <c r="M580" s="48"/>
      <c r="N580" s="48"/>
      <c r="O580" s="49"/>
      <c r="P580" s="48"/>
      <c r="Q580" s="48"/>
      <c r="R580" s="48"/>
      <c r="S580" s="46"/>
      <c r="T580" s="48"/>
      <c r="U580" s="48"/>
      <c r="V580" s="25"/>
      <c r="W580" s="25"/>
      <c r="X580" s="25"/>
    </row>
    <row r="581" spans="1:24" ht="15" customHeight="1" x14ac:dyDescent="0.25">
      <c r="A581" s="48"/>
      <c r="B581" s="49"/>
      <c r="C581" s="48"/>
      <c r="D581" s="48"/>
      <c r="E581" s="53"/>
      <c r="F581" s="46"/>
      <c r="G581" s="46"/>
      <c r="H581" s="46"/>
      <c r="I581" s="46"/>
      <c r="J581" s="46"/>
      <c r="K581" s="46"/>
      <c r="L581" s="46"/>
      <c r="M581" s="48"/>
      <c r="N581" s="48"/>
      <c r="O581" s="49"/>
      <c r="P581" s="48"/>
      <c r="Q581" s="48"/>
      <c r="R581" s="48"/>
      <c r="S581" s="46"/>
      <c r="T581" s="48"/>
      <c r="U581" s="48"/>
      <c r="V581" s="25"/>
      <c r="W581" s="25"/>
      <c r="X581" s="25"/>
    </row>
    <row r="582" spans="1:24" ht="15" customHeight="1" x14ac:dyDescent="0.25">
      <c r="A582" s="48"/>
      <c r="B582" s="49"/>
      <c r="C582" s="48"/>
      <c r="D582" s="48"/>
      <c r="E582" s="53"/>
      <c r="F582" s="46"/>
      <c r="G582" s="46"/>
      <c r="H582" s="46"/>
      <c r="I582" s="46"/>
      <c r="J582" s="46"/>
      <c r="K582" s="46"/>
      <c r="L582" s="46"/>
      <c r="M582" s="48"/>
      <c r="N582" s="48"/>
      <c r="O582" s="49"/>
      <c r="P582" s="48"/>
      <c r="Q582" s="48"/>
      <c r="R582" s="48"/>
      <c r="S582" s="46"/>
      <c r="T582" s="48"/>
      <c r="U582" s="48"/>
      <c r="V582" s="25"/>
      <c r="W582" s="25"/>
      <c r="X582" s="25"/>
    </row>
    <row r="583" spans="1:24" ht="15" customHeight="1" x14ac:dyDescent="0.25">
      <c r="A583" s="48"/>
      <c r="B583" s="49"/>
      <c r="C583" s="48"/>
      <c r="D583" s="48"/>
      <c r="E583" s="53"/>
      <c r="F583" s="46"/>
      <c r="G583" s="46"/>
      <c r="H583" s="46"/>
      <c r="I583" s="46"/>
      <c r="J583" s="46"/>
      <c r="K583" s="46"/>
      <c r="L583" s="46"/>
      <c r="M583" s="48"/>
      <c r="N583" s="48"/>
      <c r="O583" s="49"/>
      <c r="P583" s="48"/>
      <c r="Q583" s="48"/>
      <c r="R583" s="48"/>
      <c r="S583" s="46"/>
      <c r="T583" s="48"/>
      <c r="U583" s="48"/>
      <c r="V583" s="25"/>
      <c r="W583" s="25"/>
      <c r="X583" s="25"/>
    </row>
    <row r="584" spans="1:24" ht="15" customHeight="1" x14ac:dyDescent="0.25">
      <c r="A584" s="48"/>
      <c r="B584" s="49"/>
      <c r="C584" s="48"/>
      <c r="D584" s="48"/>
      <c r="E584" s="53"/>
      <c r="F584" s="46"/>
      <c r="G584" s="46"/>
      <c r="H584" s="46"/>
      <c r="I584" s="46"/>
      <c r="J584" s="46"/>
      <c r="K584" s="46"/>
      <c r="L584" s="46"/>
      <c r="M584" s="48"/>
      <c r="N584" s="48"/>
      <c r="O584" s="49"/>
      <c r="P584" s="48"/>
      <c r="Q584" s="48"/>
      <c r="R584" s="48"/>
      <c r="S584" s="46"/>
      <c r="T584" s="48"/>
      <c r="U584" s="48"/>
      <c r="V584" s="25"/>
      <c r="W584" s="25"/>
      <c r="X584" s="25"/>
    </row>
    <row r="585" spans="1:24" ht="15" customHeight="1" x14ac:dyDescent="0.25">
      <c r="A585" s="48"/>
      <c r="B585" s="49"/>
      <c r="C585" s="48"/>
      <c r="D585" s="48"/>
      <c r="E585" s="53"/>
      <c r="F585" s="46"/>
      <c r="G585" s="46"/>
      <c r="H585" s="46"/>
      <c r="I585" s="46"/>
      <c r="J585" s="46"/>
      <c r="K585" s="46"/>
      <c r="L585" s="46"/>
      <c r="M585" s="48"/>
      <c r="N585" s="48"/>
      <c r="O585" s="49"/>
      <c r="P585" s="48"/>
      <c r="Q585" s="48"/>
      <c r="R585" s="48"/>
      <c r="S585" s="46"/>
      <c r="T585" s="48"/>
      <c r="U585" s="48"/>
      <c r="V585" s="25"/>
      <c r="W585" s="25"/>
      <c r="X585" s="25"/>
    </row>
    <row r="586" spans="1:24" ht="15" customHeight="1" x14ac:dyDescent="0.25">
      <c r="A586" s="48"/>
      <c r="B586" s="49"/>
      <c r="C586" s="48"/>
      <c r="D586" s="48"/>
      <c r="E586" s="53"/>
      <c r="F586" s="46"/>
      <c r="G586" s="46"/>
      <c r="H586" s="46"/>
      <c r="I586" s="46"/>
      <c r="J586" s="46"/>
      <c r="K586" s="46"/>
      <c r="L586" s="46"/>
      <c r="M586" s="48"/>
      <c r="N586" s="48"/>
      <c r="O586" s="49"/>
      <c r="P586" s="48"/>
      <c r="Q586" s="48"/>
      <c r="R586" s="48"/>
      <c r="S586" s="46"/>
      <c r="T586" s="48"/>
      <c r="U586" s="48"/>
      <c r="V586" s="25"/>
      <c r="W586" s="25"/>
      <c r="X586" s="25"/>
    </row>
    <row r="587" spans="1:24" ht="15" customHeight="1" x14ac:dyDescent="0.25">
      <c r="A587" s="48"/>
      <c r="B587" s="49"/>
      <c r="C587" s="48"/>
      <c r="D587" s="48"/>
      <c r="E587" s="53"/>
      <c r="F587" s="46"/>
      <c r="G587" s="46"/>
      <c r="H587" s="46"/>
      <c r="I587" s="46"/>
      <c r="J587" s="46"/>
      <c r="K587" s="46"/>
      <c r="L587" s="46"/>
      <c r="M587" s="48"/>
      <c r="N587" s="48"/>
      <c r="O587" s="49"/>
      <c r="P587" s="48"/>
      <c r="Q587" s="48"/>
      <c r="R587" s="48"/>
      <c r="S587" s="46"/>
      <c r="T587" s="48"/>
      <c r="U587" s="48"/>
      <c r="V587" s="25"/>
      <c r="W587" s="25"/>
      <c r="X587" s="25"/>
    </row>
    <row r="588" spans="1:24" ht="15" customHeight="1" x14ac:dyDescent="0.25">
      <c r="A588" s="48"/>
      <c r="B588" s="49"/>
      <c r="C588" s="48"/>
      <c r="D588" s="48"/>
      <c r="E588" s="53"/>
      <c r="F588" s="46"/>
      <c r="G588" s="46"/>
      <c r="H588" s="46"/>
      <c r="I588" s="46"/>
      <c r="J588" s="46"/>
      <c r="K588" s="46"/>
      <c r="L588" s="46"/>
      <c r="M588" s="48"/>
      <c r="N588" s="48"/>
      <c r="O588" s="49"/>
      <c r="P588" s="48"/>
      <c r="Q588" s="48"/>
      <c r="R588" s="48"/>
      <c r="S588" s="46"/>
      <c r="T588" s="48"/>
      <c r="U588" s="48"/>
      <c r="V588" s="25"/>
      <c r="W588" s="25"/>
      <c r="X588" s="25"/>
    </row>
    <row r="589" spans="1:24" ht="15" customHeight="1" x14ac:dyDescent="0.25">
      <c r="A589" s="48"/>
      <c r="B589" s="49"/>
      <c r="C589" s="48"/>
      <c r="D589" s="48"/>
      <c r="E589" s="53"/>
      <c r="F589" s="46"/>
      <c r="G589" s="46"/>
      <c r="H589" s="46"/>
      <c r="I589" s="46"/>
      <c r="J589" s="46"/>
      <c r="K589" s="46"/>
      <c r="L589" s="46"/>
      <c r="M589" s="48"/>
      <c r="N589" s="48"/>
      <c r="O589" s="49"/>
      <c r="P589" s="48"/>
      <c r="Q589" s="48"/>
      <c r="R589" s="48"/>
      <c r="S589" s="46"/>
      <c r="T589" s="48"/>
      <c r="U589" s="48"/>
      <c r="V589" s="25"/>
      <c r="W589" s="25"/>
      <c r="X589" s="25"/>
    </row>
    <row r="590" spans="1:24" ht="15" customHeight="1" x14ac:dyDescent="0.25">
      <c r="A590" s="48"/>
      <c r="B590" s="49"/>
      <c r="C590" s="48"/>
      <c r="D590" s="48"/>
      <c r="E590" s="53"/>
      <c r="F590" s="46"/>
      <c r="G590" s="46"/>
      <c r="H590" s="46"/>
      <c r="I590" s="46"/>
      <c r="J590" s="46"/>
      <c r="K590" s="46"/>
      <c r="L590" s="46"/>
      <c r="M590" s="48"/>
      <c r="N590" s="48"/>
      <c r="O590" s="49"/>
      <c r="P590" s="48"/>
      <c r="Q590" s="48"/>
      <c r="R590" s="48"/>
      <c r="S590" s="46"/>
      <c r="T590" s="48"/>
      <c r="U590" s="48"/>
      <c r="V590" s="25"/>
      <c r="W590" s="25"/>
      <c r="X590" s="25"/>
    </row>
    <row r="591" spans="1:24" ht="15" customHeight="1" x14ac:dyDescent="0.25">
      <c r="A591" s="48"/>
      <c r="B591" s="49"/>
      <c r="C591" s="48"/>
      <c r="D591" s="48"/>
      <c r="E591" s="53"/>
      <c r="F591" s="46"/>
      <c r="G591" s="46"/>
      <c r="H591" s="46"/>
      <c r="I591" s="46"/>
      <c r="J591" s="46"/>
      <c r="K591" s="46"/>
      <c r="L591" s="46"/>
      <c r="M591" s="48"/>
      <c r="N591" s="48"/>
      <c r="O591" s="49"/>
      <c r="P591" s="48"/>
      <c r="Q591" s="48"/>
      <c r="R591" s="48"/>
      <c r="S591" s="46"/>
      <c r="T591" s="48"/>
      <c r="U591" s="48"/>
      <c r="V591" s="25"/>
      <c r="W591" s="25"/>
      <c r="X591" s="25"/>
    </row>
    <row r="592" spans="1:24" ht="15" customHeight="1" x14ac:dyDescent="0.25">
      <c r="A592" s="48"/>
      <c r="B592" s="49"/>
      <c r="C592" s="48"/>
      <c r="D592" s="48"/>
      <c r="E592" s="53"/>
      <c r="F592" s="46"/>
      <c r="G592" s="46"/>
      <c r="H592" s="46"/>
      <c r="I592" s="46"/>
      <c r="J592" s="46"/>
      <c r="K592" s="46"/>
      <c r="L592" s="46"/>
      <c r="M592" s="48"/>
      <c r="N592" s="48"/>
      <c r="O592" s="49"/>
      <c r="P592" s="48"/>
      <c r="Q592" s="48"/>
      <c r="R592" s="48"/>
      <c r="S592" s="46"/>
      <c r="T592" s="48"/>
      <c r="U592" s="48"/>
      <c r="V592" s="25"/>
      <c r="W592" s="25"/>
      <c r="X592" s="25"/>
    </row>
    <row r="593" spans="1:24" ht="15" customHeight="1" x14ac:dyDescent="0.25">
      <c r="A593" s="48"/>
      <c r="B593" s="49"/>
      <c r="C593" s="48"/>
      <c r="D593" s="48"/>
      <c r="E593" s="53"/>
      <c r="F593" s="46"/>
      <c r="G593" s="46"/>
      <c r="H593" s="46"/>
      <c r="I593" s="46"/>
      <c r="J593" s="46"/>
      <c r="K593" s="46"/>
      <c r="L593" s="46"/>
      <c r="M593" s="48"/>
      <c r="N593" s="48"/>
      <c r="O593" s="49"/>
      <c r="P593" s="48"/>
      <c r="Q593" s="48"/>
      <c r="R593" s="48"/>
      <c r="S593" s="46"/>
      <c r="T593" s="48"/>
      <c r="U593" s="48"/>
      <c r="V593" s="25"/>
      <c r="W593" s="25"/>
      <c r="X593" s="25"/>
    </row>
    <row r="594" spans="1:24" ht="15" customHeight="1" x14ac:dyDescent="0.25">
      <c r="A594" s="48"/>
      <c r="B594" s="49"/>
      <c r="C594" s="48"/>
      <c r="D594" s="48"/>
      <c r="E594" s="53"/>
      <c r="F594" s="46"/>
      <c r="G594" s="46"/>
      <c r="H594" s="46"/>
      <c r="I594" s="46"/>
      <c r="J594" s="46"/>
      <c r="K594" s="46"/>
      <c r="L594" s="46"/>
      <c r="M594" s="48"/>
      <c r="N594" s="48"/>
      <c r="O594" s="49"/>
      <c r="P594" s="48"/>
      <c r="Q594" s="48"/>
      <c r="R594" s="48"/>
      <c r="S594" s="46"/>
      <c r="T594" s="48"/>
      <c r="U594" s="48"/>
      <c r="V594" s="25"/>
      <c r="W594" s="25"/>
      <c r="X594" s="25"/>
    </row>
    <row r="595" spans="1:24" ht="15" customHeight="1" x14ac:dyDescent="0.25">
      <c r="A595" s="48"/>
      <c r="B595" s="49"/>
      <c r="C595" s="48"/>
      <c r="D595" s="48"/>
      <c r="E595" s="53"/>
      <c r="F595" s="46"/>
      <c r="G595" s="46"/>
      <c r="H595" s="46"/>
      <c r="I595" s="46"/>
      <c r="J595" s="46"/>
      <c r="K595" s="46"/>
      <c r="L595" s="46"/>
      <c r="M595" s="48"/>
      <c r="N595" s="48"/>
      <c r="O595" s="49"/>
      <c r="P595" s="48"/>
      <c r="Q595" s="48"/>
      <c r="R595" s="48"/>
      <c r="S595" s="46"/>
      <c r="T595" s="48"/>
      <c r="U595" s="48"/>
      <c r="V595" s="25"/>
      <c r="W595" s="25"/>
      <c r="X595" s="25"/>
    </row>
    <row r="596" spans="1:24" ht="15" customHeight="1" x14ac:dyDescent="0.25">
      <c r="A596" s="48"/>
      <c r="B596" s="49"/>
      <c r="C596" s="48"/>
      <c r="D596" s="48"/>
      <c r="E596" s="53"/>
      <c r="F596" s="46"/>
      <c r="G596" s="46"/>
      <c r="H596" s="46"/>
      <c r="I596" s="46"/>
      <c r="J596" s="46"/>
      <c r="K596" s="46"/>
      <c r="L596" s="46"/>
      <c r="M596" s="48"/>
      <c r="N596" s="48"/>
      <c r="O596" s="49"/>
      <c r="P596" s="48"/>
      <c r="Q596" s="48"/>
      <c r="R596" s="48"/>
      <c r="S596" s="46"/>
      <c r="T596" s="48"/>
      <c r="U596" s="48"/>
      <c r="V596" s="25"/>
      <c r="W596" s="25"/>
      <c r="X596" s="25"/>
    </row>
    <row r="597" spans="1:24" ht="15" customHeight="1" x14ac:dyDescent="0.25">
      <c r="A597" s="48"/>
      <c r="B597" s="49"/>
      <c r="C597" s="48"/>
      <c r="D597" s="48"/>
      <c r="E597" s="53"/>
      <c r="F597" s="46"/>
      <c r="G597" s="46"/>
      <c r="H597" s="46"/>
      <c r="I597" s="46"/>
      <c r="J597" s="46"/>
      <c r="K597" s="46"/>
      <c r="L597" s="46"/>
      <c r="M597" s="48"/>
      <c r="N597" s="48"/>
      <c r="O597" s="49"/>
      <c r="P597" s="48"/>
      <c r="Q597" s="48"/>
      <c r="R597" s="48"/>
      <c r="S597" s="46"/>
      <c r="T597" s="48"/>
      <c r="U597" s="48"/>
      <c r="V597" s="25"/>
      <c r="W597" s="25"/>
      <c r="X597" s="25"/>
    </row>
    <row r="598" spans="1:24" ht="15" customHeight="1" x14ac:dyDescent="0.25">
      <c r="A598" s="48"/>
      <c r="B598" s="49"/>
      <c r="C598" s="48"/>
      <c r="D598" s="48"/>
      <c r="E598" s="53"/>
      <c r="F598" s="46"/>
      <c r="G598" s="46"/>
      <c r="H598" s="46"/>
      <c r="I598" s="46"/>
      <c r="J598" s="46"/>
      <c r="K598" s="46"/>
      <c r="L598" s="46"/>
      <c r="M598" s="48"/>
      <c r="N598" s="48"/>
      <c r="O598" s="49"/>
      <c r="P598" s="48"/>
      <c r="Q598" s="48"/>
      <c r="R598" s="48"/>
      <c r="S598" s="46"/>
      <c r="T598" s="48"/>
      <c r="U598" s="48"/>
      <c r="V598" s="25"/>
      <c r="W598" s="25"/>
      <c r="X598" s="25"/>
    </row>
    <row r="599" spans="1:24" ht="15" customHeight="1" x14ac:dyDescent="0.25">
      <c r="A599" s="48"/>
      <c r="B599" s="49"/>
      <c r="C599" s="48"/>
      <c r="D599" s="48"/>
      <c r="E599" s="53"/>
      <c r="F599" s="46"/>
      <c r="G599" s="46"/>
      <c r="H599" s="46"/>
      <c r="I599" s="46"/>
      <c r="J599" s="46"/>
      <c r="K599" s="46"/>
      <c r="L599" s="46"/>
      <c r="M599" s="48"/>
      <c r="N599" s="48"/>
      <c r="O599" s="49"/>
      <c r="P599" s="48"/>
      <c r="Q599" s="48"/>
      <c r="R599" s="48"/>
      <c r="S599" s="46"/>
      <c r="T599" s="48"/>
      <c r="U599" s="48"/>
      <c r="V599" s="25"/>
      <c r="W599" s="25"/>
      <c r="X599" s="25"/>
    </row>
    <row r="600" spans="1:24" ht="15" customHeight="1" x14ac:dyDescent="0.25">
      <c r="A600" s="48"/>
      <c r="B600" s="49"/>
      <c r="C600" s="48"/>
      <c r="D600" s="48"/>
      <c r="E600" s="53"/>
      <c r="F600" s="46"/>
      <c r="G600" s="46"/>
      <c r="H600" s="46"/>
      <c r="I600" s="46"/>
      <c r="J600" s="46"/>
      <c r="K600" s="46"/>
      <c r="L600" s="46"/>
      <c r="M600" s="48"/>
      <c r="N600" s="48"/>
      <c r="O600" s="49"/>
      <c r="P600" s="48"/>
      <c r="Q600" s="48"/>
      <c r="R600" s="48"/>
      <c r="S600" s="46"/>
      <c r="T600" s="48"/>
      <c r="U600" s="48"/>
      <c r="V600" s="25"/>
      <c r="W600" s="25"/>
      <c r="X600" s="25"/>
    </row>
    <row r="601" spans="1:24" ht="15" customHeight="1" x14ac:dyDescent="0.25">
      <c r="A601" s="48"/>
      <c r="B601" s="49"/>
      <c r="C601" s="48"/>
      <c r="D601" s="48"/>
      <c r="E601" s="53"/>
      <c r="F601" s="46"/>
      <c r="G601" s="46"/>
      <c r="H601" s="46"/>
      <c r="I601" s="46"/>
      <c r="J601" s="46"/>
      <c r="K601" s="46"/>
      <c r="L601" s="46"/>
      <c r="M601" s="48"/>
      <c r="N601" s="48"/>
      <c r="O601" s="49"/>
      <c r="P601" s="48"/>
      <c r="Q601" s="48"/>
      <c r="R601" s="48"/>
      <c r="S601" s="46"/>
      <c r="T601" s="48"/>
      <c r="U601" s="48"/>
      <c r="V601" s="25"/>
      <c r="W601" s="25"/>
      <c r="X601" s="25"/>
    </row>
    <row r="602" spans="1:24" ht="15" customHeight="1" x14ac:dyDescent="0.25">
      <c r="A602" s="48"/>
      <c r="B602" s="49"/>
      <c r="C602" s="48"/>
      <c r="D602" s="48"/>
      <c r="E602" s="53"/>
      <c r="F602" s="46"/>
      <c r="G602" s="46"/>
      <c r="H602" s="46"/>
      <c r="I602" s="46"/>
      <c r="J602" s="46"/>
      <c r="K602" s="46"/>
      <c r="L602" s="46"/>
      <c r="M602" s="48"/>
      <c r="N602" s="48"/>
      <c r="O602" s="49"/>
      <c r="P602" s="48"/>
      <c r="Q602" s="48"/>
      <c r="R602" s="48"/>
      <c r="S602" s="46"/>
      <c r="T602" s="48"/>
      <c r="U602" s="48"/>
      <c r="V602" s="25"/>
      <c r="W602" s="25"/>
      <c r="X602" s="25"/>
    </row>
    <row r="603" spans="1:24" ht="15" customHeight="1" x14ac:dyDescent="0.25">
      <c r="A603" s="48"/>
      <c r="B603" s="49"/>
      <c r="C603" s="48"/>
      <c r="D603" s="48"/>
      <c r="E603" s="53"/>
      <c r="F603" s="46"/>
      <c r="G603" s="46"/>
      <c r="H603" s="46"/>
      <c r="I603" s="46"/>
      <c r="J603" s="46"/>
      <c r="K603" s="46"/>
      <c r="L603" s="46"/>
      <c r="M603" s="48"/>
      <c r="N603" s="48"/>
      <c r="O603" s="49"/>
      <c r="P603" s="48"/>
      <c r="Q603" s="48"/>
      <c r="R603" s="48"/>
      <c r="S603" s="46"/>
      <c r="T603" s="48"/>
      <c r="U603" s="48"/>
      <c r="V603" s="25"/>
      <c r="W603" s="25"/>
      <c r="X603" s="25"/>
    </row>
    <row r="604" spans="1:24" ht="15" customHeight="1" x14ac:dyDescent="0.25">
      <c r="A604" s="48"/>
      <c r="B604" s="49"/>
      <c r="C604" s="48"/>
      <c r="D604" s="48"/>
      <c r="E604" s="53"/>
      <c r="F604" s="46"/>
      <c r="G604" s="46"/>
      <c r="H604" s="46"/>
      <c r="I604" s="46"/>
      <c r="J604" s="46"/>
      <c r="K604" s="46"/>
      <c r="L604" s="46"/>
      <c r="M604" s="48"/>
      <c r="N604" s="48"/>
      <c r="O604" s="49"/>
      <c r="P604" s="48"/>
      <c r="Q604" s="48"/>
      <c r="R604" s="48"/>
      <c r="S604" s="46"/>
      <c r="T604" s="48"/>
      <c r="U604" s="48"/>
      <c r="V604" s="25"/>
      <c r="W604" s="25"/>
      <c r="X604" s="25"/>
    </row>
    <row r="605" spans="1:24" ht="15" customHeight="1" x14ac:dyDescent="0.25">
      <c r="A605" s="48"/>
      <c r="B605" s="49"/>
      <c r="C605" s="48"/>
      <c r="D605" s="48"/>
      <c r="E605" s="53"/>
      <c r="F605" s="46"/>
      <c r="G605" s="46"/>
      <c r="H605" s="46"/>
      <c r="I605" s="46"/>
      <c r="J605" s="46"/>
      <c r="K605" s="46"/>
      <c r="L605" s="46"/>
      <c r="M605" s="48"/>
      <c r="N605" s="48"/>
      <c r="O605" s="49"/>
      <c r="P605" s="48"/>
      <c r="Q605" s="48"/>
      <c r="R605" s="48"/>
      <c r="S605" s="46"/>
      <c r="T605" s="48"/>
      <c r="U605" s="48"/>
      <c r="V605" s="25"/>
      <c r="W605" s="25"/>
      <c r="X605" s="25"/>
    </row>
    <row r="606" spans="1:24" ht="15" customHeight="1" x14ac:dyDescent="0.25">
      <c r="A606" s="48"/>
      <c r="B606" s="49"/>
      <c r="C606" s="48"/>
      <c r="D606" s="48"/>
      <c r="E606" s="53"/>
      <c r="F606" s="46"/>
      <c r="G606" s="46"/>
      <c r="H606" s="46"/>
      <c r="I606" s="46"/>
      <c r="J606" s="46"/>
      <c r="K606" s="46"/>
      <c r="L606" s="46"/>
      <c r="M606" s="48"/>
      <c r="N606" s="48"/>
      <c r="O606" s="49"/>
      <c r="P606" s="48"/>
      <c r="Q606" s="48"/>
      <c r="R606" s="48"/>
      <c r="S606" s="46"/>
      <c r="T606" s="48"/>
      <c r="U606" s="48"/>
      <c r="V606" s="25"/>
      <c r="W606" s="25"/>
      <c r="X606" s="25"/>
    </row>
    <row r="607" spans="1:24" ht="15" customHeight="1" x14ac:dyDescent="0.25">
      <c r="A607" s="48"/>
      <c r="B607" s="49"/>
      <c r="C607" s="48"/>
      <c r="D607" s="48"/>
      <c r="E607" s="53"/>
      <c r="F607" s="46"/>
      <c r="G607" s="46"/>
      <c r="H607" s="46"/>
      <c r="I607" s="46"/>
      <c r="J607" s="46"/>
      <c r="K607" s="46"/>
      <c r="L607" s="46"/>
      <c r="M607" s="48"/>
      <c r="N607" s="48"/>
      <c r="O607" s="49"/>
      <c r="P607" s="48"/>
      <c r="Q607" s="48"/>
      <c r="R607" s="48"/>
      <c r="S607" s="46"/>
      <c r="T607" s="48"/>
      <c r="U607" s="48"/>
      <c r="V607" s="25"/>
      <c r="W607" s="25"/>
      <c r="X607" s="25"/>
    </row>
    <row r="608" spans="1:24" ht="15" customHeight="1" x14ac:dyDescent="0.25">
      <c r="A608" s="48"/>
      <c r="B608" s="49"/>
      <c r="C608" s="48"/>
      <c r="D608" s="48"/>
      <c r="E608" s="53"/>
      <c r="F608" s="46"/>
      <c r="G608" s="46"/>
      <c r="H608" s="46"/>
      <c r="I608" s="46"/>
      <c r="J608" s="46"/>
      <c r="K608" s="46"/>
      <c r="L608" s="46"/>
      <c r="M608" s="48"/>
      <c r="N608" s="48"/>
      <c r="O608" s="49"/>
      <c r="P608" s="48"/>
      <c r="Q608" s="48"/>
      <c r="R608" s="48"/>
      <c r="S608" s="46"/>
      <c r="T608" s="48"/>
      <c r="U608" s="48"/>
      <c r="V608" s="25"/>
      <c r="W608" s="25"/>
      <c r="X608" s="25"/>
    </row>
    <row r="609" spans="1:24" ht="15" customHeight="1" x14ac:dyDescent="0.25">
      <c r="A609" s="48"/>
      <c r="B609" s="49"/>
      <c r="C609" s="48"/>
      <c r="D609" s="48"/>
      <c r="E609" s="53"/>
      <c r="F609" s="46"/>
      <c r="G609" s="46"/>
      <c r="H609" s="46"/>
      <c r="I609" s="46"/>
      <c r="J609" s="46"/>
      <c r="K609" s="46"/>
      <c r="L609" s="46"/>
      <c r="M609" s="48"/>
      <c r="N609" s="48"/>
      <c r="O609" s="49"/>
      <c r="P609" s="48"/>
      <c r="Q609" s="48"/>
      <c r="R609" s="48"/>
      <c r="S609" s="46"/>
      <c r="T609" s="48"/>
      <c r="U609" s="48"/>
      <c r="V609" s="25"/>
      <c r="W609" s="25"/>
      <c r="X609" s="25"/>
    </row>
    <row r="610" spans="1:24" ht="15" customHeight="1" x14ac:dyDescent="0.25">
      <c r="A610" s="48"/>
      <c r="B610" s="49"/>
      <c r="C610" s="48"/>
      <c r="D610" s="48"/>
      <c r="E610" s="53"/>
      <c r="F610" s="46"/>
      <c r="G610" s="46"/>
      <c r="H610" s="46"/>
      <c r="I610" s="46"/>
      <c r="J610" s="46"/>
      <c r="K610" s="46"/>
      <c r="L610" s="46"/>
      <c r="M610" s="48"/>
      <c r="N610" s="48"/>
      <c r="O610" s="49"/>
      <c r="P610" s="48"/>
      <c r="Q610" s="48"/>
      <c r="R610" s="48"/>
      <c r="S610" s="46"/>
      <c r="T610" s="48"/>
      <c r="U610" s="48"/>
      <c r="V610" s="25"/>
      <c r="W610" s="25"/>
      <c r="X610" s="25"/>
    </row>
    <row r="611" spans="1:24" ht="15" customHeight="1" x14ac:dyDescent="0.25">
      <c r="A611" s="48"/>
      <c r="B611" s="49"/>
      <c r="C611" s="48"/>
      <c r="D611" s="48"/>
      <c r="E611" s="53"/>
      <c r="F611" s="46"/>
      <c r="G611" s="46"/>
      <c r="H611" s="46"/>
      <c r="I611" s="46"/>
      <c r="J611" s="46"/>
      <c r="K611" s="46"/>
      <c r="L611" s="46"/>
      <c r="M611" s="48"/>
      <c r="N611" s="48"/>
      <c r="O611" s="49"/>
      <c r="P611" s="48"/>
      <c r="Q611" s="48"/>
      <c r="R611" s="48"/>
      <c r="S611" s="46"/>
      <c r="T611" s="48"/>
      <c r="U611" s="48"/>
      <c r="V611" s="25"/>
      <c r="W611" s="25"/>
      <c r="X611" s="25"/>
    </row>
    <row r="612" spans="1:24" ht="15" customHeight="1" x14ac:dyDescent="0.25">
      <c r="A612" s="48"/>
      <c r="B612" s="49"/>
      <c r="C612" s="48"/>
      <c r="D612" s="48"/>
      <c r="E612" s="53"/>
      <c r="F612" s="46"/>
      <c r="G612" s="46"/>
      <c r="H612" s="46"/>
      <c r="I612" s="46"/>
      <c r="J612" s="46"/>
      <c r="K612" s="46"/>
      <c r="L612" s="46"/>
      <c r="M612" s="48"/>
      <c r="N612" s="48"/>
      <c r="O612" s="49"/>
      <c r="P612" s="48"/>
      <c r="Q612" s="48"/>
      <c r="R612" s="48"/>
      <c r="S612" s="46"/>
      <c r="T612" s="48"/>
      <c r="U612" s="48"/>
      <c r="V612" s="25"/>
      <c r="W612" s="25"/>
      <c r="X612" s="25"/>
    </row>
    <row r="613" spans="1:24" ht="15" customHeight="1" x14ac:dyDescent="0.25">
      <c r="A613" s="48"/>
      <c r="B613" s="49"/>
      <c r="C613" s="48"/>
      <c r="D613" s="48"/>
      <c r="E613" s="53"/>
      <c r="F613" s="46"/>
      <c r="G613" s="46"/>
      <c r="H613" s="46"/>
      <c r="I613" s="46"/>
      <c r="J613" s="46"/>
      <c r="K613" s="46"/>
      <c r="L613" s="46"/>
      <c r="M613" s="48"/>
      <c r="N613" s="48"/>
      <c r="O613" s="49"/>
      <c r="P613" s="48"/>
      <c r="Q613" s="48"/>
      <c r="R613" s="48"/>
      <c r="S613" s="46"/>
      <c r="T613" s="48"/>
      <c r="U613" s="48"/>
      <c r="V613" s="25"/>
      <c r="W613" s="25"/>
      <c r="X613" s="25"/>
    </row>
    <row r="614" spans="1:24" ht="15" customHeight="1" x14ac:dyDescent="0.25">
      <c r="A614" s="48"/>
      <c r="B614" s="49"/>
      <c r="C614" s="48"/>
      <c r="D614" s="48"/>
      <c r="E614" s="53"/>
      <c r="F614" s="46"/>
      <c r="G614" s="46"/>
      <c r="H614" s="46"/>
      <c r="I614" s="46"/>
      <c r="J614" s="46"/>
      <c r="K614" s="46"/>
      <c r="L614" s="46"/>
      <c r="M614" s="48"/>
      <c r="N614" s="48"/>
      <c r="O614" s="49"/>
      <c r="P614" s="48"/>
      <c r="Q614" s="48"/>
      <c r="R614" s="48"/>
      <c r="S614" s="46"/>
      <c r="T614" s="48"/>
      <c r="U614" s="48"/>
      <c r="V614" s="25"/>
      <c r="W614" s="25"/>
      <c r="X614" s="25"/>
    </row>
    <row r="615" spans="1:24" ht="15" customHeight="1" x14ac:dyDescent="0.25">
      <c r="A615" s="48"/>
      <c r="B615" s="49"/>
      <c r="C615" s="48"/>
      <c r="D615" s="48"/>
      <c r="E615" s="53"/>
      <c r="F615" s="46"/>
      <c r="G615" s="46"/>
      <c r="H615" s="46"/>
      <c r="I615" s="46"/>
      <c r="J615" s="46"/>
      <c r="K615" s="46"/>
      <c r="L615" s="46"/>
      <c r="M615" s="48"/>
      <c r="N615" s="48"/>
      <c r="O615" s="49"/>
      <c r="P615" s="48"/>
      <c r="Q615" s="48"/>
      <c r="R615" s="48"/>
      <c r="S615" s="46"/>
      <c r="T615" s="48"/>
      <c r="U615" s="48"/>
      <c r="V615" s="25"/>
      <c r="W615" s="25"/>
      <c r="X615" s="25"/>
    </row>
    <row r="616" spans="1:24" ht="15" customHeight="1" x14ac:dyDescent="0.25">
      <c r="A616" s="48"/>
      <c r="B616" s="49"/>
      <c r="C616" s="48"/>
      <c r="D616" s="48"/>
      <c r="E616" s="53"/>
      <c r="F616" s="46"/>
      <c r="G616" s="46"/>
      <c r="H616" s="46"/>
      <c r="I616" s="46"/>
      <c r="J616" s="46"/>
      <c r="K616" s="46"/>
      <c r="L616" s="46"/>
      <c r="M616" s="48"/>
      <c r="N616" s="48"/>
      <c r="O616" s="49"/>
      <c r="P616" s="48"/>
      <c r="Q616" s="48"/>
      <c r="R616" s="48"/>
      <c r="S616" s="46"/>
      <c r="T616" s="48"/>
      <c r="U616" s="48"/>
      <c r="V616" s="25"/>
      <c r="W616" s="25"/>
      <c r="X616" s="25"/>
    </row>
    <row r="617" spans="1:24" ht="15" customHeight="1" x14ac:dyDescent="0.25">
      <c r="A617" s="48"/>
      <c r="B617" s="49"/>
      <c r="C617" s="48"/>
      <c r="D617" s="48"/>
      <c r="E617" s="53"/>
      <c r="F617" s="46"/>
      <c r="G617" s="46"/>
      <c r="H617" s="46"/>
      <c r="I617" s="46"/>
      <c r="J617" s="46"/>
      <c r="K617" s="46"/>
      <c r="L617" s="46"/>
      <c r="M617" s="48"/>
      <c r="N617" s="48"/>
      <c r="O617" s="49"/>
      <c r="P617" s="48"/>
      <c r="Q617" s="48"/>
      <c r="R617" s="48"/>
      <c r="S617" s="46"/>
      <c r="T617" s="48"/>
      <c r="U617" s="48"/>
      <c r="V617" s="25"/>
      <c r="W617" s="25"/>
      <c r="X617" s="25"/>
    </row>
    <row r="618" spans="1:24" ht="15" customHeight="1" x14ac:dyDescent="0.25">
      <c r="A618" s="48"/>
      <c r="B618" s="49"/>
      <c r="C618" s="48"/>
      <c r="D618" s="48"/>
      <c r="E618" s="53"/>
      <c r="F618" s="46"/>
      <c r="G618" s="46"/>
      <c r="H618" s="46"/>
      <c r="I618" s="46"/>
      <c r="J618" s="46"/>
      <c r="K618" s="46"/>
      <c r="L618" s="46"/>
      <c r="M618" s="48"/>
      <c r="N618" s="48"/>
      <c r="O618" s="49"/>
      <c r="P618" s="48"/>
      <c r="Q618" s="48"/>
      <c r="R618" s="48"/>
      <c r="S618" s="46"/>
      <c r="T618" s="48"/>
      <c r="U618" s="48"/>
      <c r="V618" s="25"/>
      <c r="W618" s="25"/>
      <c r="X618" s="25"/>
    </row>
    <row r="619" spans="1:24" ht="15" customHeight="1" x14ac:dyDescent="0.25">
      <c r="A619" s="48"/>
      <c r="B619" s="49"/>
      <c r="C619" s="48"/>
      <c r="D619" s="48"/>
      <c r="E619" s="53"/>
      <c r="F619" s="46"/>
      <c r="G619" s="46"/>
      <c r="H619" s="46"/>
      <c r="I619" s="46"/>
      <c r="J619" s="46"/>
      <c r="K619" s="46"/>
      <c r="L619" s="46"/>
      <c r="M619" s="48"/>
      <c r="N619" s="48"/>
      <c r="O619" s="49"/>
      <c r="P619" s="48"/>
      <c r="Q619" s="48"/>
      <c r="R619" s="48"/>
      <c r="S619" s="46"/>
      <c r="T619" s="48"/>
      <c r="U619" s="48"/>
      <c r="V619" s="25"/>
      <c r="W619" s="25"/>
      <c r="X619" s="25"/>
    </row>
    <row r="620" spans="1:24" ht="15" customHeight="1" x14ac:dyDescent="0.25">
      <c r="A620" s="48"/>
      <c r="B620" s="49"/>
      <c r="C620" s="48"/>
      <c r="D620" s="48"/>
      <c r="E620" s="53"/>
      <c r="F620" s="46"/>
      <c r="G620" s="46"/>
      <c r="H620" s="46"/>
      <c r="I620" s="46"/>
      <c r="J620" s="46"/>
      <c r="K620" s="46"/>
      <c r="L620" s="46"/>
      <c r="M620" s="48"/>
      <c r="N620" s="48"/>
      <c r="O620" s="49"/>
      <c r="P620" s="48"/>
      <c r="Q620" s="48"/>
      <c r="R620" s="48"/>
      <c r="S620" s="46"/>
      <c r="T620" s="48"/>
      <c r="U620" s="48"/>
      <c r="V620" s="25"/>
      <c r="W620" s="25"/>
      <c r="X620" s="25"/>
    </row>
    <row r="621" spans="1:24" ht="15" customHeight="1" x14ac:dyDescent="0.25">
      <c r="A621" s="48"/>
      <c r="B621" s="49"/>
      <c r="C621" s="48"/>
      <c r="D621" s="48"/>
      <c r="E621" s="53"/>
      <c r="F621" s="46"/>
      <c r="G621" s="46"/>
      <c r="H621" s="46"/>
      <c r="I621" s="46"/>
      <c r="J621" s="46"/>
      <c r="K621" s="46"/>
      <c r="L621" s="46"/>
      <c r="M621" s="48"/>
      <c r="N621" s="48"/>
      <c r="O621" s="49"/>
      <c r="P621" s="48"/>
      <c r="Q621" s="48"/>
      <c r="R621" s="48"/>
      <c r="S621" s="46"/>
      <c r="T621" s="48"/>
      <c r="U621" s="48"/>
      <c r="V621" s="25"/>
      <c r="W621" s="25"/>
      <c r="X621" s="25"/>
    </row>
    <row r="622" spans="1:24" ht="15" customHeight="1" x14ac:dyDescent="0.25">
      <c r="A622" s="48"/>
      <c r="B622" s="49"/>
      <c r="C622" s="48"/>
      <c r="D622" s="48"/>
      <c r="E622" s="53"/>
      <c r="F622" s="46"/>
      <c r="G622" s="46"/>
      <c r="H622" s="46"/>
      <c r="I622" s="46"/>
      <c r="J622" s="46"/>
      <c r="K622" s="46"/>
      <c r="L622" s="46"/>
      <c r="M622" s="48"/>
      <c r="N622" s="48"/>
      <c r="O622" s="49"/>
      <c r="P622" s="48"/>
      <c r="Q622" s="48"/>
      <c r="R622" s="48"/>
      <c r="S622" s="46"/>
      <c r="T622" s="48"/>
      <c r="U622" s="48"/>
      <c r="V622" s="25"/>
      <c r="W622" s="25"/>
      <c r="X622" s="25"/>
    </row>
    <row r="623" spans="1:24" ht="15" customHeight="1" x14ac:dyDescent="0.25">
      <c r="A623" s="48"/>
      <c r="B623" s="49"/>
      <c r="C623" s="48"/>
      <c r="D623" s="48"/>
      <c r="E623" s="53"/>
      <c r="F623" s="46"/>
      <c r="G623" s="46"/>
      <c r="H623" s="46"/>
      <c r="I623" s="46"/>
      <c r="J623" s="46"/>
      <c r="K623" s="46"/>
      <c r="L623" s="46"/>
      <c r="M623" s="48"/>
      <c r="N623" s="48"/>
      <c r="O623" s="49"/>
      <c r="P623" s="48"/>
      <c r="Q623" s="48"/>
      <c r="R623" s="48"/>
      <c r="S623" s="46"/>
      <c r="T623" s="48"/>
      <c r="U623" s="48"/>
      <c r="V623" s="25"/>
      <c r="W623" s="25"/>
      <c r="X623" s="25"/>
    </row>
    <row r="624" spans="1:24" ht="15" customHeight="1" x14ac:dyDescent="0.25">
      <c r="A624" s="48"/>
      <c r="B624" s="49"/>
      <c r="C624" s="48"/>
      <c r="D624" s="48"/>
      <c r="E624" s="53"/>
      <c r="F624" s="46"/>
      <c r="G624" s="46"/>
      <c r="H624" s="46"/>
      <c r="I624" s="46"/>
      <c r="J624" s="46"/>
      <c r="K624" s="46"/>
      <c r="L624" s="46"/>
      <c r="M624" s="48"/>
      <c r="N624" s="48"/>
      <c r="O624" s="49"/>
      <c r="P624" s="48"/>
      <c r="Q624" s="48"/>
      <c r="R624" s="48"/>
      <c r="S624" s="46"/>
      <c r="T624" s="48"/>
      <c r="U624" s="48"/>
      <c r="V624" s="25"/>
      <c r="W624" s="25"/>
      <c r="X624" s="25"/>
    </row>
    <row r="625" spans="1:24" ht="15" customHeight="1" x14ac:dyDescent="0.25">
      <c r="A625" s="48"/>
      <c r="B625" s="49"/>
      <c r="C625" s="48"/>
      <c r="D625" s="48"/>
      <c r="E625" s="53"/>
      <c r="F625" s="46"/>
      <c r="G625" s="46"/>
      <c r="H625" s="46"/>
      <c r="I625" s="46"/>
      <c r="J625" s="46"/>
      <c r="K625" s="46"/>
      <c r="L625" s="46"/>
      <c r="M625" s="48"/>
      <c r="N625" s="48"/>
      <c r="O625" s="49"/>
      <c r="P625" s="48"/>
      <c r="Q625" s="48"/>
      <c r="R625" s="48"/>
      <c r="S625" s="46"/>
      <c r="T625" s="48"/>
      <c r="U625" s="48"/>
      <c r="V625" s="25"/>
      <c r="W625" s="25"/>
      <c r="X625" s="25"/>
    </row>
    <row r="626" spans="1:24" ht="15" customHeight="1" x14ac:dyDescent="0.25">
      <c r="A626" s="48"/>
      <c r="B626" s="49"/>
      <c r="C626" s="48"/>
      <c r="D626" s="48"/>
      <c r="E626" s="53"/>
      <c r="F626" s="46"/>
      <c r="G626" s="46"/>
      <c r="H626" s="46"/>
      <c r="I626" s="46"/>
      <c r="J626" s="46"/>
      <c r="K626" s="46"/>
      <c r="L626" s="46"/>
      <c r="M626" s="48"/>
      <c r="N626" s="48"/>
      <c r="O626" s="49"/>
      <c r="P626" s="48"/>
      <c r="Q626" s="48"/>
      <c r="R626" s="48"/>
      <c r="S626" s="46"/>
      <c r="T626" s="48"/>
      <c r="U626" s="48"/>
      <c r="V626" s="25"/>
      <c r="W626" s="25"/>
      <c r="X626" s="25"/>
    </row>
    <row r="627" spans="1:24" ht="15" customHeight="1" x14ac:dyDescent="0.25">
      <c r="A627" s="48"/>
      <c r="B627" s="49"/>
      <c r="C627" s="48"/>
      <c r="D627" s="48"/>
      <c r="E627" s="53"/>
      <c r="F627" s="46"/>
      <c r="G627" s="46"/>
      <c r="H627" s="46"/>
      <c r="I627" s="46"/>
      <c r="J627" s="46"/>
      <c r="K627" s="46"/>
      <c r="L627" s="46"/>
      <c r="M627" s="48"/>
      <c r="N627" s="48"/>
      <c r="O627" s="49"/>
      <c r="P627" s="48"/>
      <c r="Q627" s="48"/>
      <c r="R627" s="48"/>
      <c r="S627" s="46"/>
      <c r="T627" s="48"/>
      <c r="U627" s="48"/>
      <c r="V627" s="25"/>
      <c r="W627" s="25"/>
      <c r="X627" s="25"/>
    </row>
    <row r="628" spans="1:24" ht="15" customHeight="1" x14ac:dyDescent="0.25">
      <c r="A628" s="48"/>
      <c r="B628" s="49"/>
      <c r="C628" s="48"/>
      <c r="D628" s="48"/>
      <c r="E628" s="53"/>
      <c r="F628" s="46"/>
      <c r="G628" s="46"/>
      <c r="H628" s="46"/>
      <c r="I628" s="46"/>
      <c r="J628" s="46"/>
      <c r="K628" s="46"/>
      <c r="L628" s="46"/>
      <c r="M628" s="48"/>
      <c r="N628" s="48"/>
      <c r="O628" s="49"/>
      <c r="P628" s="48"/>
      <c r="Q628" s="48"/>
      <c r="R628" s="48"/>
      <c r="S628" s="46"/>
      <c r="T628" s="48"/>
      <c r="U628" s="48"/>
      <c r="V628" s="25"/>
      <c r="W628" s="25"/>
      <c r="X628" s="25"/>
    </row>
    <row r="629" spans="1:24" ht="15" customHeight="1" x14ac:dyDescent="0.25">
      <c r="A629" s="48"/>
      <c r="B629" s="49"/>
      <c r="C629" s="48"/>
      <c r="D629" s="48"/>
      <c r="E629" s="53"/>
      <c r="F629" s="46"/>
      <c r="G629" s="46"/>
      <c r="H629" s="46"/>
      <c r="I629" s="46"/>
      <c r="J629" s="46"/>
      <c r="K629" s="46"/>
      <c r="L629" s="46"/>
      <c r="M629" s="48"/>
      <c r="N629" s="48"/>
      <c r="O629" s="49"/>
      <c r="P629" s="48"/>
      <c r="Q629" s="48"/>
      <c r="R629" s="48"/>
      <c r="S629" s="46"/>
      <c r="T629" s="48"/>
      <c r="U629" s="48"/>
      <c r="V629" s="25"/>
      <c r="W629" s="25"/>
      <c r="X629" s="25"/>
    </row>
    <row r="630" spans="1:24" ht="15" customHeight="1" x14ac:dyDescent="0.25">
      <c r="A630" s="48"/>
      <c r="B630" s="49"/>
      <c r="C630" s="48"/>
      <c r="D630" s="48"/>
      <c r="E630" s="53"/>
      <c r="F630" s="46"/>
      <c r="G630" s="46"/>
      <c r="H630" s="46"/>
      <c r="I630" s="46"/>
      <c r="J630" s="46"/>
      <c r="K630" s="46"/>
      <c r="L630" s="46"/>
      <c r="M630" s="48"/>
      <c r="N630" s="48"/>
      <c r="O630" s="49"/>
      <c r="P630" s="48"/>
      <c r="Q630" s="48"/>
      <c r="R630" s="48"/>
      <c r="S630" s="46"/>
      <c r="T630" s="48"/>
      <c r="U630" s="48"/>
      <c r="V630" s="25"/>
      <c r="W630" s="25"/>
      <c r="X630" s="25"/>
    </row>
    <row r="631" spans="1:24" ht="15" customHeight="1" x14ac:dyDescent="0.25">
      <c r="A631" s="48"/>
      <c r="B631" s="49"/>
      <c r="C631" s="48"/>
      <c r="D631" s="48"/>
      <c r="E631" s="53"/>
      <c r="F631" s="46"/>
      <c r="G631" s="46"/>
      <c r="H631" s="46"/>
      <c r="I631" s="46"/>
      <c r="J631" s="46"/>
      <c r="K631" s="46"/>
      <c r="L631" s="46"/>
      <c r="M631" s="48"/>
      <c r="N631" s="48"/>
      <c r="O631" s="49"/>
      <c r="P631" s="48"/>
      <c r="Q631" s="48"/>
      <c r="R631" s="48"/>
      <c r="S631" s="46"/>
      <c r="T631" s="48"/>
      <c r="U631" s="48"/>
      <c r="V631" s="25"/>
      <c r="W631" s="25"/>
      <c r="X631" s="25"/>
    </row>
    <row r="632" spans="1:24" ht="15" customHeight="1" x14ac:dyDescent="0.25">
      <c r="A632" s="48"/>
      <c r="B632" s="49"/>
      <c r="C632" s="48"/>
      <c r="D632" s="48"/>
      <c r="E632" s="53"/>
      <c r="F632" s="46"/>
      <c r="G632" s="46"/>
      <c r="H632" s="46"/>
      <c r="I632" s="46"/>
      <c r="J632" s="46"/>
      <c r="K632" s="46"/>
      <c r="L632" s="46"/>
      <c r="M632" s="48"/>
      <c r="N632" s="48"/>
      <c r="O632" s="49"/>
      <c r="P632" s="48"/>
      <c r="Q632" s="48"/>
      <c r="R632" s="48"/>
      <c r="S632" s="46"/>
      <c r="T632" s="48"/>
      <c r="U632" s="48"/>
      <c r="V632" s="25"/>
      <c r="W632" s="25"/>
      <c r="X632" s="25"/>
    </row>
    <row r="633" spans="1:24" ht="15" customHeight="1" x14ac:dyDescent="0.25">
      <c r="A633" s="48"/>
      <c r="B633" s="49"/>
      <c r="C633" s="48"/>
      <c r="D633" s="48"/>
      <c r="E633" s="53"/>
      <c r="F633" s="46"/>
      <c r="G633" s="46"/>
      <c r="H633" s="46"/>
      <c r="I633" s="46"/>
      <c r="J633" s="46"/>
      <c r="K633" s="46"/>
      <c r="L633" s="46"/>
      <c r="M633" s="48"/>
      <c r="N633" s="48"/>
      <c r="O633" s="49"/>
      <c r="P633" s="48"/>
      <c r="Q633" s="48"/>
      <c r="R633" s="48"/>
      <c r="S633" s="46"/>
      <c r="T633" s="48"/>
      <c r="U633" s="48"/>
      <c r="V633" s="25"/>
      <c r="W633" s="25"/>
      <c r="X633" s="25"/>
    </row>
    <row r="634" spans="1:24" ht="15" customHeight="1" x14ac:dyDescent="0.25">
      <c r="A634" s="48"/>
      <c r="B634" s="49"/>
      <c r="C634" s="48"/>
      <c r="D634" s="48"/>
      <c r="E634" s="53"/>
      <c r="F634" s="46"/>
      <c r="G634" s="46"/>
      <c r="H634" s="46"/>
      <c r="I634" s="46"/>
      <c r="J634" s="46"/>
      <c r="K634" s="46"/>
      <c r="L634" s="46"/>
      <c r="M634" s="48"/>
      <c r="N634" s="48"/>
      <c r="O634" s="49"/>
      <c r="P634" s="48"/>
      <c r="Q634" s="48"/>
      <c r="R634" s="48"/>
      <c r="S634" s="46"/>
      <c r="T634" s="48"/>
      <c r="U634" s="48"/>
      <c r="V634" s="25"/>
      <c r="W634" s="25"/>
      <c r="X634" s="25"/>
    </row>
    <row r="635" spans="1:24" ht="15" customHeight="1" x14ac:dyDescent="0.25">
      <c r="A635" s="48"/>
      <c r="B635" s="49"/>
      <c r="C635" s="48"/>
      <c r="D635" s="48"/>
      <c r="E635" s="53"/>
      <c r="F635" s="46"/>
      <c r="G635" s="46"/>
      <c r="H635" s="46"/>
      <c r="I635" s="46"/>
      <c r="J635" s="46"/>
      <c r="K635" s="46"/>
      <c r="L635" s="46"/>
      <c r="M635" s="48"/>
      <c r="N635" s="48"/>
      <c r="O635" s="49"/>
      <c r="P635" s="48"/>
      <c r="Q635" s="48"/>
      <c r="R635" s="48"/>
      <c r="S635" s="46"/>
      <c r="T635" s="48"/>
      <c r="U635" s="48"/>
      <c r="V635" s="25"/>
      <c r="W635" s="25"/>
      <c r="X635" s="25"/>
    </row>
    <row r="636" spans="1:24" ht="15" customHeight="1" x14ac:dyDescent="0.25">
      <c r="A636" s="48"/>
      <c r="B636" s="49"/>
      <c r="C636" s="48"/>
      <c r="D636" s="48"/>
      <c r="E636" s="53"/>
      <c r="F636" s="46"/>
      <c r="G636" s="46"/>
      <c r="H636" s="46"/>
      <c r="I636" s="46"/>
      <c r="J636" s="46"/>
      <c r="K636" s="46"/>
      <c r="L636" s="46"/>
      <c r="M636" s="48"/>
      <c r="N636" s="48"/>
      <c r="O636" s="49"/>
      <c r="P636" s="48"/>
      <c r="Q636" s="48"/>
      <c r="R636" s="48"/>
      <c r="S636" s="46"/>
      <c r="T636" s="48"/>
      <c r="U636" s="48"/>
      <c r="V636" s="25"/>
      <c r="W636" s="25"/>
      <c r="X636" s="25"/>
    </row>
    <row r="637" spans="1:24" ht="15" customHeight="1" x14ac:dyDescent="0.25">
      <c r="A637" s="48"/>
      <c r="B637" s="49"/>
      <c r="C637" s="48"/>
      <c r="D637" s="48"/>
      <c r="E637" s="53"/>
      <c r="F637" s="46"/>
      <c r="G637" s="46"/>
      <c r="H637" s="46"/>
      <c r="I637" s="46"/>
      <c r="J637" s="46"/>
      <c r="K637" s="46"/>
      <c r="L637" s="46"/>
      <c r="M637" s="48"/>
      <c r="N637" s="48"/>
      <c r="O637" s="49"/>
      <c r="P637" s="48"/>
      <c r="Q637" s="48"/>
      <c r="R637" s="48"/>
      <c r="S637" s="46"/>
      <c r="T637" s="48"/>
      <c r="U637" s="48"/>
      <c r="V637" s="25"/>
      <c r="W637" s="25"/>
      <c r="X637" s="25"/>
    </row>
    <row r="638" spans="1:24" ht="15" customHeight="1" x14ac:dyDescent="0.25">
      <c r="A638" s="48"/>
      <c r="B638" s="49"/>
      <c r="C638" s="48"/>
      <c r="D638" s="48"/>
      <c r="E638" s="53"/>
      <c r="F638" s="46"/>
      <c r="G638" s="46"/>
      <c r="H638" s="46"/>
      <c r="I638" s="46"/>
      <c r="J638" s="46"/>
      <c r="K638" s="46"/>
      <c r="L638" s="46"/>
      <c r="M638" s="48"/>
      <c r="N638" s="48"/>
      <c r="O638" s="49"/>
      <c r="P638" s="48"/>
      <c r="Q638" s="48"/>
      <c r="R638" s="48"/>
      <c r="S638" s="46"/>
      <c r="T638" s="48"/>
      <c r="U638" s="48"/>
      <c r="V638" s="25"/>
      <c r="W638" s="25"/>
      <c r="X638" s="25"/>
    </row>
    <row r="639" spans="1:24" ht="15" customHeight="1" x14ac:dyDescent="0.25">
      <c r="A639" s="48"/>
      <c r="B639" s="49"/>
      <c r="C639" s="48"/>
      <c r="D639" s="48"/>
      <c r="E639" s="53"/>
      <c r="F639" s="46"/>
      <c r="G639" s="46"/>
      <c r="H639" s="46"/>
      <c r="I639" s="46"/>
      <c r="J639" s="46"/>
      <c r="K639" s="46"/>
      <c r="L639" s="46"/>
      <c r="M639" s="48"/>
      <c r="N639" s="48"/>
      <c r="O639" s="49"/>
      <c r="P639" s="48"/>
      <c r="Q639" s="48"/>
      <c r="R639" s="48"/>
      <c r="S639" s="46"/>
      <c r="T639" s="48"/>
      <c r="U639" s="48"/>
      <c r="V639" s="25"/>
      <c r="W639" s="25"/>
      <c r="X639" s="25"/>
    </row>
    <row r="640" spans="1:24" ht="15" customHeight="1" x14ac:dyDescent="0.25">
      <c r="A640" s="48"/>
      <c r="B640" s="49"/>
      <c r="C640" s="48"/>
      <c r="D640" s="48"/>
      <c r="E640" s="53"/>
      <c r="F640" s="46"/>
      <c r="G640" s="46"/>
      <c r="H640" s="46"/>
      <c r="I640" s="46"/>
      <c r="J640" s="46"/>
      <c r="K640" s="46"/>
      <c r="L640" s="46"/>
      <c r="M640" s="48"/>
      <c r="N640" s="48"/>
      <c r="O640" s="49"/>
      <c r="P640" s="48"/>
      <c r="Q640" s="48"/>
      <c r="R640" s="48"/>
      <c r="S640" s="46"/>
      <c r="T640" s="48"/>
      <c r="U640" s="48"/>
      <c r="V640" s="25"/>
      <c r="W640" s="25"/>
      <c r="X640" s="25"/>
    </row>
    <row r="641" spans="1:24" ht="15" customHeight="1" x14ac:dyDescent="0.25">
      <c r="A641" s="48"/>
      <c r="B641" s="49"/>
      <c r="C641" s="48"/>
      <c r="D641" s="48"/>
      <c r="E641" s="53"/>
      <c r="F641" s="46"/>
      <c r="G641" s="46"/>
      <c r="H641" s="46"/>
      <c r="I641" s="46"/>
      <c r="J641" s="46"/>
      <c r="K641" s="46"/>
      <c r="L641" s="46"/>
      <c r="M641" s="48"/>
      <c r="N641" s="48"/>
      <c r="O641" s="49"/>
      <c r="P641" s="48"/>
      <c r="Q641" s="48"/>
      <c r="R641" s="48"/>
      <c r="S641" s="46"/>
      <c r="T641" s="48"/>
      <c r="U641" s="48"/>
      <c r="V641" s="25"/>
      <c r="W641" s="25"/>
      <c r="X641" s="25"/>
    </row>
    <row r="642" spans="1:24" ht="15" customHeight="1" x14ac:dyDescent="0.25">
      <c r="A642" s="48"/>
      <c r="B642" s="49"/>
      <c r="C642" s="48"/>
      <c r="D642" s="48"/>
      <c r="E642" s="53"/>
      <c r="F642" s="46"/>
      <c r="G642" s="46"/>
      <c r="H642" s="46"/>
      <c r="I642" s="46"/>
      <c r="J642" s="46"/>
      <c r="K642" s="46"/>
      <c r="L642" s="46"/>
      <c r="M642" s="48"/>
      <c r="N642" s="48"/>
      <c r="O642" s="49"/>
      <c r="P642" s="48"/>
      <c r="Q642" s="48"/>
      <c r="R642" s="48"/>
      <c r="S642" s="46"/>
      <c r="T642" s="48"/>
      <c r="U642" s="48"/>
      <c r="V642" s="25"/>
      <c r="W642" s="25"/>
      <c r="X642" s="25"/>
    </row>
    <row r="643" spans="1:24" ht="15" customHeight="1" x14ac:dyDescent="0.25">
      <c r="A643" s="48"/>
      <c r="B643" s="49"/>
      <c r="C643" s="48"/>
      <c r="D643" s="48"/>
      <c r="E643" s="53"/>
      <c r="F643" s="46"/>
      <c r="G643" s="46"/>
      <c r="H643" s="46"/>
      <c r="I643" s="46"/>
      <c r="J643" s="46"/>
      <c r="K643" s="46"/>
      <c r="L643" s="46"/>
      <c r="M643" s="48"/>
      <c r="N643" s="48"/>
      <c r="O643" s="49"/>
      <c r="P643" s="48"/>
      <c r="Q643" s="48"/>
      <c r="R643" s="48"/>
      <c r="S643" s="46"/>
      <c r="T643" s="48"/>
      <c r="U643" s="48"/>
      <c r="V643" s="25"/>
      <c r="W643" s="25"/>
      <c r="X643" s="25"/>
    </row>
    <row r="644" spans="1:24" ht="15" customHeight="1" x14ac:dyDescent="0.25">
      <c r="A644" s="48"/>
      <c r="B644" s="49"/>
      <c r="C644" s="48"/>
      <c r="D644" s="48"/>
      <c r="E644" s="53"/>
      <c r="F644" s="46"/>
      <c r="G644" s="46"/>
      <c r="H644" s="46"/>
      <c r="I644" s="46"/>
      <c r="J644" s="46"/>
      <c r="K644" s="46"/>
      <c r="L644" s="46"/>
      <c r="M644" s="48"/>
      <c r="N644" s="48"/>
      <c r="O644" s="49"/>
      <c r="P644" s="48"/>
      <c r="Q644" s="48"/>
      <c r="R644" s="48"/>
      <c r="S644" s="46"/>
      <c r="T644" s="48"/>
      <c r="U644" s="48"/>
      <c r="V644" s="25"/>
      <c r="W644" s="25"/>
      <c r="X644" s="25"/>
    </row>
    <row r="645" spans="1:24" ht="15" customHeight="1" x14ac:dyDescent="0.25">
      <c r="A645" s="48"/>
      <c r="B645" s="49"/>
      <c r="C645" s="48"/>
      <c r="D645" s="48"/>
      <c r="E645" s="53"/>
      <c r="F645" s="46"/>
      <c r="G645" s="46"/>
      <c r="H645" s="46"/>
      <c r="I645" s="46"/>
      <c r="J645" s="46"/>
      <c r="K645" s="46"/>
      <c r="L645" s="46"/>
      <c r="M645" s="48"/>
      <c r="N645" s="48"/>
      <c r="O645" s="49"/>
      <c r="P645" s="48"/>
      <c r="Q645" s="48"/>
      <c r="R645" s="48"/>
      <c r="S645" s="46"/>
      <c r="T645" s="48"/>
      <c r="U645" s="48"/>
      <c r="V645" s="25"/>
      <c r="W645" s="25"/>
      <c r="X645" s="25"/>
    </row>
    <row r="646" spans="1:24" ht="15" customHeight="1" x14ac:dyDescent="0.25">
      <c r="A646" s="48"/>
      <c r="B646" s="49"/>
      <c r="C646" s="48"/>
      <c r="D646" s="48"/>
      <c r="E646" s="53"/>
      <c r="F646" s="46"/>
      <c r="G646" s="46"/>
      <c r="H646" s="46"/>
      <c r="I646" s="46"/>
      <c r="J646" s="46"/>
      <c r="K646" s="46"/>
      <c r="L646" s="46"/>
      <c r="M646" s="48"/>
      <c r="N646" s="48"/>
      <c r="O646" s="49"/>
      <c r="P646" s="48"/>
      <c r="Q646" s="48"/>
      <c r="R646" s="48"/>
      <c r="S646" s="46"/>
      <c r="T646" s="48"/>
      <c r="U646" s="48"/>
      <c r="V646" s="25"/>
      <c r="W646" s="25"/>
      <c r="X646" s="25"/>
    </row>
    <row r="647" spans="1:24" ht="15" customHeight="1" x14ac:dyDescent="0.25">
      <c r="A647" s="48"/>
      <c r="B647" s="49"/>
      <c r="C647" s="48"/>
      <c r="D647" s="48"/>
      <c r="E647" s="53"/>
      <c r="F647" s="46"/>
      <c r="G647" s="46"/>
      <c r="H647" s="46"/>
      <c r="I647" s="46"/>
      <c r="J647" s="46"/>
      <c r="K647" s="46"/>
      <c r="L647" s="46"/>
      <c r="M647" s="48"/>
      <c r="N647" s="48"/>
      <c r="O647" s="49"/>
      <c r="P647" s="48"/>
      <c r="Q647" s="48"/>
      <c r="R647" s="48"/>
      <c r="S647" s="46"/>
      <c r="T647" s="48"/>
      <c r="U647" s="48"/>
      <c r="V647" s="25"/>
      <c r="W647" s="25"/>
      <c r="X647" s="25"/>
    </row>
    <row r="648" spans="1:24" ht="15" customHeight="1" x14ac:dyDescent="0.25">
      <c r="A648" s="48"/>
      <c r="B648" s="49"/>
      <c r="C648" s="48"/>
      <c r="D648" s="48"/>
      <c r="E648" s="53"/>
      <c r="F648" s="46"/>
      <c r="G648" s="46"/>
      <c r="H648" s="46"/>
      <c r="I648" s="46"/>
      <c r="J648" s="46"/>
      <c r="K648" s="46"/>
      <c r="L648" s="46"/>
      <c r="M648" s="48"/>
      <c r="N648" s="48"/>
      <c r="O648" s="49"/>
      <c r="P648" s="48"/>
      <c r="Q648" s="48"/>
      <c r="R648" s="48"/>
      <c r="S648" s="46"/>
      <c r="T648" s="48"/>
      <c r="U648" s="48"/>
      <c r="V648" s="25"/>
      <c r="W648" s="25"/>
      <c r="X648" s="25"/>
    </row>
    <row r="649" spans="1:24" ht="15" customHeight="1" x14ac:dyDescent="0.25">
      <c r="A649" s="48"/>
      <c r="B649" s="49"/>
      <c r="C649" s="48"/>
      <c r="D649" s="48"/>
      <c r="E649" s="53"/>
      <c r="F649" s="46"/>
      <c r="G649" s="46"/>
      <c r="H649" s="46"/>
      <c r="I649" s="46"/>
      <c r="J649" s="46"/>
      <c r="K649" s="46"/>
      <c r="L649" s="46"/>
      <c r="M649" s="48"/>
      <c r="N649" s="48"/>
      <c r="O649" s="49"/>
      <c r="P649" s="48"/>
      <c r="Q649" s="48"/>
      <c r="R649" s="48"/>
      <c r="S649" s="46"/>
      <c r="T649" s="48"/>
      <c r="U649" s="48"/>
      <c r="V649" s="25"/>
      <c r="W649" s="25"/>
      <c r="X649" s="25"/>
    </row>
    <row r="650" spans="1:24" ht="15" customHeight="1" x14ac:dyDescent="0.25">
      <c r="A650" s="48"/>
      <c r="B650" s="49"/>
      <c r="C650" s="48"/>
      <c r="D650" s="48"/>
      <c r="E650" s="53"/>
      <c r="F650" s="46"/>
      <c r="G650" s="46"/>
      <c r="H650" s="46"/>
      <c r="I650" s="46"/>
      <c r="J650" s="46"/>
      <c r="K650" s="46"/>
      <c r="L650" s="46"/>
      <c r="M650" s="48"/>
      <c r="N650" s="48"/>
      <c r="O650" s="49"/>
      <c r="P650" s="48"/>
      <c r="Q650" s="48"/>
      <c r="R650" s="48"/>
      <c r="S650" s="46"/>
      <c r="T650" s="48"/>
      <c r="U650" s="48"/>
      <c r="V650" s="25"/>
      <c r="W650" s="25"/>
      <c r="X650" s="25"/>
    </row>
    <row r="651" spans="1:24" ht="15" customHeight="1" x14ac:dyDescent="0.25">
      <c r="A651" s="48"/>
      <c r="B651" s="49"/>
      <c r="C651" s="48"/>
      <c r="D651" s="48"/>
      <c r="E651" s="53"/>
      <c r="F651" s="46"/>
      <c r="G651" s="46"/>
      <c r="H651" s="46"/>
      <c r="I651" s="46"/>
      <c r="J651" s="46"/>
      <c r="K651" s="46"/>
      <c r="L651" s="46"/>
      <c r="M651" s="48"/>
      <c r="N651" s="48"/>
      <c r="O651" s="49"/>
      <c r="P651" s="48"/>
      <c r="Q651" s="48"/>
      <c r="R651" s="48"/>
      <c r="S651" s="46"/>
      <c r="T651" s="48"/>
      <c r="U651" s="48"/>
      <c r="V651" s="25"/>
      <c r="W651" s="25"/>
      <c r="X651" s="25"/>
    </row>
    <row r="652" spans="1:24" ht="15" customHeight="1" x14ac:dyDescent="0.25">
      <c r="A652" s="48"/>
      <c r="B652" s="49"/>
      <c r="C652" s="48"/>
      <c r="D652" s="48"/>
      <c r="E652" s="53"/>
      <c r="F652" s="46"/>
      <c r="G652" s="46"/>
      <c r="H652" s="46"/>
      <c r="I652" s="46"/>
      <c r="J652" s="46"/>
      <c r="K652" s="46"/>
      <c r="L652" s="46"/>
      <c r="M652" s="48"/>
      <c r="N652" s="48"/>
      <c r="O652" s="49"/>
      <c r="P652" s="48"/>
      <c r="Q652" s="48"/>
      <c r="R652" s="48"/>
      <c r="S652" s="46"/>
      <c r="T652" s="48"/>
      <c r="U652" s="48"/>
      <c r="V652" s="25"/>
      <c r="W652" s="25"/>
      <c r="X652" s="25"/>
    </row>
    <row r="653" spans="1:24" ht="15" customHeight="1" x14ac:dyDescent="0.25">
      <c r="A653" s="48"/>
      <c r="B653" s="49"/>
      <c r="C653" s="48"/>
      <c r="D653" s="48"/>
      <c r="E653" s="53"/>
      <c r="F653" s="46"/>
      <c r="G653" s="46"/>
      <c r="H653" s="46"/>
      <c r="I653" s="46"/>
      <c r="J653" s="46"/>
      <c r="K653" s="46"/>
      <c r="L653" s="46"/>
      <c r="M653" s="48"/>
      <c r="N653" s="48"/>
      <c r="O653" s="49"/>
      <c r="P653" s="48"/>
      <c r="Q653" s="48"/>
      <c r="R653" s="48"/>
      <c r="S653" s="46"/>
      <c r="T653" s="48"/>
      <c r="U653" s="48"/>
      <c r="V653" s="25"/>
      <c r="W653" s="25"/>
      <c r="X653" s="25"/>
    </row>
    <row r="654" spans="1:24" ht="15" customHeight="1" x14ac:dyDescent="0.25">
      <c r="A654" s="48"/>
      <c r="B654" s="49"/>
      <c r="C654" s="48"/>
      <c r="D654" s="48"/>
      <c r="E654" s="53"/>
      <c r="F654" s="46"/>
      <c r="G654" s="46"/>
      <c r="H654" s="46"/>
      <c r="I654" s="46"/>
      <c r="J654" s="46"/>
      <c r="K654" s="46"/>
      <c r="L654" s="46"/>
      <c r="M654" s="48"/>
      <c r="N654" s="48"/>
      <c r="O654" s="49"/>
      <c r="P654" s="48"/>
      <c r="Q654" s="48"/>
      <c r="R654" s="48"/>
      <c r="S654" s="46"/>
      <c r="T654" s="48"/>
      <c r="U654" s="48"/>
      <c r="V654" s="25"/>
      <c r="W654" s="25"/>
      <c r="X654" s="25"/>
    </row>
    <row r="655" spans="1:24" ht="15" customHeight="1" x14ac:dyDescent="0.25">
      <c r="A655" s="48"/>
      <c r="B655" s="49"/>
      <c r="C655" s="48"/>
      <c r="D655" s="48"/>
      <c r="E655" s="53"/>
      <c r="F655" s="46"/>
      <c r="G655" s="46"/>
      <c r="H655" s="46"/>
      <c r="I655" s="46"/>
      <c r="J655" s="46"/>
      <c r="K655" s="46"/>
      <c r="L655" s="46"/>
      <c r="M655" s="48"/>
      <c r="N655" s="48"/>
      <c r="O655" s="49"/>
      <c r="P655" s="48"/>
      <c r="Q655" s="48"/>
      <c r="R655" s="48"/>
      <c r="S655" s="46"/>
      <c r="T655" s="48"/>
      <c r="U655" s="48"/>
      <c r="V655" s="25"/>
      <c r="W655" s="25"/>
      <c r="X655" s="25"/>
    </row>
    <row r="656" spans="1:24" ht="15" customHeight="1" x14ac:dyDescent="0.25">
      <c r="A656" s="48"/>
      <c r="B656" s="49"/>
      <c r="C656" s="48"/>
      <c r="D656" s="48"/>
      <c r="E656" s="53"/>
      <c r="F656" s="46"/>
      <c r="G656" s="46"/>
      <c r="H656" s="46"/>
      <c r="I656" s="46"/>
      <c r="J656" s="46"/>
      <c r="K656" s="46"/>
      <c r="L656" s="46"/>
      <c r="M656" s="48"/>
      <c r="N656" s="48"/>
      <c r="O656" s="49"/>
      <c r="P656" s="48"/>
      <c r="Q656" s="48"/>
      <c r="R656" s="48"/>
      <c r="S656" s="46"/>
      <c r="T656" s="48"/>
      <c r="U656" s="48"/>
      <c r="V656" s="25"/>
      <c r="W656" s="25"/>
      <c r="X656" s="25"/>
    </row>
    <row r="657" spans="1:24" ht="15" customHeight="1" x14ac:dyDescent="0.25">
      <c r="A657" s="48"/>
      <c r="B657" s="49"/>
      <c r="C657" s="48"/>
      <c r="D657" s="48"/>
      <c r="E657" s="53"/>
      <c r="F657" s="46"/>
      <c r="G657" s="46"/>
      <c r="H657" s="46"/>
      <c r="I657" s="46"/>
      <c r="J657" s="46"/>
      <c r="K657" s="46"/>
      <c r="L657" s="46"/>
      <c r="M657" s="48"/>
      <c r="N657" s="48"/>
      <c r="O657" s="49"/>
      <c r="P657" s="48"/>
      <c r="Q657" s="48"/>
      <c r="R657" s="48"/>
      <c r="S657" s="46"/>
      <c r="T657" s="48"/>
      <c r="U657" s="48"/>
      <c r="V657" s="25"/>
      <c r="W657" s="25"/>
      <c r="X657" s="25"/>
    </row>
    <row r="658" spans="1:24" ht="15" customHeight="1" x14ac:dyDescent="0.25">
      <c r="A658" s="48"/>
      <c r="B658" s="49"/>
      <c r="C658" s="48"/>
      <c r="D658" s="48"/>
      <c r="E658" s="53"/>
      <c r="F658" s="46"/>
      <c r="G658" s="46"/>
      <c r="H658" s="46"/>
      <c r="I658" s="46"/>
      <c r="J658" s="46"/>
      <c r="K658" s="46"/>
      <c r="L658" s="46"/>
      <c r="M658" s="48"/>
      <c r="N658" s="48"/>
      <c r="O658" s="49"/>
      <c r="P658" s="48"/>
      <c r="Q658" s="48"/>
      <c r="R658" s="48"/>
      <c r="S658" s="46"/>
      <c r="T658" s="48"/>
      <c r="U658" s="48"/>
      <c r="V658" s="25"/>
      <c r="W658" s="25"/>
      <c r="X658" s="25"/>
    </row>
    <row r="659" spans="1:24" ht="15" customHeight="1" x14ac:dyDescent="0.25">
      <c r="A659" s="48"/>
      <c r="B659" s="49"/>
      <c r="C659" s="48"/>
      <c r="D659" s="48"/>
      <c r="E659" s="53"/>
      <c r="F659" s="46"/>
      <c r="G659" s="46"/>
      <c r="H659" s="46"/>
      <c r="I659" s="46"/>
      <c r="J659" s="46"/>
      <c r="K659" s="46"/>
      <c r="L659" s="46"/>
      <c r="M659" s="48"/>
      <c r="N659" s="48"/>
      <c r="O659" s="49"/>
      <c r="P659" s="48"/>
      <c r="Q659" s="48"/>
      <c r="R659" s="48"/>
      <c r="S659" s="46"/>
      <c r="T659" s="48"/>
      <c r="U659" s="48"/>
      <c r="V659" s="25"/>
      <c r="W659" s="25"/>
      <c r="X659" s="25"/>
    </row>
    <row r="660" spans="1:24" ht="15" customHeight="1" x14ac:dyDescent="0.25">
      <c r="A660" s="48"/>
      <c r="B660" s="49"/>
      <c r="C660" s="48"/>
      <c r="D660" s="48"/>
      <c r="E660" s="53"/>
      <c r="F660" s="46"/>
      <c r="G660" s="46"/>
      <c r="H660" s="46"/>
      <c r="I660" s="46"/>
      <c r="J660" s="46"/>
      <c r="K660" s="46"/>
      <c r="L660" s="46"/>
      <c r="M660" s="48"/>
      <c r="N660" s="48"/>
      <c r="O660" s="49"/>
      <c r="P660" s="48"/>
      <c r="Q660" s="48"/>
      <c r="R660" s="48"/>
      <c r="S660" s="46"/>
      <c r="T660" s="48"/>
      <c r="U660" s="48"/>
      <c r="V660" s="25"/>
      <c r="W660" s="25"/>
      <c r="X660" s="25"/>
    </row>
    <row r="661" spans="1:24" ht="15" customHeight="1" x14ac:dyDescent="0.25">
      <c r="A661" s="48"/>
      <c r="B661" s="49"/>
      <c r="C661" s="48"/>
      <c r="D661" s="48"/>
      <c r="E661" s="53"/>
      <c r="F661" s="46"/>
      <c r="G661" s="46"/>
      <c r="H661" s="46"/>
      <c r="I661" s="46"/>
      <c r="J661" s="46"/>
      <c r="K661" s="46"/>
      <c r="L661" s="46"/>
      <c r="M661" s="48"/>
      <c r="N661" s="48"/>
      <c r="O661" s="49"/>
      <c r="P661" s="48"/>
      <c r="Q661" s="48"/>
      <c r="R661" s="48"/>
      <c r="S661" s="46"/>
      <c r="T661" s="48"/>
      <c r="U661" s="48"/>
      <c r="V661" s="25"/>
      <c r="W661" s="25"/>
      <c r="X661" s="25"/>
    </row>
    <row r="662" spans="1:24" ht="15" customHeight="1" x14ac:dyDescent="0.25">
      <c r="A662" s="48"/>
      <c r="B662" s="49"/>
      <c r="C662" s="48"/>
      <c r="D662" s="48"/>
      <c r="E662" s="53"/>
      <c r="F662" s="46"/>
      <c r="G662" s="46"/>
      <c r="H662" s="46"/>
      <c r="I662" s="46"/>
      <c r="J662" s="46"/>
      <c r="K662" s="46"/>
      <c r="L662" s="46"/>
      <c r="M662" s="48"/>
      <c r="N662" s="48"/>
      <c r="O662" s="49"/>
      <c r="P662" s="48"/>
      <c r="Q662" s="48"/>
      <c r="R662" s="48"/>
      <c r="S662" s="46"/>
      <c r="T662" s="48"/>
      <c r="U662" s="48"/>
      <c r="V662" s="25"/>
      <c r="W662" s="25"/>
      <c r="X662" s="25"/>
    </row>
    <row r="663" spans="1:24" ht="15" customHeight="1" x14ac:dyDescent="0.25">
      <c r="A663" s="48"/>
      <c r="B663" s="49"/>
      <c r="C663" s="48"/>
      <c r="D663" s="48"/>
      <c r="E663" s="53"/>
      <c r="F663" s="46"/>
      <c r="G663" s="46"/>
      <c r="H663" s="46"/>
      <c r="I663" s="46"/>
      <c r="J663" s="46"/>
      <c r="K663" s="46"/>
      <c r="L663" s="46"/>
      <c r="M663" s="48"/>
      <c r="N663" s="48"/>
      <c r="O663" s="49"/>
      <c r="P663" s="48"/>
      <c r="Q663" s="48"/>
      <c r="R663" s="48"/>
      <c r="S663" s="46"/>
      <c r="T663" s="48"/>
      <c r="U663" s="48"/>
      <c r="V663" s="25"/>
      <c r="W663" s="25"/>
      <c r="X663" s="25"/>
    </row>
    <row r="664" spans="1:24" ht="15" customHeight="1" x14ac:dyDescent="0.25">
      <c r="A664" s="48"/>
      <c r="B664" s="49"/>
      <c r="C664" s="48"/>
      <c r="D664" s="48"/>
      <c r="E664" s="53"/>
      <c r="F664" s="46"/>
      <c r="G664" s="46"/>
      <c r="H664" s="46"/>
      <c r="I664" s="46"/>
      <c r="J664" s="46"/>
      <c r="K664" s="46"/>
      <c r="L664" s="46"/>
      <c r="M664" s="48"/>
      <c r="N664" s="48"/>
      <c r="O664" s="49"/>
      <c r="P664" s="48"/>
      <c r="Q664" s="48"/>
      <c r="R664" s="48"/>
      <c r="S664" s="46"/>
      <c r="T664" s="48"/>
      <c r="U664" s="48"/>
      <c r="V664" s="25"/>
      <c r="W664" s="25"/>
      <c r="X664" s="25"/>
    </row>
    <row r="665" spans="1:24" ht="15" customHeight="1" x14ac:dyDescent="0.25">
      <c r="A665" s="48"/>
      <c r="B665" s="49"/>
      <c r="C665" s="48"/>
      <c r="D665" s="48"/>
      <c r="E665" s="53"/>
      <c r="F665" s="46"/>
      <c r="G665" s="46"/>
      <c r="H665" s="46"/>
      <c r="I665" s="46"/>
      <c r="J665" s="46"/>
      <c r="K665" s="46"/>
      <c r="L665" s="46"/>
      <c r="M665" s="48"/>
      <c r="N665" s="48"/>
      <c r="O665" s="49"/>
      <c r="P665" s="48"/>
      <c r="Q665" s="48"/>
      <c r="R665" s="48"/>
      <c r="S665" s="46"/>
      <c r="T665" s="48"/>
      <c r="U665" s="48"/>
      <c r="V665" s="25"/>
      <c r="W665" s="25"/>
      <c r="X665" s="25"/>
    </row>
    <row r="666" spans="1:24" ht="15" customHeight="1" x14ac:dyDescent="0.25">
      <c r="A666" s="48"/>
      <c r="B666" s="49"/>
      <c r="C666" s="48"/>
      <c r="D666" s="48"/>
      <c r="E666" s="53"/>
      <c r="F666" s="46"/>
      <c r="G666" s="46"/>
      <c r="H666" s="46"/>
      <c r="I666" s="46"/>
      <c r="J666" s="46"/>
      <c r="K666" s="46"/>
      <c r="L666" s="46"/>
      <c r="M666" s="48"/>
      <c r="N666" s="48"/>
      <c r="O666" s="49"/>
      <c r="P666" s="48"/>
      <c r="Q666" s="48"/>
      <c r="R666" s="48"/>
      <c r="S666" s="46"/>
      <c r="T666" s="48"/>
      <c r="U666" s="48"/>
      <c r="V666" s="25"/>
      <c r="W666" s="25"/>
      <c r="X666" s="25"/>
    </row>
    <row r="667" spans="1:24" ht="15" customHeight="1" x14ac:dyDescent="0.25">
      <c r="A667" s="48"/>
      <c r="B667" s="49"/>
      <c r="C667" s="48"/>
      <c r="D667" s="48"/>
      <c r="E667" s="53"/>
      <c r="F667" s="46"/>
      <c r="G667" s="46"/>
      <c r="H667" s="46"/>
      <c r="I667" s="46"/>
      <c r="J667" s="46"/>
      <c r="K667" s="46"/>
      <c r="L667" s="46"/>
      <c r="M667" s="48"/>
      <c r="N667" s="48"/>
      <c r="O667" s="49"/>
      <c r="P667" s="48"/>
      <c r="Q667" s="48"/>
      <c r="R667" s="48"/>
      <c r="S667" s="46"/>
      <c r="T667" s="48"/>
      <c r="U667" s="48"/>
      <c r="V667" s="25"/>
      <c r="W667" s="25"/>
      <c r="X667" s="25"/>
    </row>
    <row r="668" spans="1:24" ht="15" customHeight="1" x14ac:dyDescent="0.25">
      <c r="A668" s="48"/>
      <c r="B668" s="49"/>
      <c r="C668" s="48"/>
      <c r="D668" s="48"/>
      <c r="E668" s="53"/>
      <c r="F668" s="46"/>
      <c r="G668" s="46"/>
      <c r="H668" s="46"/>
      <c r="I668" s="46"/>
      <c r="J668" s="46"/>
      <c r="K668" s="46"/>
      <c r="L668" s="46"/>
      <c r="M668" s="48"/>
      <c r="N668" s="48"/>
      <c r="O668" s="49"/>
      <c r="P668" s="48"/>
      <c r="Q668" s="48"/>
      <c r="R668" s="48"/>
      <c r="S668" s="46"/>
      <c r="T668" s="48"/>
      <c r="U668" s="48"/>
      <c r="V668" s="25"/>
      <c r="W668" s="25"/>
      <c r="X668" s="25"/>
    </row>
    <row r="669" spans="1:24" ht="15" customHeight="1" x14ac:dyDescent="0.25">
      <c r="A669" s="48"/>
      <c r="B669" s="49"/>
      <c r="C669" s="48"/>
      <c r="D669" s="48"/>
      <c r="E669" s="53"/>
      <c r="F669" s="46"/>
      <c r="G669" s="46"/>
      <c r="H669" s="46"/>
      <c r="I669" s="46"/>
      <c r="J669" s="46"/>
      <c r="K669" s="46"/>
      <c r="L669" s="46"/>
      <c r="M669" s="48"/>
      <c r="N669" s="48"/>
      <c r="O669" s="49"/>
      <c r="P669" s="48"/>
      <c r="Q669" s="48"/>
      <c r="R669" s="48"/>
      <c r="S669" s="46"/>
      <c r="T669" s="48"/>
      <c r="U669" s="48"/>
      <c r="V669" s="25"/>
      <c r="W669" s="25"/>
      <c r="X669" s="25"/>
    </row>
    <row r="670" spans="1:24" ht="15" customHeight="1" x14ac:dyDescent="0.25">
      <c r="A670" s="48"/>
      <c r="B670" s="49"/>
      <c r="C670" s="48"/>
      <c r="D670" s="48"/>
      <c r="E670" s="53"/>
      <c r="F670" s="46"/>
      <c r="G670" s="46"/>
      <c r="H670" s="46"/>
      <c r="I670" s="46"/>
      <c r="J670" s="46"/>
      <c r="K670" s="46"/>
      <c r="L670" s="46"/>
      <c r="M670" s="48"/>
      <c r="N670" s="48"/>
      <c r="O670" s="49"/>
      <c r="P670" s="48"/>
      <c r="Q670" s="48"/>
      <c r="R670" s="48"/>
      <c r="S670" s="46"/>
      <c r="T670" s="48"/>
      <c r="U670" s="48"/>
      <c r="V670" s="25"/>
      <c r="W670" s="25"/>
      <c r="X670" s="25"/>
    </row>
    <row r="671" spans="1:24" ht="15" customHeight="1" x14ac:dyDescent="0.25">
      <c r="A671" s="48"/>
      <c r="B671" s="49"/>
      <c r="C671" s="48"/>
      <c r="D671" s="48"/>
      <c r="E671" s="53"/>
      <c r="F671" s="46"/>
      <c r="G671" s="46"/>
      <c r="H671" s="46"/>
      <c r="I671" s="46"/>
      <c r="J671" s="46"/>
      <c r="K671" s="46"/>
      <c r="L671" s="46"/>
      <c r="M671" s="48"/>
      <c r="N671" s="48"/>
      <c r="O671" s="49"/>
      <c r="P671" s="48"/>
      <c r="Q671" s="48"/>
      <c r="R671" s="48"/>
      <c r="S671" s="46"/>
      <c r="T671" s="48"/>
      <c r="U671" s="48"/>
      <c r="V671" s="25"/>
      <c r="W671" s="25"/>
      <c r="X671" s="25"/>
    </row>
    <row r="672" spans="1:24" ht="15" customHeight="1" x14ac:dyDescent="0.25">
      <c r="A672" s="48"/>
      <c r="B672" s="49"/>
      <c r="C672" s="48"/>
      <c r="D672" s="48"/>
      <c r="E672" s="53"/>
      <c r="F672" s="46"/>
      <c r="G672" s="46"/>
      <c r="H672" s="46"/>
      <c r="I672" s="46"/>
      <c r="J672" s="46"/>
      <c r="K672" s="46"/>
      <c r="L672" s="46"/>
      <c r="M672" s="48"/>
      <c r="N672" s="48"/>
      <c r="O672" s="49"/>
      <c r="P672" s="48"/>
      <c r="Q672" s="48"/>
      <c r="R672" s="48"/>
      <c r="S672" s="46"/>
      <c r="T672" s="48"/>
      <c r="U672" s="48"/>
      <c r="V672" s="25"/>
      <c r="W672" s="25"/>
      <c r="X672" s="25"/>
    </row>
    <row r="673" spans="1:24" ht="15" customHeight="1" x14ac:dyDescent="0.25">
      <c r="A673" s="48"/>
      <c r="B673" s="49"/>
      <c r="C673" s="48"/>
      <c r="D673" s="48"/>
      <c r="E673" s="53"/>
      <c r="F673" s="46"/>
      <c r="G673" s="46"/>
      <c r="H673" s="46"/>
      <c r="I673" s="46"/>
      <c r="J673" s="46"/>
      <c r="K673" s="46"/>
      <c r="L673" s="46"/>
      <c r="M673" s="48"/>
      <c r="N673" s="48"/>
      <c r="O673" s="49"/>
      <c r="P673" s="48"/>
      <c r="Q673" s="48"/>
      <c r="R673" s="48"/>
      <c r="S673" s="46"/>
      <c r="T673" s="48"/>
      <c r="U673" s="48"/>
      <c r="V673" s="25"/>
      <c r="W673" s="25"/>
      <c r="X673" s="25"/>
    </row>
    <row r="674" spans="1:24" ht="15" customHeight="1" x14ac:dyDescent="0.25">
      <c r="A674" s="48"/>
      <c r="B674" s="49"/>
      <c r="C674" s="48"/>
      <c r="D674" s="48"/>
      <c r="E674" s="53"/>
      <c r="F674" s="46"/>
      <c r="G674" s="46"/>
      <c r="H674" s="46"/>
      <c r="I674" s="46"/>
      <c r="J674" s="46"/>
      <c r="K674" s="46"/>
      <c r="L674" s="46"/>
      <c r="M674" s="48"/>
      <c r="N674" s="48"/>
      <c r="O674" s="49"/>
      <c r="P674" s="48"/>
      <c r="Q674" s="48"/>
      <c r="R674" s="48"/>
      <c r="S674" s="46"/>
      <c r="T674" s="48"/>
      <c r="U674" s="48"/>
      <c r="V674" s="25"/>
      <c r="W674" s="25"/>
      <c r="X674" s="25"/>
    </row>
    <row r="675" spans="1:24" ht="15" customHeight="1" x14ac:dyDescent="0.25">
      <c r="A675" s="48"/>
      <c r="B675" s="49"/>
      <c r="C675" s="48"/>
      <c r="D675" s="48"/>
      <c r="E675" s="53"/>
      <c r="F675" s="46"/>
      <c r="G675" s="46"/>
      <c r="H675" s="46"/>
      <c r="I675" s="46"/>
      <c r="J675" s="46"/>
      <c r="K675" s="46"/>
      <c r="L675" s="46"/>
      <c r="M675" s="48"/>
      <c r="N675" s="48"/>
      <c r="O675" s="49"/>
      <c r="P675" s="48"/>
      <c r="Q675" s="48"/>
      <c r="R675" s="48"/>
      <c r="S675" s="46"/>
      <c r="T675" s="48"/>
      <c r="U675" s="48"/>
      <c r="V675" s="25"/>
      <c r="W675" s="25"/>
      <c r="X675" s="25"/>
    </row>
    <row r="676" spans="1:24" ht="15" customHeight="1" x14ac:dyDescent="0.25">
      <c r="A676" s="48"/>
      <c r="B676" s="49"/>
      <c r="C676" s="48"/>
      <c r="D676" s="48"/>
      <c r="E676" s="53"/>
      <c r="F676" s="46"/>
      <c r="G676" s="46"/>
      <c r="H676" s="46"/>
      <c r="I676" s="46"/>
      <c r="J676" s="46"/>
      <c r="K676" s="46"/>
      <c r="L676" s="46"/>
      <c r="M676" s="48"/>
      <c r="N676" s="48"/>
      <c r="O676" s="49"/>
      <c r="P676" s="48"/>
      <c r="Q676" s="48"/>
      <c r="R676" s="48"/>
      <c r="S676" s="46"/>
      <c r="T676" s="48"/>
      <c r="U676" s="48"/>
      <c r="V676" s="25"/>
      <c r="W676" s="25"/>
      <c r="X676" s="25"/>
    </row>
    <row r="677" spans="1:24" ht="15" customHeight="1" x14ac:dyDescent="0.25">
      <c r="A677" s="48"/>
      <c r="B677" s="49"/>
      <c r="C677" s="48"/>
      <c r="D677" s="48"/>
      <c r="E677" s="53"/>
      <c r="F677" s="46"/>
      <c r="G677" s="46"/>
      <c r="H677" s="46"/>
      <c r="I677" s="46"/>
      <c r="J677" s="46"/>
      <c r="K677" s="46"/>
      <c r="L677" s="46"/>
      <c r="M677" s="48"/>
      <c r="N677" s="48"/>
      <c r="O677" s="49"/>
      <c r="P677" s="48"/>
      <c r="Q677" s="48"/>
      <c r="R677" s="48"/>
      <c r="S677" s="46"/>
      <c r="T677" s="48"/>
      <c r="U677" s="48"/>
      <c r="V677" s="25"/>
      <c r="W677" s="25"/>
      <c r="X677" s="25"/>
    </row>
    <row r="678" spans="1:24" ht="15" customHeight="1" x14ac:dyDescent="0.25">
      <c r="A678" s="48"/>
      <c r="B678" s="49"/>
      <c r="C678" s="48"/>
      <c r="D678" s="48"/>
      <c r="E678" s="53"/>
      <c r="F678" s="46"/>
      <c r="G678" s="46"/>
      <c r="H678" s="46"/>
      <c r="I678" s="46"/>
      <c r="J678" s="46"/>
      <c r="K678" s="46"/>
      <c r="L678" s="46"/>
      <c r="M678" s="48"/>
      <c r="N678" s="48"/>
      <c r="O678" s="49"/>
      <c r="P678" s="48"/>
      <c r="Q678" s="48"/>
      <c r="R678" s="48"/>
      <c r="S678" s="46"/>
      <c r="T678" s="48"/>
      <c r="U678" s="48"/>
      <c r="V678" s="25"/>
      <c r="W678" s="25"/>
      <c r="X678" s="25"/>
    </row>
    <row r="679" spans="1:24" ht="15" customHeight="1" x14ac:dyDescent="0.25">
      <c r="A679" s="48"/>
      <c r="B679" s="49"/>
      <c r="C679" s="48"/>
      <c r="D679" s="48"/>
      <c r="E679" s="53"/>
      <c r="F679" s="46"/>
      <c r="G679" s="46"/>
      <c r="H679" s="46"/>
      <c r="I679" s="46"/>
      <c r="J679" s="46"/>
      <c r="K679" s="46"/>
      <c r="L679" s="46"/>
      <c r="M679" s="48"/>
      <c r="N679" s="48"/>
      <c r="O679" s="49"/>
      <c r="P679" s="48"/>
      <c r="Q679" s="48"/>
      <c r="R679" s="48"/>
      <c r="S679" s="46"/>
      <c r="T679" s="48"/>
      <c r="U679" s="48"/>
      <c r="V679" s="25"/>
      <c r="W679" s="25"/>
      <c r="X679" s="25"/>
    </row>
    <row r="680" spans="1:24" ht="15" customHeight="1" x14ac:dyDescent="0.25">
      <c r="A680" s="48"/>
      <c r="B680" s="49"/>
      <c r="C680" s="48"/>
      <c r="D680" s="48"/>
      <c r="E680" s="53"/>
      <c r="F680" s="46"/>
      <c r="G680" s="46"/>
      <c r="H680" s="46"/>
      <c r="I680" s="46"/>
      <c r="J680" s="46"/>
      <c r="K680" s="46"/>
      <c r="L680" s="46"/>
      <c r="M680" s="48"/>
      <c r="N680" s="48"/>
      <c r="O680" s="49"/>
      <c r="P680" s="48"/>
      <c r="Q680" s="48"/>
      <c r="R680" s="48"/>
      <c r="S680" s="46"/>
      <c r="T680" s="48"/>
      <c r="U680" s="48"/>
      <c r="V680" s="25"/>
      <c r="W680" s="25"/>
      <c r="X680" s="25"/>
    </row>
    <row r="681" spans="1:24" ht="15" customHeight="1" x14ac:dyDescent="0.25">
      <c r="A681" s="48"/>
      <c r="B681" s="49"/>
      <c r="C681" s="48"/>
      <c r="D681" s="48"/>
      <c r="E681" s="53"/>
      <c r="F681" s="46"/>
      <c r="G681" s="46"/>
      <c r="H681" s="46"/>
      <c r="I681" s="46"/>
      <c r="J681" s="46"/>
      <c r="K681" s="46"/>
      <c r="L681" s="46"/>
      <c r="M681" s="48"/>
      <c r="N681" s="48"/>
      <c r="O681" s="49"/>
      <c r="P681" s="48"/>
      <c r="Q681" s="48"/>
      <c r="R681" s="48"/>
      <c r="S681" s="46"/>
      <c r="T681" s="48"/>
      <c r="U681" s="48"/>
      <c r="V681" s="25"/>
      <c r="W681" s="25"/>
      <c r="X681" s="25"/>
    </row>
    <row r="682" spans="1:24" ht="15" customHeight="1" x14ac:dyDescent="0.25">
      <c r="A682" s="48"/>
      <c r="B682" s="49"/>
      <c r="C682" s="48"/>
      <c r="D682" s="48"/>
      <c r="E682" s="53"/>
      <c r="F682" s="46"/>
      <c r="G682" s="46"/>
      <c r="H682" s="46"/>
      <c r="I682" s="46"/>
      <c r="J682" s="46"/>
      <c r="K682" s="46"/>
      <c r="L682" s="46"/>
      <c r="M682" s="48"/>
      <c r="N682" s="48"/>
      <c r="O682" s="49"/>
      <c r="P682" s="48"/>
      <c r="Q682" s="48"/>
      <c r="R682" s="48"/>
      <c r="S682" s="46"/>
      <c r="T682" s="48"/>
      <c r="U682" s="48"/>
      <c r="V682" s="25"/>
      <c r="W682" s="25"/>
      <c r="X682" s="25"/>
    </row>
    <row r="683" spans="1:24" ht="15" customHeight="1" x14ac:dyDescent="0.25">
      <c r="A683" s="48"/>
      <c r="B683" s="49"/>
      <c r="C683" s="48"/>
      <c r="D683" s="48"/>
      <c r="E683" s="53"/>
      <c r="F683" s="46"/>
      <c r="G683" s="46"/>
      <c r="H683" s="46"/>
      <c r="I683" s="46"/>
      <c r="J683" s="46"/>
      <c r="K683" s="46"/>
      <c r="L683" s="46"/>
      <c r="M683" s="48"/>
      <c r="N683" s="48"/>
      <c r="O683" s="49"/>
      <c r="P683" s="48"/>
      <c r="Q683" s="48"/>
      <c r="R683" s="48"/>
      <c r="S683" s="46"/>
      <c r="T683" s="48"/>
      <c r="U683" s="48"/>
      <c r="V683" s="25"/>
      <c r="W683" s="25"/>
      <c r="X683" s="25"/>
    </row>
    <row r="684" spans="1:24" ht="15" customHeight="1" x14ac:dyDescent="0.25">
      <c r="A684" s="48"/>
      <c r="B684" s="49"/>
      <c r="C684" s="48"/>
      <c r="D684" s="48"/>
      <c r="E684" s="53"/>
      <c r="F684" s="46"/>
      <c r="G684" s="46"/>
      <c r="H684" s="46"/>
      <c r="I684" s="46"/>
      <c r="J684" s="46"/>
      <c r="K684" s="46"/>
      <c r="L684" s="46"/>
      <c r="M684" s="48"/>
      <c r="N684" s="48"/>
      <c r="O684" s="49"/>
      <c r="P684" s="48"/>
      <c r="Q684" s="48"/>
      <c r="R684" s="48"/>
      <c r="S684" s="46"/>
      <c r="T684" s="48"/>
      <c r="U684" s="48"/>
      <c r="V684" s="25"/>
      <c r="W684" s="25"/>
      <c r="X684" s="25"/>
    </row>
    <row r="685" spans="1:24" ht="15" customHeight="1" x14ac:dyDescent="0.25">
      <c r="A685" s="48"/>
      <c r="B685" s="49"/>
      <c r="C685" s="48"/>
      <c r="D685" s="48"/>
      <c r="E685" s="53"/>
      <c r="F685" s="46"/>
      <c r="G685" s="46"/>
      <c r="H685" s="46"/>
      <c r="I685" s="46"/>
      <c r="J685" s="46"/>
      <c r="K685" s="46"/>
      <c r="L685" s="46"/>
      <c r="M685" s="48"/>
      <c r="N685" s="48"/>
      <c r="O685" s="49"/>
      <c r="P685" s="48"/>
      <c r="Q685" s="48"/>
      <c r="R685" s="48"/>
      <c r="S685" s="46"/>
      <c r="T685" s="48"/>
      <c r="U685" s="48"/>
      <c r="V685" s="25"/>
      <c r="W685" s="25"/>
      <c r="X685" s="25"/>
    </row>
    <row r="686" spans="1:24" ht="15" customHeight="1" x14ac:dyDescent="0.25">
      <c r="A686" s="48"/>
      <c r="B686" s="49"/>
      <c r="C686" s="48"/>
      <c r="D686" s="48"/>
      <c r="E686" s="53"/>
      <c r="F686" s="46"/>
      <c r="G686" s="46"/>
      <c r="H686" s="46"/>
      <c r="I686" s="46"/>
      <c r="J686" s="46"/>
      <c r="K686" s="46"/>
      <c r="L686" s="46"/>
      <c r="M686" s="48"/>
      <c r="N686" s="48"/>
      <c r="O686" s="49"/>
      <c r="P686" s="48"/>
      <c r="Q686" s="48"/>
      <c r="R686" s="48"/>
      <c r="S686" s="46"/>
      <c r="T686" s="48"/>
      <c r="U686" s="48"/>
      <c r="V686" s="25"/>
      <c r="W686" s="25"/>
      <c r="X686" s="25"/>
    </row>
    <row r="687" spans="1:24" ht="15" customHeight="1" x14ac:dyDescent="0.25">
      <c r="A687" s="48"/>
      <c r="B687" s="49"/>
      <c r="C687" s="48"/>
      <c r="D687" s="48"/>
      <c r="E687" s="53"/>
      <c r="F687" s="46"/>
      <c r="G687" s="46"/>
      <c r="H687" s="46"/>
      <c r="I687" s="46"/>
      <c r="J687" s="46"/>
      <c r="K687" s="46"/>
      <c r="L687" s="46"/>
      <c r="M687" s="48"/>
      <c r="N687" s="48"/>
      <c r="O687" s="49"/>
      <c r="P687" s="48"/>
      <c r="Q687" s="48"/>
      <c r="R687" s="48"/>
      <c r="S687" s="46"/>
      <c r="T687" s="48"/>
      <c r="U687" s="48"/>
      <c r="V687" s="25"/>
      <c r="W687" s="25"/>
      <c r="X687" s="25"/>
    </row>
    <row r="688" spans="1:24" ht="15" customHeight="1" x14ac:dyDescent="0.25">
      <c r="A688" s="48"/>
      <c r="B688" s="49"/>
      <c r="C688" s="48"/>
      <c r="D688" s="48"/>
      <c r="E688" s="53"/>
      <c r="F688" s="46"/>
      <c r="G688" s="46"/>
      <c r="H688" s="46"/>
      <c r="I688" s="46"/>
      <c r="J688" s="46"/>
      <c r="K688" s="46"/>
      <c r="L688" s="46"/>
      <c r="M688" s="48"/>
      <c r="N688" s="48"/>
      <c r="O688" s="49"/>
      <c r="P688" s="48"/>
      <c r="Q688" s="48"/>
      <c r="R688" s="48"/>
      <c r="S688" s="46"/>
      <c r="T688" s="48"/>
      <c r="U688" s="48"/>
      <c r="V688" s="25"/>
      <c r="W688" s="25"/>
      <c r="X688" s="25"/>
    </row>
    <row r="689" spans="1:24" ht="15" customHeight="1" x14ac:dyDescent="0.25">
      <c r="A689" s="48"/>
      <c r="B689" s="49"/>
      <c r="C689" s="48"/>
      <c r="D689" s="48"/>
      <c r="E689" s="53"/>
      <c r="F689" s="46"/>
      <c r="G689" s="46"/>
      <c r="H689" s="46"/>
      <c r="I689" s="46"/>
      <c r="J689" s="46"/>
      <c r="K689" s="46"/>
      <c r="L689" s="46"/>
      <c r="M689" s="48"/>
      <c r="N689" s="48"/>
      <c r="O689" s="49"/>
      <c r="P689" s="48"/>
      <c r="Q689" s="48"/>
      <c r="R689" s="48"/>
      <c r="S689" s="46"/>
      <c r="T689" s="48"/>
      <c r="U689" s="48"/>
      <c r="V689" s="25"/>
      <c r="W689" s="25"/>
      <c r="X689" s="25"/>
    </row>
    <row r="690" spans="1:24" ht="15" customHeight="1" x14ac:dyDescent="0.25">
      <c r="A690" s="48"/>
      <c r="B690" s="49"/>
      <c r="C690" s="48"/>
      <c r="D690" s="48"/>
      <c r="E690" s="53"/>
      <c r="F690" s="46"/>
      <c r="G690" s="46"/>
      <c r="H690" s="46"/>
      <c r="I690" s="46"/>
      <c r="J690" s="46"/>
      <c r="K690" s="46"/>
      <c r="L690" s="46"/>
      <c r="M690" s="48"/>
      <c r="N690" s="48"/>
      <c r="O690" s="49"/>
      <c r="P690" s="48"/>
      <c r="Q690" s="48"/>
      <c r="R690" s="48"/>
      <c r="S690" s="46"/>
      <c r="T690" s="48"/>
      <c r="U690" s="48"/>
      <c r="V690" s="25"/>
      <c r="W690" s="25"/>
      <c r="X690" s="25"/>
    </row>
    <row r="691" spans="1:24" ht="15" customHeight="1" x14ac:dyDescent="0.25">
      <c r="A691" s="48"/>
      <c r="B691" s="49"/>
      <c r="C691" s="48"/>
      <c r="D691" s="48"/>
      <c r="E691" s="53"/>
      <c r="F691" s="46"/>
      <c r="G691" s="46"/>
      <c r="H691" s="46"/>
      <c r="I691" s="46"/>
      <c r="J691" s="46"/>
      <c r="K691" s="46"/>
      <c r="L691" s="46"/>
      <c r="M691" s="48"/>
      <c r="N691" s="48"/>
      <c r="O691" s="49"/>
      <c r="P691" s="48"/>
      <c r="Q691" s="48"/>
      <c r="R691" s="48"/>
      <c r="S691" s="46"/>
      <c r="T691" s="48"/>
      <c r="U691" s="48"/>
      <c r="V691" s="25"/>
      <c r="W691" s="25"/>
      <c r="X691" s="25"/>
    </row>
    <row r="692" spans="1:24" ht="15" customHeight="1" x14ac:dyDescent="0.25">
      <c r="A692" s="48"/>
      <c r="B692" s="49"/>
      <c r="C692" s="48"/>
      <c r="D692" s="48"/>
      <c r="E692" s="53"/>
      <c r="F692" s="46"/>
      <c r="G692" s="46"/>
      <c r="H692" s="46"/>
      <c r="I692" s="46"/>
      <c r="J692" s="46"/>
      <c r="K692" s="46"/>
      <c r="L692" s="46"/>
      <c r="M692" s="48"/>
      <c r="N692" s="48"/>
      <c r="O692" s="49"/>
      <c r="P692" s="48"/>
      <c r="Q692" s="48"/>
      <c r="R692" s="48"/>
      <c r="S692" s="46"/>
      <c r="T692" s="48"/>
      <c r="U692" s="48"/>
      <c r="V692" s="25"/>
      <c r="W692" s="25"/>
      <c r="X692" s="25"/>
    </row>
    <row r="693" spans="1:24" ht="15" customHeight="1" x14ac:dyDescent="0.25">
      <c r="A693" s="48"/>
      <c r="B693" s="49"/>
      <c r="C693" s="48"/>
      <c r="D693" s="48"/>
      <c r="E693" s="53"/>
      <c r="F693" s="46"/>
      <c r="G693" s="46"/>
      <c r="H693" s="46"/>
      <c r="I693" s="46"/>
      <c r="J693" s="46"/>
      <c r="K693" s="46"/>
      <c r="L693" s="46"/>
      <c r="M693" s="48"/>
      <c r="N693" s="48"/>
      <c r="O693" s="49"/>
      <c r="P693" s="48"/>
      <c r="Q693" s="48"/>
      <c r="R693" s="48"/>
      <c r="S693" s="46"/>
      <c r="T693" s="48"/>
      <c r="U693" s="48"/>
      <c r="V693" s="25"/>
      <c r="W693" s="25"/>
      <c r="X693" s="25"/>
    </row>
    <row r="694" spans="1:24" ht="15" customHeight="1" x14ac:dyDescent="0.25">
      <c r="A694" s="48"/>
      <c r="B694" s="49"/>
      <c r="C694" s="48"/>
      <c r="D694" s="48"/>
      <c r="E694" s="53"/>
      <c r="F694" s="46"/>
      <c r="G694" s="46"/>
      <c r="H694" s="46"/>
      <c r="I694" s="46"/>
      <c r="J694" s="46"/>
      <c r="K694" s="46"/>
      <c r="L694" s="46"/>
      <c r="M694" s="48"/>
      <c r="N694" s="48"/>
      <c r="O694" s="49"/>
      <c r="P694" s="48"/>
      <c r="Q694" s="48"/>
      <c r="R694" s="48"/>
      <c r="S694" s="46"/>
      <c r="T694" s="48"/>
      <c r="U694" s="48"/>
      <c r="V694" s="25"/>
      <c r="W694" s="25"/>
      <c r="X694" s="25"/>
    </row>
    <row r="695" spans="1:24" ht="15" customHeight="1" x14ac:dyDescent="0.25">
      <c r="A695" s="48"/>
      <c r="B695" s="49"/>
      <c r="C695" s="48"/>
      <c r="D695" s="48"/>
      <c r="E695" s="53"/>
      <c r="F695" s="46"/>
      <c r="G695" s="46"/>
      <c r="H695" s="46"/>
      <c r="I695" s="46"/>
      <c r="J695" s="46"/>
      <c r="K695" s="46"/>
      <c r="L695" s="46"/>
      <c r="M695" s="48"/>
      <c r="N695" s="48"/>
      <c r="O695" s="49"/>
      <c r="P695" s="48"/>
      <c r="Q695" s="48"/>
      <c r="R695" s="48"/>
      <c r="S695" s="46"/>
      <c r="T695" s="48"/>
      <c r="U695" s="48"/>
      <c r="V695" s="25"/>
      <c r="W695" s="25"/>
      <c r="X695" s="25"/>
    </row>
    <row r="696" spans="1:24" ht="15" customHeight="1" x14ac:dyDescent="0.25">
      <c r="A696" s="48"/>
      <c r="B696" s="49"/>
      <c r="C696" s="48"/>
      <c r="D696" s="48"/>
      <c r="E696" s="53"/>
      <c r="F696" s="46"/>
      <c r="G696" s="46"/>
      <c r="H696" s="46"/>
      <c r="I696" s="46"/>
      <c r="J696" s="46"/>
      <c r="K696" s="46"/>
      <c r="L696" s="46"/>
      <c r="M696" s="48"/>
      <c r="N696" s="48"/>
      <c r="O696" s="49"/>
      <c r="P696" s="48"/>
      <c r="Q696" s="48"/>
      <c r="R696" s="48"/>
      <c r="S696" s="46"/>
      <c r="T696" s="48"/>
      <c r="U696" s="48"/>
      <c r="V696" s="25"/>
      <c r="W696" s="25"/>
      <c r="X696" s="25"/>
    </row>
    <row r="697" spans="1:24" ht="15" customHeight="1" x14ac:dyDescent="0.25">
      <c r="A697" s="48"/>
      <c r="B697" s="49"/>
      <c r="C697" s="48"/>
      <c r="D697" s="48"/>
      <c r="E697" s="53"/>
      <c r="F697" s="46"/>
      <c r="G697" s="46"/>
      <c r="H697" s="46"/>
      <c r="I697" s="46"/>
      <c r="J697" s="46"/>
      <c r="K697" s="46"/>
      <c r="L697" s="46"/>
      <c r="M697" s="48"/>
      <c r="N697" s="48"/>
      <c r="O697" s="49"/>
      <c r="P697" s="48"/>
      <c r="Q697" s="48"/>
      <c r="R697" s="48"/>
      <c r="S697" s="46"/>
      <c r="T697" s="48"/>
      <c r="U697" s="48"/>
      <c r="V697" s="25"/>
      <c r="W697" s="25"/>
      <c r="X697" s="25"/>
    </row>
    <row r="698" spans="1:24" ht="15" customHeight="1" x14ac:dyDescent="0.25">
      <c r="A698" s="48"/>
      <c r="B698" s="49"/>
      <c r="C698" s="48"/>
      <c r="D698" s="48"/>
      <c r="E698" s="53"/>
      <c r="F698" s="46"/>
      <c r="G698" s="46"/>
      <c r="H698" s="46"/>
      <c r="I698" s="46"/>
      <c r="J698" s="46"/>
      <c r="K698" s="46"/>
      <c r="L698" s="46"/>
      <c r="M698" s="48"/>
      <c r="N698" s="48"/>
      <c r="O698" s="49"/>
      <c r="P698" s="48"/>
      <c r="Q698" s="48"/>
      <c r="R698" s="48"/>
      <c r="S698" s="46"/>
      <c r="T698" s="48"/>
      <c r="U698" s="48"/>
      <c r="V698" s="25"/>
      <c r="W698" s="25"/>
      <c r="X698" s="25"/>
    </row>
    <row r="699" spans="1:24" ht="15" customHeight="1" x14ac:dyDescent="0.25">
      <c r="A699" s="48"/>
      <c r="B699" s="49"/>
      <c r="C699" s="48"/>
      <c r="D699" s="48"/>
      <c r="E699" s="53"/>
      <c r="F699" s="46"/>
      <c r="G699" s="46"/>
      <c r="H699" s="46"/>
      <c r="I699" s="46"/>
      <c r="J699" s="46"/>
      <c r="K699" s="46"/>
      <c r="L699" s="46"/>
      <c r="M699" s="48"/>
      <c r="N699" s="48"/>
      <c r="O699" s="49"/>
      <c r="P699" s="48"/>
      <c r="Q699" s="48"/>
      <c r="R699" s="48"/>
      <c r="S699" s="46"/>
      <c r="T699" s="48"/>
      <c r="U699" s="48"/>
      <c r="V699" s="25"/>
      <c r="W699" s="25"/>
      <c r="X699" s="25"/>
    </row>
    <row r="700" spans="1:24" ht="15" customHeight="1" x14ac:dyDescent="0.25">
      <c r="A700" s="48"/>
      <c r="B700" s="49"/>
      <c r="C700" s="48"/>
      <c r="D700" s="48"/>
      <c r="E700" s="53"/>
      <c r="F700" s="46"/>
      <c r="G700" s="46"/>
      <c r="H700" s="46"/>
      <c r="I700" s="46"/>
      <c r="J700" s="46"/>
      <c r="K700" s="46"/>
      <c r="L700" s="46"/>
      <c r="M700" s="48"/>
      <c r="N700" s="48"/>
      <c r="O700" s="49"/>
      <c r="P700" s="48"/>
      <c r="Q700" s="48"/>
      <c r="R700" s="48"/>
      <c r="S700" s="46"/>
      <c r="T700" s="48"/>
      <c r="U700" s="48"/>
      <c r="V700" s="25"/>
      <c r="W700" s="25"/>
      <c r="X700" s="25"/>
    </row>
    <row r="701" spans="1:24" ht="15" customHeight="1" x14ac:dyDescent="0.25">
      <c r="A701" s="48"/>
      <c r="B701" s="49"/>
      <c r="C701" s="48"/>
      <c r="D701" s="48"/>
      <c r="E701" s="53"/>
      <c r="F701" s="46"/>
      <c r="G701" s="46"/>
      <c r="H701" s="46"/>
      <c r="I701" s="46"/>
      <c r="J701" s="46"/>
      <c r="K701" s="46"/>
      <c r="L701" s="46"/>
      <c r="M701" s="48"/>
      <c r="N701" s="48"/>
      <c r="O701" s="49"/>
      <c r="P701" s="48"/>
      <c r="Q701" s="48"/>
      <c r="R701" s="48"/>
      <c r="S701" s="46"/>
      <c r="T701" s="48"/>
      <c r="U701" s="48"/>
      <c r="V701" s="25"/>
      <c r="W701" s="25"/>
      <c r="X701" s="25"/>
    </row>
    <row r="702" spans="1:24" ht="15" customHeight="1" x14ac:dyDescent="0.25">
      <c r="A702" s="48"/>
      <c r="B702" s="49"/>
      <c r="C702" s="48"/>
      <c r="D702" s="48"/>
      <c r="E702" s="53"/>
      <c r="F702" s="46"/>
      <c r="G702" s="46"/>
      <c r="H702" s="46"/>
      <c r="I702" s="46"/>
      <c r="J702" s="46"/>
      <c r="K702" s="46"/>
      <c r="L702" s="46"/>
      <c r="M702" s="48"/>
      <c r="N702" s="48"/>
      <c r="O702" s="49"/>
      <c r="P702" s="48"/>
      <c r="Q702" s="48"/>
      <c r="R702" s="48"/>
      <c r="S702" s="46"/>
      <c r="T702" s="48"/>
      <c r="U702" s="48"/>
      <c r="V702" s="25"/>
      <c r="W702" s="25"/>
      <c r="X702" s="25"/>
    </row>
    <row r="703" spans="1:24" ht="15" customHeight="1" x14ac:dyDescent="0.25">
      <c r="A703" s="48"/>
      <c r="B703" s="49"/>
      <c r="C703" s="48"/>
      <c r="D703" s="48"/>
      <c r="E703" s="53"/>
      <c r="F703" s="46"/>
      <c r="G703" s="46"/>
      <c r="H703" s="46"/>
      <c r="I703" s="46"/>
      <c r="J703" s="46"/>
      <c r="K703" s="46"/>
      <c r="L703" s="46"/>
      <c r="M703" s="48"/>
      <c r="N703" s="48"/>
      <c r="O703" s="49"/>
      <c r="P703" s="48"/>
      <c r="Q703" s="48"/>
      <c r="R703" s="48"/>
      <c r="S703" s="46"/>
      <c r="T703" s="48"/>
      <c r="U703" s="48"/>
      <c r="V703" s="25"/>
      <c r="W703" s="25"/>
      <c r="X703" s="25"/>
    </row>
    <row r="704" spans="1:24" ht="15" customHeight="1" x14ac:dyDescent="0.25">
      <c r="A704" s="48"/>
      <c r="B704" s="49"/>
      <c r="C704" s="48"/>
      <c r="D704" s="48"/>
      <c r="E704" s="53"/>
      <c r="F704" s="46"/>
      <c r="G704" s="46"/>
      <c r="H704" s="46"/>
      <c r="I704" s="46"/>
      <c r="J704" s="46"/>
      <c r="K704" s="46"/>
      <c r="L704" s="46"/>
      <c r="M704" s="48"/>
      <c r="N704" s="48"/>
      <c r="O704" s="49"/>
      <c r="P704" s="48"/>
      <c r="Q704" s="48"/>
      <c r="R704" s="48"/>
      <c r="S704" s="46"/>
      <c r="T704" s="48"/>
      <c r="U704" s="48"/>
      <c r="V704" s="25"/>
      <c r="W704" s="25"/>
      <c r="X704" s="25"/>
    </row>
    <row r="705" spans="1:24" ht="15" customHeight="1" x14ac:dyDescent="0.25">
      <c r="A705" s="48"/>
      <c r="B705" s="49"/>
      <c r="C705" s="48"/>
      <c r="D705" s="48"/>
      <c r="E705" s="53"/>
      <c r="F705" s="46"/>
      <c r="G705" s="46"/>
      <c r="H705" s="46"/>
      <c r="I705" s="46"/>
      <c r="J705" s="46"/>
      <c r="K705" s="46"/>
      <c r="L705" s="46"/>
      <c r="M705" s="48"/>
      <c r="N705" s="48"/>
      <c r="O705" s="49"/>
      <c r="P705" s="48"/>
      <c r="Q705" s="48"/>
      <c r="R705" s="48"/>
      <c r="S705" s="46"/>
      <c r="T705" s="48"/>
      <c r="U705" s="48"/>
      <c r="V705" s="25"/>
      <c r="W705" s="25"/>
      <c r="X705" s="25"/>
    </row>
    <row r="706" spans="1:24" ht="15" customHeight="1" x14ac:dyDescent="0.25">
      <c r="A706" s="48"/>
      <c r="B706" s="49"/>
      <c r="C706" s="48"/>
      <c r="D706" s="48"/>
      <c r="E706" s="53"/>
      <c r="F706" s="46"/>
      <c r="G706" s="46"/>
      <c r="H706" s="46"/>
      <c r="I706" s="46"/>
      <c r="J706" s="46"/>
      <c r="K706" s="46"/>
      <c r="L706" s="46"/>
      <c r="M706" s="48"/>
      <c r="N706" s="48"/>
      <c r="O706" s="49"/>
      <c r="P706" s="48"/>
      <c r="Q706" s="48"/>
      <c r="R706" s="48"/>
      <c r="S706" s="46"/>
      <c r="T706" s="48"/>
      <c r="U706" s="48"/>
      <c r="V706" s="25"/>
      <c r="W706" s="25"/>
      <c r="X706" s="25"/>
    </row>
    <row r="707" spans="1:24" ht="15" customHeight="1" x14ac:dyDescent="0.25">
      <c r="A707" s="48"/>
      <c r="B707" s="49"/>
      <c r="C707" s="48"/>
      <c r="D707" s="48"/>
      <c r="E707" s="53"/>
      <c r="F707" s="46"/>
      <c r="G707" s="46"/>
      <c r="H707" s="46"/>
      <c r="I707" s="46"/>
      <c r="J707" s="46"/>
      <c r="K707" s="46"/>
      <c r="L707" s="46"/>
      <c r="M707" s="48"/>
      <c r="N707" s="48"/>
      <c r="O707" s="49"/>
      <c r="P707" s="48"/>
      <c r="Q707" s="48"/>
      <c r="R707" s="48"/>
      <c r="S707" s="46"/>
      <c r="T707" s="48"/>
      <c r="U707" s="48"/>
      <c r="V707" s="25"/>
      <c r="W707" s="25"/>
      <c r="X707" s="25"/>
    </row>
    <row r="708" spans="1:24" ht="15" customHeight="1" x14ac:dyDescent="0.25">
      <c r="A708" s="48"/>
      <c r="B708" s="49"/>
      <c r="C708" s="48"/>
      <c r="D708" s="48"/>
      <c r="E708" s="53"/>
      <c r="F708" s="46"/>
      <c r="G708" s="46"/>
      <c r="H708" s="46"/>
      <c r="I708" s="46"/>
      <c r="J708" s="46"/>
      <c r="K708" s="46"/>
      <c r="L708" s="46"/>
      <c r="M708" s="48"/>
      <c r="N708" s="48"/>
      <c r="O708" s="49"/>
      <c r="P708" s="48"/>
      <c r="Q708" s="48"/>
      <c r="R708" s="48"/>
      <c r="S708" s="46"/>
      <c r="T708" s="48"/>
      <c r="U708" s="48"/>
      <c r="V708" s="25"/>
      <c r="W708" s="25"/>
      <c r="X708" s="25"/>
    </row>
    <row r="709" spans="1:24" ht="15" customHeight="1" x14ac:dyDescent="0.25">
      <c r="A709" s="48"/>
      <c r="B709" s="49"/>
      <c r="C709" s="48"/>
      <c r="D709" s="48"/>
      <c r="E709" s="53"/>
      <c r="F709" s="46"/>
      <c r="G709" s="46"/>
      <c r="H709" s="46"/>
      <c r="I709" s="46"/>
      <c r="J709" s="46"/>
      <c r="K709" s="46"/>
      <c r="L709" s="46"/>
      <c r="M709" s="48"/>
      <c r="N709" s="48"/>
      <c r="O709" s="49"/>
      <c r="P709" s="48"/>
      <c r="Q709" s="48"/>
      <c r="R709" s="48"/>
      <c r="S709" s="46"/>
      <c r="T709" s="48"/>
      <c r="U709" s="48"/>
      <c r="V709" s="25"/>
      <c r="W709" s="25"/>
      <c r="X709" s="25"/>
    </row>
    <row r="710" spans="1:24" ht="15" customHeight="1" x14ac:dyDescent="0.25">
      <c r="A710" s="48"/>
      <c r="B710" s="49"/>
      <c r="C710" s="48"/>
      <c r="D710" s="48"/>
      <c r="E710" s="53"/>
      <c r="F710" s="46"/>
      <c r="G710" s="46"/>
      <c r="H710" s="46"/>
      <c r="I710" s="46"/>
      <c r="J710" s="46"/>
      <c r="K710" s="46"/>
      <c r="L710" s="46"/>
      <c r="M710" s="48"/>
      <c r="N710" s="48"/>
      <c r="O710" s="49"/>
      <c r="P710" s="48"/>
      <c r="Q710" s="48"/>
      <c r="R710" s="48"/>
      <c r="S710" s="46"/>
      <c r="T710" s="48"/>
      <c r="U710" s="48"/>
      <c r="V710" s="25"/>
      <c r="W710" s="25"/>
      <c r="X710" s="25"/>
    </row>
    <row r="711" spans="1:24" ht="15" customHeight="1" x14ac:dyDescent="0.25">
      <c r="A711" s="48"/>
      <c r="B711" s="49"/>
      <c r="C711" s="48"/>
      <c r="D711" s="48"/>
      <c r="E711" s="53"/>
      <c r="F711" s="46"/>
      <c r="G711" s="46"/>
      <c r="H711" s="46"/>
      <c r="I711" s="46"/>
      <c r="J711" s="46"/>
      <c r="K711" s="46"/>
      <c r="L711" s="46"/>
      <c r="M711" s="48"/>
      <c r="N711" s="48"/>
      <c r="O711" s="49"/>
      <c r="P711" s="48"/>
      <c r="Q711" s="48"/>
      <c r="R711" s="48"/>
      <c r="S711" s="46"/>
      <c r="T711" s="48"/>
      <c r="U711" s="48"/>
      <c r="V711" s="25"/>
      <c r="W711" s="25"/>
      <c r="X711" s="25"/>
    </row>
    <row r="712" spans="1:24" ht="15" customHeight="1" x14ac:dyDescent="0.25">
      <c r="A712" s="48"/>
      <c r="B712" s="49"/>
      <c r="C712" s="48"/>
      <c r="D712" s="48"/>
      <c r="E712" s="53"/>
      <c r="F712" s="46"/>
      <c r="G712" s="46"/>
      <c r="H712" s="46"/>
      <c r="I712" s="46"/>
      <c r="J712" s="46"/>
      <c r="K712" s="46"/>
      <c r="L712" s="46"/>
      <c r="M712" s="48"/>
      <c r="N712" s="48"/>
      <c r="O712" s="49"/>
      <c r="P712" s="48"/>
      <c r="Q712" s="48"/>
      <c r="R712" s="48"/>
      <c r="S712" s="46"/>
      <c r="T712" s="48"/>
      <c r="U712" s="48"/>
      <c r="V712" s="25"/>
      <c r="W712" s="25"/>
      <c r="X712" s="25"/>
    </row>
    <row r="713" spans="1:24" ht="15" customHeight="1" x14ac:dyDescent="0.25">
      <c r="A713" s="48"/>
      <c r="B713" s="49"/>
      <c r="C713" s="48"/>
      <c r="D713" s="48"/>
      <c r="E713" s="53"/>
      <c r="F713" s="46"/>
      <c r="G713" s="46"/>
      <c r="H713" s="46"/>
      <c r="I713" s="46"/>
      <c r="J713" s="46"/>
      <c r="K713" s="46"/>
      <c r="L713" s="46"/>
      <c r="M713" s="48"/>
      <c r="N713" s="48"/>
      <c r="O713" s="49"/>
      <c r="P713" s="48"/>
      <c r="Q713" s="48"/>
      <c r="R713" s="48"/>
      <c r="S713" s="46"/>
      <c r="T713" s="48"/>
      <c r="U713" s="48"/>
      <c r="V713" s="25"/>
      <c r="W713" s="25"/>
      <c r="X713" s="25"/>
    </row>
    <row r="714" spans="1:24" ht="15" customHeight="1" x14ac:dyDescent="0.25">
      <c r="A714" s="48"/>
      <c r="B714" s="49"/>
      <c r="C714" s="48"/>
      <c r="D714" s="48"/>
      <c r="E714" s="53"/>
      <c r="F714" s="46"/>
      <c r="G714" s="46"/>
      <c r="H714" s="46"/>
      <c r="I714" s="46"/>
      <c r="J714" s="46"/>
      <c r="K714" s="46"/>
      <c r="L714" s="46"/>
      <c r="M714" s="48"/>
      <c r="N714" s="48"/>
      <c r="O714" s="49"/>
      <c r="P714" s="48"/>
      <c r="Q714" s="48"/>
      <c r="R714" s="48"/>
      <c r="S714" s="46"/>
      <c r="T714" s="48"/>
      <c r="U714" s="48"/>
      <c r="V714" s="25"/>
      <c r="W714" s="25"/>
      <c r="X714" s="25"/>
    </row>
    <row r="715" spans="1:24" ht="15" customHeight="1" x14ac:dyDescent="0.25">
      <c r="A715" s="48"/>
      <c r="B715" s="49"/>
      <c r="C715" s="48"/>
      <c r="D715" s="48"/>
      <c r="E715" s="53"/>
      <c r="F715" s="46"/>
      <c r="G715" s="46"/>
      <c r="H715" s="46"/>
      <c r="I715" s="46"/>
      <c r="J715" s="46"/>
      <c r="K715" s="46"/>
      <c r="L715" s="46"/>
      <c r="M715" s="48"/>
      <c r="N715" s="48"/>
      <c r="O715" s="49"/>
      <c r="P715" s="48"/>
      <c r="Q715" s="48"/>
      <c r="R715" s="48"/>
      <c r="S715" s="46"/>
      <c r="T715" s="48"/>
      <c r="U715" s="48"/>
      <c r="V715" s="25"/>
      <c r="W715" s="25"/>
      <c r="X715" s="25"/>
    </row>
    <row r="716" spans="1:24" ht="15" customHeight="1" x14ac:dyDescent="0.25">
      <c r="A716" s="48"/>
      <c r="B716" s="49"/>
      <c r="C716" s="48"/>
      <c r="D716" s="48"/>
      <c r="E716" s="53"/>
      <c r="F716" s="46"/>
      <c r="G716" s="46"/>
      <c r="H716" s="46"/>
      <c r="I716" s="46"/>
      <c r="J716" s="46"/>
      <c r="K716" s="46"/>
      <c r="L716" s="46"/>
      <c r="M716" s="48"/>
      <c r="N716" s="48"/>
      <c r="O716" s="49"/>
      <c r="P716" s="48"/>
      <c r="Q716" s="48"/>
      <c r="R716" s="48"/>
      <c r="S716" s="46"/>
      <c r="T716" s="48"/>
      <c r="U716" s="48"/>
      <c r="V716" s="25"/>
      <c r="W716" s="25"/>
      <c r="X716" s="25"/>
    </row>
    <row r="717" spans="1:24" ht="15" customHeight="1" x14ac:dyDescent="0.25">
      <c r="A717" s="48"/>
      <c r="B717" s="49"/>
      <c r="C717" s="48"/>
      <c r="D717" s="48"/>
      <c r="E717" s="53"/>
      <c r="F717" s="46"/>
      <c r="G717" s="46"/>
      <c r="H717" s="46"/>
      <c r="I717" s="46"/>
      <c r="J717" s="46"/>
      <c r="K717" s="46"/>
      <c r="L717" s="46"/>
      <c r="M717" s="48"/>
      <c r="N717" s="48"/>
      <c r="O717" s="49"/>
      <c r="P717" s="48"/>
      <c r="Q717" s="48"/>
      <c r="R717" s="48"/>
      <c r="S717" s="46"/>
      <c r="T717" s="48"/>
      <c r="U717" s="48"/>
      <c r="V717" s="25"/>
      <c r="W717" s="25"/>
      <c r="X717" s="25"/>
    </row>
    <row r="718" spans="1:24" ht="15" customHeight="1" x14ac:dyDescent="0.25">
      <c r="A718" s="48"/>
      <c r="B718" s="49"/>
      <c r="C718" s="48"/>
      <c r="D718" s="48"/>
      <c r="E718" s="53"/>
      <c r="F718" s="46"/>
      <c r="G718" s="46"/>
      <c r="H718" s="46"/>
      <c r="I718" s="46"/>
      <c r="J718" s="46"/>
      <c r="K718" s="46"/>
      <c r="L718" s="46"/>
      <c r="M718" s="48"/>
      <c r="N718" s="48"/>
      <c r="O718" s="49"/>
      <c r="P718" s="48"/>
      <c r="Q718" s="48"/>
      <c r="R718" s="48"/>
      <c r="S718" s="46"/>
      <c r="T718" s="48"/>
      <c r="U718" s="48"/>
      <c r="V718" s="25"/>
      <c r="W718" s="25"/>
      <c r="X718" s="25"/>
    </row>
    <row r="719" spans="1:24" ht="15" customHeight="1" x14ac:dyDescent="0.25">
      <c r="A719" s="48"/>
      <c r="B719" s="49"/>
      <c r="C719" s="48"/>
      <c r="D719" s="48"/>
      <c r="E719" s="53"/>
      <c r="F719" s="46"/>
      <c r="G719" s="46"/>
      <c r="H719" s="46"/>
      <c r="I719" s="46"/>
      <c r="J719" s="46"/>
      <c r="K719" s="46"/>
      <c r="L719" s="46"/>
      <c r="M719" s="48"/>
      <c r="N719" s="48"/>
      <c r="O719" s="49"/>
      <c r="P719" s="48"/>
      <c r="Q719" s="48"/>
      <c r="R719" s="48"/>
      <c r="S719" s="46"/>
      <c r="T719" s="48"/>
      <c r="U719" s="48"/>
      <c r="V719" s="25"/>
      <c r="W719" s="25"/>
      <c r="X719" s="25"/>
    </row>
    <row r="720" spans="1:24" ht="15" customHeight="1" x14ac:dyDescent="0.25">
      <c r="A720" s="48"/>
      <c r="B720" s="49"/>
      <c r="C720" s="48"/>
      <c r="D720" s="48"/>
      <c r="E720" s="53"/>
      <c r="F720" s="46"/>
      <c r="G720" s="46"/>
      <c r="H720" s="46"/>
      <c r="I720" s="46"/>
      <c r="J720" s="46"/>
      <c r="K720" s="46"/>
      <c r="L720" s="46"/>
      <c r="M720" s="48"/>
      <c r="N720" s="48"/>
      <c r="O720" s="49"/>
      <c r="P720" s="48"/>
      <c r="Q720" s="48"/>
      <c r="R720" s="48"/>
      <c r="S720" s="46"/>
      <c r="T720" s="48"/>
      <c r="U720" s="48"/>
      <c r="V720" s="25"/>
      <c r="W720" s="25"/>
      <c r="X720" s="25"/>
    </row>
    <row r="721" spans="1:24" ht="15" customHeight="1" x14ac:dyDescent="0.25">
      <c r="A721" s="48"/>
      <c r="B721" s="49"/>
      <c r="C721" s="48"/>
      <c r="D721" s="48"/>
      <c r="E721" s="53"/>
      <c r="F721" s="46"/>
      <c r="G721" s="46"/>
      <c r="H721" s="46"/>
      <c r="I721" s="46"/>
      <c r="J721" s="46"/>
      <c r="K721" s="46"/>
      <c r="L721" s="46"/>
      <c r="M721" s="48"/>
      <c r="N721" s="48"/>
      <c r="O721" s="49"/>
      <c r="P721" s="48"/>
      <c r="Q721" s="48"/>
      <c r="R721" s="48"/>
      <c r="S721" s="46"/>
      <c r="T721" s="48"/>
      <c r="U721" s="48"/>
      <c r="V721" s="25"/>
      <c r="W721" s="25"/>
      <c r="X721" s="25"/>
    </row>
    <row r="722" spans="1:24" ht="15" customHeight="1" x14ac:dyDescent="0.25">
      <c r="A722" s="48"/>
      <c r="B722" s="49"/>
      <c r="C722" s="48"/>
      <c r="D722" s="48"/>
      <c r="E722" s="53"/>
      <c r="F722" s="46"/>
      <c r="G722" s="46"/>
      <c r="H722" s="46"/>
      <c r="I722" s="46"/>
      <c r="J722" s="46"/>
      <c r="K722" s="46"/>
      <c r="L722" s="46"/>
      <c r="M722" s="48"/>
      <c r="N722" s="48"/>
      <c r="O722" s="49"/>
      <c r="P722" s="48"/>
      <c r="Q722" s="48"/>
      <c r="R722" s="48"/>
      <c r="S722" s="46"/>
      <c r="T722" s="48"/>
      <c r="U722" s="48"/>
      <c r="V722" s="25"/>
      <c r="W722" s="25"/>
      <c r="X722" s="25"/>
    </row>
    <row r="723" spans="1:24" ht="15" customHeight="1" x14ac:dyDescent="0.25">
      <c r="A723" s="48"/>
      <c r="B723" s="49"/>
      <c r="C723" s="48"/>
      <c r="D723" s="48"/>
      <c r="E723" s="53"/>
      <c r="F723" s="46"/>
      <c r="G723" s="46"/>
      <c r="H723" s="46"/>
      <c r="I723" s="46"/>
      <c r="J723" s="46"/>
      <c r="K723" s="46"/>
      <c r="L723" s="46"/>
      <c r="M723" s="48"/>
      <c r="N723" s="48"/>
      <c r="O723" s="49"/>
      <c r="P723" s="48"/>
      <c r="Q723" s="48"/>
      <c r="R723" s="48"/>
      <c r="S723" s="46"/>
      <c r="T723" s="48"/>
      <c r="U723" s="48"/>
      <c r="V723" s="25"/>
      <c r="W723" s="25"/>
      <c r="X723" s="25"/>
    </row>
    <row r="724" spans="1:24" ht="15" customHeight="1" x14ac:dyDescent="0.25">
      <c r="A724" s="48"/>
      <c r="B724" s="49"/>
      <c r="C724" s="48"/>
      <c r="D724" s="48"/>
      <c r="E724" s="53"/>
      <c r="F724" s="46"/>
      <c r="G724" s="46"/>
      <c r="H724" s="46"/>
      <c r="I724" s="46"/>
      <c r="J724" s="46"/>
      <c r="K724" s="46"/>
      <c r="L724" s="46"/>
      <c r="M724" s="48"/>
      <c r="N724" s="48"/>
      <c r="O724" s="49"/>
      <c r="P724" s="48"/>
      <c r="Q724" s="48"/>
      <c r="R724" s="48"/>
      <c r="S724" s="46"/>
      <c r="T724" s="48"/>
      <c r="U724" s="48"/>
      <c r="V724" s="25"/>
      <c r="W724" s="25"/>
      <c r="X724" s="25"/>
    </row>
    <row r="725" spans="1:24" ht="15" customHeight="1" x14ac:dyDescent="0.25">
      <c r="A725" s="48"/>
      <c r="B725" s="49"/>
      <c r="C725" s="48"/>
      <c r="D725" s="48"/>
      <c r="E725" s="53"/>
      <c r="F725" s="46"/>
      <c r="G725" s="46"/>
      <c r="H725" s="46"/>
      <c r="I725" s="46"/>
      <c r="J725" s="46"/>
      <c r="K725" s="46"/>
      <c r="L725" s="46"/>
      <c r="M725" s="48"/>
      <c r="N725" s="48"/>
      <c r="O725" s="49"/>
      <c r="P725" s="48"/>
      <c r="Q725" s="48"/>
      <c r="R725" s="48"/>
      <c r="S725" s="46"/>
      <c r="T725" s="48"/>
      <c r="U725" s="48"/>
      <c r="V725" s="25"/>
      <c r="W725" s="25"/>
      <c r="X725" s="25"/>
    </row>
    <row r="726" spans="1:24" ht="15" customHeight="1" x14ac:dyDescent="0.25">
      <c r="A726" s="48"/>
      <c r="B726" s="49"/>
      <c r="C726" s="48"/>
      <c r="D726" s="48"/>
      <c r="E726" s="53"/>
      <c r="F726" s="46"/>
      <c r="G726" s="46"/>
      <c r="H726" s="46"/>
      <c r="I726" s="46"/>
      <c r="J726" s="46"/>
      <c r="K726" s="46"/>
      <c r="L726" s="46"/>
      <c r="M726" s="48"/>
      <c r="N726" s="48"/>
      <c r="O726" s="49"/>
      <c r="P726" s="48"/>
      <c r="Q726" s="48"/>
      <c r="R726" s="48"/>
      <c r="S726" s="46"/>
      <c r="T726" s="48"/>
      <c r="U726" s="48"/>
      <c r="V726" s="25"/>
      <c r="W726" s="25"/>
      <c r="X726" s="25"/>
    </row>
    <row r="727" spans="1:24" ht="15" customHeight="1" x14ac:dyDescent="0.25">
      <c r="A727" s="48"/>
      <c r="B727" s="49"/>
      <c r="C727" s="48"/>
      <c r="D727" s="48"/>
      <c r="E727" s="53"/>
      <c r="F727" s="46"/>
      <c r="G727" s="46"/>
      <c r="H727" s="46"/>
      <c r="I727" s="46"/>
      <c r="J727" s="46"/>
      <c r="K727" s="46"/>
      <c r="L727" s="46"/>
      <c r="M727" s="48"/>
      <c r="N727" s="48"/>
      <c r="O727" s="49"/>
      <c r="P727" s="48"/>
      <c r="Q727" s="48"/>
      <c r="R727" s="48"/>
      <c r="S727" s="46"/>
      <c r="T727" s="48"/>
      <c r="U727" s="48"/>
      <c r="V727" s="25"/>
      <c r="W727" s="25"/>
      <c r="X727" s="25"/>
    </row>
    <row r="728" spans="1:24" ht="15" customHeight="1" x14ac:dyDescent="0.25">
      <c r="A728" s="48"/>
      <c r="B728" s="49"/>
      <c r="C728" s="48"/>
      <c r="D728" s="48"/>
      <c r="E728" s="53"/>
      <c r="F728" s="46"/>
      <c r="G728" s="46"/>
      <c r="H728" s="46"/>
      <c r="I728" s="46"/>
      <c r="J728" s="46"/>
      <c r="K728" s="46"/>
      <c r="L728" s="46"/>
      <c r="M728" s="48"/>
      <c r="N728" s="48"/>
      <c r="O728" s="49"/>
      <c r="P728" s="48"/>
      <c r="Q728" s="48"/>
      <c r="R728" s="48"/>
      <c r="S728" s="46"/>
      <c r="T728" s="48"/>
      <c r="U728" s="48"/>
      <c r="V728" s="25"/>
      <c r="W728" s="25"/>
      <c r="X728" s="25"/>
    </row>
    <row r="729" spans="1:24" ht="15" customHeight="1" x14ac:dyDescent="0.25">
      <c r="A729" s="48"/>
      <c r="B729" s="49"/>
      <c r="C729" s="48"/>
      <c r="D729" s="48"/>
      <c r="E729" s="53"/>
      <c r="F729" s="46"/>
      <c r="G729" s="46"/>
      <c r="H729" s="46"/>
      <c r="I729" s="46"/>
      <c r="J729" s="46"/>
      <c r="K729" s="46"/>
      <c r="L729" s="46"/>
      <c r="M729" s="48"/>
      <c r="N729" s="48"/>
      <c r="O729" s="49"/>
      <c r="P729" s="48"/>
      <c r="Q729" s="48"/>
      <c r="R729" s="48"/>
      <c r="S729" s="46"/>
      <c r="T729" s="48"/>
      <c r="U729" s="48"/>
      <c r="V729" s="25"/>
      <c r="W729" s="25"/>
      <c r="X729" s="25"/>
    </row>
    <row r="730" spans="1:24" ht="15" customHeight="1" x14ac:dyDescent="0.25">
      <c r="A730" s="48"/>
      <c r="B730" s="49"/>
      <c r="C730" s="48"/>
      <c r="D730" s="48"/>
      <c r="E730" s="53"/>
      <c r="F730" s="46"/>
      <c r="G730" s="46"/>
      <c r="H730" s="46"/>
      <c r="I730" s="46"/>
      <c r="J730" s="46"/>
      <c r="K730" s="46"/>
      <c r="L730" s="46"/>
      <c r="M730" s="48"/>
      <c r="N730" s="48"/>
      <c r="O730" s="49"/>
      <c r="P730" s="48"/>
      <c r="Q730" s="48"/>
      <c r="R730" s="48"/>
      <c r="S730" s="46"/>
      <c r="T730" s="48"/>
      <c r="U730" s="48"/>
      <c r="V730" s="25"/>
      <c r="W730" s="25"/>
      <c r="X730" s="25"/>
    </row>
    <row r="731" spans="1:24" ht="15" customHeight="1" x14ac:dyDescent="0.25">
      <c r="A731" s="48"/>
      <c r="B731" s="49"/>
      <c r="C731" s="48"/>
      <c r="D731" s="48"/>
      <c r="E731" s="53"/>
      <c r="F731" s="46"/>
      <c r="G731" s="46"/>
      <c r="H731" s="46"/>
      <c r="I731" s="46"/>
      <c r="J731" s="46"/>
      <c r="K731" s="46"/>
      <c r="L731" s="46"/>
      <c r="M731" s="48"/>
      <c r="N731" s="48"/>
      <c r="O731" s="49"/>
      <c r="P731" s="48"/>
      <c r="Q731" s="48"/>
      <c r="R731" s="48"/>
      <c r="S731" s="46"/>
      <c r="T731" s="48"/>
      <c r="U731" s="48"/>
      <c r="V731" s="25"/>
      <c r="W731" s="25"/>
      <c r="X731" s="25"/>
    </row>
    <row r="732" spans="1:24" ht="15" customHeight="1" x14ac:dyDescent="0.25">
      <c r="A732" s="48"/>
      <c r="B732" s="49"/>
      <c r="C732" s="48"/>
      <c r="D732" s="48"/>
      <c r="E732" s="53"/>
      <c r="F732" s="46"/>
      <c r="G732" s="46"/>
      <c r="H732" s="46"/>
      <c r="I732" s="46"/>
      <c r="J732" s="46"/>
      <c r="K732" s="46"/>
      <c r="L732" s="46"/>
      <c r="M732" s="48"/>
      <c r="N732" s="48"/>
      <c r="O732" s="49"/>
      <c r="P732" s="48"/>
      <c r="Q732" s="48"/>
      <c r="R732" s="48"/>
      <c r="S732" s="46"/>
      <c r="T732" s="48"/>
      <c r="U732" s="48"/>
      <c r="V732" s="25"/>
      <c r="W732" s="25"/>
      <c r="X732" s="25"/>
    </row>
    <row r="733" spans="1:24" ht="15" customHeight="1" x14ac:dyDescent="0.25">
      <c r="A733" s="48"/>
      <c r="B733" s="49"/>
      <c r="C733" s="48"/>
      <c r="D733" s="48"/>
      <c r="E733" s="53"/>
      <c r="F733" s="46"/>
      <c r="G733" s="46"/>
      <c r="H733" s="46"/>
      <c r="I733" s="46"/>
      <c r="J733" s="46"/>
      <c r="K733" s="46"/>
      <c r="L733" s="46"/>
      <c r="M733" s="48"/>
      <c r="N733" s="48"/>
      <c r="O733" s="49"/>
      <c r="P733" s="48"/>
      <c r="Q733" s="48"/>
      <c r="R733" s="48"/>
      <c r="S733" s="46"/>
      <c r="T733" s="48"/>
      <c r="U733" s="48"/>
      <c r="V733" s="25"/>
      <c r="W733" s="25"/>
      <c r="X733" s="25"/>
    </row>
    <row r="734" spans="1:24" ht="15" customHeight="1" x14ac:dyDescent="0.25">
      <c r="A734" s="48"/>
      <c r="B734" s="49"/>
      <c r="C734" s="48"/>
      <c r="D734" s="48"/>
      <c r="E734" s="53"/>
      <c r="F734" s="46"/>
      <c r="G734" s="46"/>
      <c r="H734" s="46"/>
      <c r="I734" s="46"/>
      <c r="J734" s="46"/>
      <c r="K734" s="46"/>
      <c r="L734" s="46"/>
      <c r="M734" s="48"/>
      <c r="N734" s="48"/>
      <c r="O734" s="49"/>
      <c r="P734" s="48"/>
      <c r="Q734" s="48"/>
      <c r="R734" s="48"/>
      <c r="S734" s="46"/>
      <c r="T734" s="48"/>
      <c r="U734" s="48"/>
      <c r="V734" s="25"/>
      <c r="W734" s="25"/>
      <c r="X734" s="25"/>
    </row>
    <row r="735" spans="1:24" ht="15" customHeight="1" x14ac:dyDescent="0.25">
      <c r="A735" s="48"/>
      <c r="B735" s="49"/>
      <c r="C735" s="48"/>
      <c r="D735" s="48"/>
      <c r="E735" s="53"/>
      <c r="F735" s="46"/>
      <c r="G735" s="46"/>
      <c r="H735" s="46"/>
      <c r="I735" s="46"/>
      <c r="J735" s="46"/>
      <c r="K735" s="46"/>
      <c r="L735" s="46"/>
      <c r="M735" s="48"/>
      <c r="N735" s="48"/>
      <c r="O735" s="49"/>
      <c r="P735" s="48"/>
      <c r="Q735" s="48"/>
      <c r="R735" s="48"/>
      <c r="S735" s="46"/>
      <c r="T735" s="48"/>
      <c r="U735" s="48"/>
      <c r="V735" s="25"/>
      <c r="W735" s="25"/>
      <c r="X735" s="25"/>
    </row>
    <row r="736" spans="1:24" ht="15" customHeight="1" x14ac:dyDescent="0.25">
      <c r="A736" s="48"/>
      <c r="B736" s="49"/>
      <c r="C736" s="48"/>
      <c r="D736" s="48"/>
      <c r="E736" s="53"/>
      <c r="F736" s="46"/>
      <c r="G736" s="46"/>
      <c r="H736" s="46"/>
      <c r="I736" s="46"/>
      <c r="J736" s="46"/>
      <c r="K736" s="46"/>
      <c r="L736" s="46"/>
      <c r="M736" s="48"/>
      <c r="N736" s="48"/>
      <c r="O736" s="49"/>
      <c r="P736" s="48"/>
      <c r="Q736" s="48"/>
      <c r="R736" s="48"/>
      <c r="S736" s="46"/>
      <c r="T736" s="48"/>
      <c r="U736" s="48"/>
      <c r="V736" s="25"/>
      <c r="W736" s="25"/>
      <c r="X736" s="25"/>
    </row>
    <row r="737" spans="1:24" ht="15" customHeight="1" x14ac:dyDescent="0.25">
      <c r="A737" s="48"/>
      <c r="B737" s="49"/>
      <c r="C737" s="48"/>
      <c r="D737" s="48"/>
      <c r="E737" s="53"/>
      <c r="F737" s="46"/>
      <c r="G737" s="46"/>
      <c r="H737" s="46"/>
      <c r="I737" s="46"/>
      <c r="J737" s="46"/>
      <c r="K737" s="46"/>
      <c r="L737" s="46"/>
      <c r="M737" s="48"/>
      <c r="N737" s="48"/>
      <c r="O737" s="49"/>
      <c r="P737" s="48"/>
      <c r="Q737" s="48"/>
      <c r="R737" s="48"/>
      <c r="S737" s="46"/>
      <c r="T737" s="48"/>
      <c r="U737" s="48"/>
      <c r="V737" s="25"/>
      <c r="W737" s="25"/>
      <c r="X737" s="25"/>
    </row>
    <row r="738" spans="1:24" ht="15" customHeight="1" x14ac:dyDescent="0.25">
      <c r="A738" s="48"/>
      <c r="B738" s="49"/>
      <c r="C738" s="48"/>
      <c r="D738" s="48"/>
      <c r="E738" s="53"/>
      <c r="F738" s="46"/>
      <c r="G738" s="46"/>
      <c r="H738" s="46"/>
      <c r="I738" s="46"/>
      <c r="J738" s="46"/>
      <c r="K738" s="46"/>
      <c r="L738" s="46"/>
      <c r="M738" s="48"/>
      <c r="N738" s="48"/>
      <c r="O738" s="49"/>
      <c r="P738" s="48"/>
      <c r="Q738" s="48"/>
      <c r="R738" s="48"/>
      <c r="S738" s="46"/>
      <c r="T738" s="48"/>
      <c r="U738" s="48"/>
      <c r="V738" s="25"/>
      <c r="W738" s="25"/>
      <c r="X738" s="25"/>
    </row>
    <row r="739" spans="1:24" ht="15" customHeight="1" x14ac:dyDescent="0.25">
      <c r="A739" s="48"/>
      <c r="B739" s="49"/>
      <c r="C739" s="48"/>
      <c r="D739" s="48"/>
      <c r="E739" s="53"/>
      <c r="F739" s="46"/>
      <c r="G739" s="46"/>
      <c r="H739" s="46"/>
      <c r="I739" s="46"/>
      <c r="J739" s="46"/>
      <c r="K739" s="46"/>
      <c r="L739" s="46"/>
      <c r="M739" s="48"/>
      <c r="N739" s="48"/>
      <c r="O739" s="49"/>
      <c r="P739" s="48"/>
      <c r="Q739" s="48"/>
      <c r="R739" s="48"/>
      <c r="S739" s="46"/>
      <c r="T739" s="48"/>
      <c r="U739" s="48"/>
      <c r="V739" s="25"/>
      <c r="W739" s="25"/>
      <c r="X739" s="25"/>
    </row>
    <row r="740" spans="1:24" ht="15" customHeight="1" x14ac:dyDescent="0.25">
      <c r="A740" s="48"/>
      <c r="B740" s="49"/>
      <c r="C740" s="48"/>
      <c r="D740" s="48"/>
      <c r="E740" s="53"/>
      <c r="F740" s="46"/>
      <c r="G740" s="46"/>
      <c r="H740" s="46"/>
      <c r="I740" s="46"/>
      <c r="J740" s="46"/>
      <c r="K740" s="46"/>
      <c r="L740" s="46"/>
      <c r="M740" s="48"/>
      <c r="N740" s="48"/>
      <c r="O740" s="49"/>
      <c r="P740" s="48"/>
      <c r="Q740" s="48"/>
      <c r="R740" s="48"/>
      <c r="S740" s="46"/>
      <c r="T740" s="48"/>
      <c r="U740" s="48"/>
      <c r="V740" s="25"/>
      <c r="W740" s="25"/>
      <c r="X740" s="25"/>
    </row>
    <row r="741" spans="1:24" ht="15" customHeight="1" x14ac:dyDescent="0.25">
      <c r="A741" s="48"/>
      <c r="B741" s="49"/>
      <c r="C741" s="48"/>
      <c r="D741" s="48"/>
      <c r="E741" s="53"/>
      <c r="F741" s="46"/>
      <c r="G741" s="46"/>
      <c r="H741" s="46"/>
      <c r="I741" s="46"/>
      <c r="J741" s="46"/>
      <c r="K741" s="46"/>
      <c r="L741" s="46"/>
      <c r="M741" s="48"/>
      <c r="N741" s="48"/>
      <c r="O741" s="49"/>
      <c r="P741" s="48"/>
      <c r="Q741" s="48"/>
      <c r="R741" s="48"/>
      <c r="S741" s="46"/>
      <c r="T741" s="48"/>
      <c r="U741" s="48"/>
      <c r="V741" s="25"/>
      <c r="W741" s="25"/>
      <c r="X741" s="25"/>
    </row>
    <row r="742" spans="1:24" ht="15" customHeight="1" x14ac:dyDescent="0.25">
      <c r="A742" s="48"/>
      <c r="B742" s="49"/>
      <c r="C742" s="48"/>
      <c r="D742" s="48"/>
      <c r="E742" s="53"/>
      <c r="F742" s="46"/>
      <c r="G742" s="46"/>
      <c r="H742" s="46"/>
      <c r="I742" s="46"/>
      <c r="J742" s="46"/>
      <c r="K742" s="46"/>
      <c r="L742" s="46"/>
      <c r="M742" s="48"/>
      <c r="N742" s="48"/>
      <c r="O742" s="49"/>
      <c r="P742" s="48"/>
      <c r="Q742" s="48"/>
      <c r="R742" s="48"/>
      <c r="S742" s="46"/>
      <c r="T742" s="48"/>
      <c r="U742" s="48"/>
      <c r="V742" s="25"/>
      <c r="W742" s="25"/>
      <c r="X742" s="25"/>
    </row>
    <row r="743" spans="1:24" ht="15" customHeight="1" x14ac:dyDescent="0.25">
      <c r="A743" s="48"/>
      <c r="B743" s="49"/>
      <c r="C743" s="48"/>
      <c r="D743" s="48"/>
      <c r="E743" s="53"/>
      <c r="F743" s="46"/>
      <c r="G743" s="46"/>
      <c r="H743" s="46"/>
      <c r="I743" s="46"/>
      <c r="J743" s="46"/>
      <c r="K743" s="46"/>
      <c r="L743" s="46"/>
      <c r="M743" s="48"/>
      <c r="N743" s="48"/>
      <c r="O743" s="49"/>
      <c r="P743" s="48"/>
      <c r="Q743" s="48"/>
      <c r="R743" s="48"/>
      <c r="S743" s="46"/>
      <c r="T743" s="48"/>
      <c r="U743" s="48"/>
      <c r="V743" s="25"/>
      <c r="W743" s="25"/>
      <c r="X743" s="25"/>
    </row>
    <row r="744" spans="1:24" ht="15" customHeight="1" x14ac:dyDescent="0.25">
      <c r="A744" s="48"/>
      <c r="B744" s="49"/>
      <c r="C744" s="48"/>
      <c r="D744" s="48"/>
      <c r="E744" s="53"/>
      <c r="F744" s="46"/>
      <c r="G744" s="46"/>
      <c r="H744" s="46"/>
      <c r="I744" s="46"/>
      <c r="J744" s="46"/>
      <c r="K744" s="46"/>
      <c r="L744" s="46"/>
      <c r="M744" s="48"/>
      <c r="N744" s="48"/>
      <c r="O744" s="49"/>
      <c r="P744" s="48"/>
      <c r="Q744" s="48"/>
      <c r="R744" s="48"/>
      <c r="S744" s="46"/>
      <c r="T744" s="48"/>
      <c r="U744" s="48"/>
      <c r="V744" s="25"/>
      <c r="W744" s="25"/>
      <c r="X744" s="25"/>
    </row>
    <row r="745" spans="1:24" ht="15" customHeight="1" x14ac:dyDescent="0.25">
      <c r="A745" s="48"/>
      <c r="B745" s="49"/>
      <c r="C745" s="48"/>
      <c r="D745" s="48"/>
      <c r="E745" s="53"/>
      <c r="F745" s="46"/>
      <c r="G745" s="46"/>
      <c r="H745" s="46"/>
      <c r="I745" s="46"/>
      <c r="J745" s="46"/>
      <c r="K745" s="46"/>
      <c r="L745" s="46"/>
      <c r="M745" s="48"/>
      <c r="N745" s="48"/>
      <c r="O745" s="49"/>
      <c r="P745" s="48"/>
      <c r="Q745" s="48"/>
      <c r="R745" s="48"/>
      <c r="S745" s="46"/>
      <c r="T745" s="48"/>
      <c r="U745" s="48"/>
      <c r="V745" s="25"/>
      <c r="W745" s="25"/>
      <c r="X745" s="25"/>
    </row>
    <row r="746" spans="1:24" ht="15" customHeight="1" x14ac:dyDescent="0.25">
      <c r="A746" s="48"/>
      <c r="B746" s="49"/>
      <c r="C746" s="48"/>
      <c r="D746" s="48"/>
      <c r="E746" s="53"/>
      <c r="F746" s="46"/>
      <c r="G746" s="46"/>
      <c r="H746" s="46"/>
      <c r="I746" s="46"/>
      <c r="J746" s="46"/>
      <c r="K746" s="46"/>
      <c r="L746" s="46"/>
      <c r="M746" s="48"/>
      <c r="N746" s="48"/>
      <c r="O746" s="49"/>
      <c r="P746" s="48"/>
      <c r="Q746" s="48"/>
      <c r="R746" s="48"/>
      <c r="S746" s="46"/>
      <c r="T746" s="48"/>
      <c r="U746" s="48"/>
      <c r="V746" s="25"/>
      <c r="W746" s="25"/>
      <c r="X746" s="25"/>
    </row>
    <row r="747" spans="1:24" ht="15" customHeight="1" x14ac:dyDescent="0.25">
      <c r="A747" s="48"/>
      <c r="B747" s="49"/>
      <c r="C747" s="48"/>
      <c r="D747" s="48"/>
      <c r="E747" s="53"/>
      <c r="F747" s="46"/>
      <c r="G747" s="46"/>
      <c r="H747" s="46"/>
      <c r="I747" s="46"/>
      <c r="J747" s="46"/>
      <c r="K747" s="46"/>
      <c r="L747" s="46"/>
      <c r="M747" s="48"/>
      <c r="N747" s="48"/>
      <c r="O747" s="49"/>
      <c r="P747" s="48"/>
      <c r="Q747" s="48"/>
      <c r="R747" s="48"/>
      <c r="S747" s="46"/>
      <c r="T747" s="48"/>
      <c r="U747" s="48"/>
      <c r="V747" s="25"/>
      <c r="W747" s="25"/>
      <c r="X747" s="25"/>
    </row>
    <row r="748" spans="1:24" ht="15" customHeight="1" x14ac:dyDescent="0.25">
      <c r="A748" s="48"/>
      <c r="B748" s="49"/>
      <c r="C748" s="48"/>
      <c r="D748" s="48"/>
      <c r="E748" s="53"/>
      <c r="F748" s="46"/>
      <c r="G748" s="46"/>
      <c r="H748" s="46"/>
      <c r="I748" s="46"/>
      <c r="J748" s="46"/>
      <c r="K748" s="46"/>
      <c r="L748" s="46"/>
      <c r="M748" s="48"/>
      <c r="N748" s="48"/>
      <c r="O748" s="49"/>
      <c r="P748" s="48"/>
      <c r="Q748" s="48"/>
      <c r="R748" s="48"/>
      <c r="S748" s="46"/>
      <c r="T748" s="48"/>
      <c r="U748" s="48"/>
      <c r="V748" s="25"/>
      <c r="W748" s="25"/>
      <c r="X748" s="25"/>
    </row>
    <row r="749" spans="1:24" ht="15" customHeight="1" x14ac:dyDescent="0.25">
      <c r="A749" s="48"/>
      <c r="B749" s="49"/>
      <c r="C749" s="48"/>
      <c r="D749" s="48"/>
      <c r="E749" s="53"/>
      <c r="F749" s="46"/>
      <c r="G749" s="46"/>
      <c r="H749" s="46"/>
      <c r="I749" s="46"/>
      <c r="J749" s="46"/>
      <c r="K749" s="46"/>
      <c r="L749" s="46"/>
      <c r="M749" s="48"/>
      <c r="N749" s="48"/>
      <c r="O749" s="49"/>
      <c r="P749" s="48"/>
      <c r="Q749" s="48"/>
      <c r="R749" s="48"/>
      <c r="S749" s="46"/>
      <c r="T749" s="48"/>
      <c r="U749" s="48"/>
      <c r="V749" s="25"/>
      <c r="W749" s="25"/>
      <c r="X749" s="25"/>
    </row>
    <row r="750" spans="1:24" ht="15" customHeight="1" x14ac:dyDescent="0.25">
      <c r="A750" s="48"/>
      <c r="B750" s="49"/>
      <c r="C750" s="48"/>
      <c r="D750" s="48"/>
      <c r="E750" s="53"/>
      <c r="F750" s="46"/>
      <c r="G750" s="46"/>
      <c r="H750" s="46"/>
      <c r="I750" s="46"/>
      <c r="J750" s="46"/>
      <c r="K750" s="46"/>
      <c r="L750" s="46"/>
      <c r="M750" s="48"/>
      <c r="N750" s="48"/>
      <c r="O750" s="49"/>
      <c r="P750" s="48"/>
      <c r="Q750" s="48"/>
      <c r="R750" s="48"/>
      <c r="S750" s="46"/>
      <c r="T750" s="48"/>
      <c r="U750" s="48"/>
      <c r="V750" s="25"/>
      <c r="W750" s="25"/>
      <c r="X750" s="25"/>
    </row>
    <row r="751" spans="1:24" ht="15" customHeight="1" x14ac:dyDescent="0.25">
      <c r="A751" s="48"/>
      <c r="B751" s="49"/>
      <c r="C751" s="48"/>
      <c r="D751" s="48"/>
      <c r="E751" s="53"/>
      <c r="F751" s="46"/>
      <c r="G751" s="46"/>
      <c r="H751" s="46"/>
      <c r="I751" s="46"/>
      <c r="J751" s="46"/>
      <c r="K751" s="46"/>
      <c r="L751" s="46"/>
      <c r="M751" s="48"/>
      <c r="N751" s="48"/>
      <c r="O751" s="49"/>
      <c r="P751" s="48"/>
      <c r="Q751" s="48"/>
      <c r="R751" s="48"/>
      <c r="S751" s="46"/>
      <c r="T751" s="48"/>
      <c r="U751" s="48"/>
      <c r="V751" s="25"/>
      <c r="W751" s="25"/>
      <c r="X751" s="25"/>
    </row>
    <row r="752" spans="1:24" ht="15" customHeight="1" x14ac:dyDescent="0.25">
      <c r="A752" s="48"/>
      <c r="B752" s="49"/>
      <c r="C752" s="48"/>
      <c r="D752" s="48"/>
      <c r="E752" s="53"/>
      <c r="F752" s="46"/>
      <c r="G752" s="46"/>
      <c r="H752" s="46"/>
      <c r="I752" s="46"/>
      <c r="J752" s="46"/>
      <c r="K752" s="46"/>
      <c r="L752" s="46"/>
      <c r="M752" s="48"/>
      <c r="N752" s="48"/>
      <c r="O752" s="49"/>
      <c r="P752" s="48"/>
      <c r="Q752" s="48"/>
      <c r="R752" s="48"/>
      <c r="S752" s="46"/>
      <c r="T752" s="48"/>
      <c r="U752" s="48"/>
      <c r="V752" s="25"/>
      <c r="W752" s="25"/>
      <c r="X752" s="25"/>
    </row>
    <row r="753" spans="1:24" ht="15" customHeight="1" x14ac:dyDescent="0.25">
      <c r="A753" s="48"/>
      <c r="B753" s="49"/>
      <c r="C753" s="48"/>
      <c r="D753" s="48"/>
      <c r="E753" s="53"/>
      <c r="F753" s="46"/>
      <c r="G753" s="46"/>
      <c r="H753" s="46"/>
      <c r="I753" s="46"/>
      <c r="J753" s="46"/>
      <c r="K753" s="46"/>
      <c r="L753" s="46"/>
      <c r="M753" s="48"/>
      <c r="N753" s="48"/>
      <c r="O753" s="49"/>
      <c r="P753" s="48"/>
      <c r="Q753" s="48"/>
      <c r="R753" s="48"/>
      <c r="S753" s="46"/>
      <c r="T753" s="48"/>
      <c r="U753" s="48"/>
      <c r="V753" s="25"/>
      <c r="W753" s="25"/>
      <c r="X753" s="25"/>
    </row>
    <row r="754" spans="1:24" ht="15" customHeight="1" x14ac:dyDescent="0.25">
      <c r="A754" s="48"/>
      <c r="B754" s="49"/>
      <c r="C754" s="48"/>
      <c r="D754" s="48"/>
      <c r="E754" s="53"/>
      <c r="F754" s="46"/>
      <c r="G754" s="46"/>
      <c r="H754" s="46"/>
      <c r="I754" s="46"/>
      <c r="J754" s="46"/>
      <c r="K754" s="46"/>
      <c r="L754" s="46"/>
      <c r="M754" s="48"/>
      <c r="N754" s="48"/>
      <c r="O754" s="49"/>
      <c r="P754" s="48"/>
      <c r="Q754" s="48"/>
      <c r="R754" s="48"/>
      <c r="S754" s="46"/>
      <c r="T754" s="48"/>
      <c r="U754" s="48"/>
      <c r="V754" s="25"/>
      <c r="W754" s="25"/>
      <c r="X754" s="25"/>
    </row>
    <row r="755" spans="1:24" ht="15" customHeight="1" x14ac:dyDescent="0.25">
      <c r="A755" s="48"/>
      <c r="B755" s="49"/>
      <c r="C755" s="48"/>
      <c r="D755" s="48"/>
      <c r="E755" s="53"/>
      <c r="F755" s="46"/>
      <c r="G755" s="46"/>
      <c r="H755" s="46"/>
      <c r="I755" s="46"/>
      <c r="J755" s="46"/>
      <c r="K755" s="46"/>
      <c r="L755" s="46"/>
      <c r="M755" s="48"/>
      <c r="N755" s="48"/>
      <c r="O755" s="49"/>
      <c r="P755" s="48"/>
      <c r="Q755" s="48"/>
      <c r="R755" s="48"/>
      <c r="S755" s="46"/>
      <c r="T755" s="48"/>
      <c r="U755" s="48"/>
      <c r="V755" s="25"/>
      <c r="W755" s="25"/>
      <c r="X755" s="25"/>
    </row>
    <row r="756" spans="1:24" ht="15" customHeight="1" x14ac:dyDescent="0.25">
      <c r="A756" s="48"/>
      <c r="B756" s="49"/>
      <c r="C756" s="48"/>
      <c r="D756" s="48"/>
      <c r="E756" s="53"/>
      <c r="F756" s="46"/>
      <c r="G756" s="46"/>
      <c r="H756" s="46"/>
      <c r="I756" s="46"/>
      <c r="J756" s="46"/>
      <c r="K756" s="46"/>
      <c r="L756" s="46"/>
      <c r="M756" s="48"/>
      <c r="N756" s="48"/>
      <c r="O756" s="49"/>
      <c r="P756" s="48"/>
      <c r="Q756" s="48"/>
      <c r="R756" s="48"/>
      <c r="S756" s="46"/>
      <c r="T756" s="48"/>
      <c r="U756" s="48"/>
      <c r="V756" s="25"/>
      <c r="W756" s="25"/>
      <c r="X756" s="25"/>
    </row>
    <row r="757" spans="1:24" ht="15" customHeight="1" x14ac:dyDescent="0.25">
      <c r="A757" s="48"/>
      <c r="B757" s="49"/>
      <c r="C757" s="48"/>
      <c r="D757" s="48"/>
      <c r="E757" s="53"/>
      <c r="F757" s="46"/>
      <c r="G757" s="46"/>
      <c r="H757" s="46"/>
      <c r="I757" s="46"/>
      <c r="J757" s="46"/>
      <c r="K757" s="46"/>
      <c r="L757" s="46"/>
      <c r="M757" s="48"/>
      <c r="N757" s="48"/>
      <c r="O757" s="49"/>
      <c r="P757" s="48"/>
      <c r="Q757" s="48"/>
      <c r="R757" s="48"/>
      <c r="S757" s="46"/>
      <c r="T757" s="48"/>
      <c r="U757" s="48"/>
      <c r="V757" s="25"/>
      <c r="W757" s="25"/>
      <c r="X757" s="25"/>
    </row>
    <row r="758" spans="1:24" ht="15" customHeight="1" x14ac:dyDescent="0.25">
      <c r="A758" s="48"/>
      <c r="B758" s="49"/>
      <c r="C758" s="48"/>
      <c r="D758" s="48"/>
      <c r="E758" s="53"/>
      <c r="F758" s="46"/>
      <c r="G758" s="46"/>
      <c r="H758" s="46"/>
      <c r="I758" s="46"/>
      <c r="J758" s="46"/>
      <c r="K758" s="46"/>
      <c r="L758" s="46"/>
      <c r="M758" s="48"/>
      <c r="N758" s="48"/>
      <c r="O758" s="49"/>
      <c r="P758" s="48"/>
      <c r="Q758" s="48"/>
      <c r="R758" s="48"/>
      <c r="S758" s="46"/>
      <c r="T758" s="48"/>
      <c r="U758" s="48"/>
      <c r="V758" s="25"/>
      <c r="W758" s="25"/>
      <c r="X758" s="25"/>
    </row>
    <row r="759" spans="1:24" ht="15" customHeight="1" x14ac:dyDescent="0.25">
      <c r="A759" s="48"/>
      <c r="B759" s="49"/>
      <c r="C759" s="48"/>
      <c r="D759" s="48"/>
      <c r="E759" s="53"/>
      <c r="F759" s="46"/>
      <c r="G759" s="46"/>
      <c r="H759" s="46"/>
      <c r="I759" s="46"/>
      <c r="J759" s="46"/>
      <c r="K759" s="46"/>
      <c r="L759" s="46"/>
      <c r="M759" s="48"/>
      <c r="N759" s="48"/>
      <c r="O759" s="49"/>
      <c r="P759" s="48"/>
      <c r="Q759" s="48"/>
      <c r="R759" s="48"/>
      <c r="S759" s="46"/>
      <c r="T759" s="48"/>
      <c r="U759" s="48"/>
      <c r="V759" s="25"/>
      <c r="W759" s="25"/>
      <c r="X759" s="25"/>
    </row>
    <row r="760" spans="1:24" ht="15" customHeight="1" x14ac:dyDescent="0.25">
      <c r="A760" s="48"/>
      <c r="B760" s="49"/>
      <c r="C760" s="48"/>
      <c r="D760" s="48"/>
      <c r="E760" s="53"/>
      <c r="F760" s="46"/>
      <c r="G760" s="46"/>
      <c r="H760" s="46"/>
      <c r="I760" s="46"/>
      <c r="J760" s="46"/>
      <c r="K760" s="46"/>
      <c r="L760" s="46"/>
      <c r="M760" s="48"/>
      <c r="N760" s="48"/>
      <c r="O760" s="49"/>
      <c r="P760" s="48"/>
      <c r="Q760" s="48"/>
      <c r="R760" s="48"/>
      <c r="S760" s="46"/>
      <c r="T760" s="48"/>
      <c r="U760" s="48"/>
      <c r="V760" s="25"/>
      <c r="W760" s="25"/>
      <c r="X760" s="25"/>
    </row>
    <row r="761" spans="1:24" ht="15" customHeight="1" x14ac:dyDescent="0.25">
      <c r="A761" s="48"/>
      <c r="B761" s="49"/>
      <c r="C761" s="48"/>
      <c r="D761" s="48"/>
      <c r="E761" s="53"/>
      <c r="F761" s="46"/>
      <c r="G761" s="46"/>
      <c r="H761" s="46"/>
      <c r="I761" s="46"/>
      <c r="J761" s="46"/>
      <c r="K761" s="46"/>
      <c r="L761" s="46"/>
      <c r="M761" s="48"/>
      <c r="N761" s="48"/>
      <c r="O761" s="49"/>
      <c r="P761" s="48"/>
      <c r="Q761" s="48"/>
      <c r="R761" s="48"/>
      <c r="S761" s="46"/>
      <c r="T761" s="48"/>
      <c r="U761" s="48"/>
      <c r="V761" s="25"/>
      <c r="W761" s="25"/>
      <c r="X761" s="25"/>
    </row>
    <row r="762" spans="1:24" ht="15" customHeight="1" x14ac:dyDescent="0.25">
      <c r="A762" s="48"/>
      <c r="B762" s="49"/>
      <c r="C762" s="48"/>
      <c r="D762" s="48"/>
      <c r="E762" s="53"/>
      <c r="F762" s="46"/>
      <c r="G762" s="46"/>
      <c r="H762" s="46"/>
      <c r="I762" s="46"/>
      <c r="J762" s="46"/>
      <c r="K762" s="46"/>
      <c r="L762" s="46"/>
      <c r="M762" s="48"/>
      <c r="N762" s="48"/>
      <c r="O762" s="49"/>
      <c r="P762" s="48"/>
      <c r="Q762" s="48"/>
      <c r="R762" s="48"/>
      <c r="S762" s="46"/>
      <c r="T762" s="48"/>
      <c r="U762" s="48"/>
      <c r="V762" s="25"/>
      <c r="W762" s="25"/>
      <c r="X762" s="25"/>
    </row>
    <row r="763" spans="1:24" ht="15" customHeight="1" x14ac:dyDescent="0.25">
      <c r="A763" s="48"/>
      <c r="B763" s="49"/>
      <c r="C763" s="48"/>
      <c r="D763" s="48"/>
      <c r="E763" s="53"/>
      <c r="F763" s="46"/>
      <c r="G763" s="46"/>
      <c r="H763" s="46"/>
      <c r="I763" s="46"/>
      <c r="J763" s="46"/>
      <c r="K763" s="46"/>
      <c r="L763" s="46"/>
      <c r="M763" s="48"/>
      <c r="N763" s="48"/>
      <c r="O763" s="49"/>
      <c r="P763" s="48"/>
      <c r="Q763" s="48"/>
      <c r="R763" s="48"/>
      <c r="S763" s="46"/>
      <c r="T763" s="48"/>
      <c r="U763" s="48"/>
      <c r="V763" s="25"/>
      <c r="W763" s="25"/>
      <c r="X763" s="25"/>
    </row>
    <row r="764" spans="1:24" ht="15" customHeight="1" x14ac:dyDescent="0.25">
      <c r="A764" s="48"/>
      <c r="B764" s="49"/>
      <c r="C764" s="48"/>
      <c r="D764" s="48"/>
      <c r="E764" s="53"/>
      <c r="F764" s="46"/>
      <c r="G764" s="46"/>
      <c r="H764" s="46"/>
      <c r="I764" s="46"/>
      <c r="J764" s="46"/>
      <c r="K764" s="46"/>
      <c r="L764" s="46"/>
      <c r="M764" s="48"/>
      <c r="N764" s="48"/>
      <c r="O764" s="49"/>
      <c r="P764" s="48"/>
      <c r="Q764" s="48"/>
      <c r="R764" s="48"/>
      <c r="S764" s="46"/>
      <c r="T764" s="48"/>
      <c r="U764" s="48"/>
      <c r="V764" s="25"/>
      <c r="W764" s="25"/>
      <c r="X764" s="25"/>
    </row>
    <row r="765" spans="1:24" ht="15" customHeight="1" x14ac:dyDescent="0.25">
      <c r="A765" s="48"/>
      <c r="B765" s="49"/>
      <c r="C765" s="48"/>
      <c r="D765" s="48"/>
      <c r="E765" s="53"/>
      <c r="F765" s="46"/>
      <c r="G765" s="46"/>
      <c r="H765" s="46"/>
      <c r="I765" s="46"/>
      <c r="J765" s="46"/>
      <c r="K765" s="46"/>
      <c r="L765" s="46"/>
      <c r="M765" s="48"/>
      <c r="N765" s="48"/>
      <c r="O765" s="49"/>
      <c r="P765" s="48"/>
      <c r="Q765" s="48"/>
      <c r="R765" s="48"/>
      <c r="S765" s="46"/>
      <c r="T765" s="48"/>
      <c r="U765" s="48"/>
      <c r="V765" s="25"/>
      <c r="W765" s="25"/>
      <c r="X765" s="25"/>
    </row>
    <row r="766" spans="1:24" ht="15" customHeight="1" x14ac:dyDescent="0.25">
      <c r="A766" s="48"/>
      <c r="B766" s="49"/>
      <c r="C766" s="48"/>
      <c r="D766" s="48"/>
      <c r="E766" s="53"/>
      <c r="F766" s="46"/>
      <c r="G766" s="46"/>
      <c r="H766" s="46"/>
      <c r="I766" s="46"/>
      <c r="J766" s="46"/>
      <c r="K766" s="46"/>
      <c r="L766" s="46"/>
      <c r="M766" s="48"/>
      <c r="N766" s="48"/>
      <c r="O766" s="49"/>
      <c r="P766" s="48"/>
      <c r="Q766" s="48"/>
      <c r="R766" s="48"/>
      <c r="S766" s="46"/>
      <c r="T766" s="48"/>
      <c r="U766" s="48"/>
      <c r="V766" s="25"/>
      <c r="W766" s="25"/>
      <c r="X766" s="25"/>
    </row>
    <row r="767" spans="1:24" ht="15" customHeight="1" x14ac:dyDescent="0.25">
      <c r="A767" s="48"/>
      <c r="B767" s="49"/>
      <c r="C767" s="48"/>
      <c r="D767" s="48"/>
      <c r="E767" s="53"/>
      <c r="F767" s="46"/>
      <c r="G767" s="46"/>
      <c r="H767" s="46"/>
      <c r="I767" s="46"/>
      <c r="J767" s="46"/>
      <c r="K767" s="46"/>
      <c r="L767" s="46"/>
      <c r="M767" s="48"/>
      <c r="N767" s="48"/>
      <c r="O767" s="49"/>
      <c r="P767" s="48"/>
      <c r="Q767" s="48"/>
      <c r="R767" s="48"/>
      <c r="S767" s="46"/>
      <c r="T767" s="48"/>
      <c r="U767" s="48"/>
      <c r="V767" s="25"/>
      <c r="W767" s="25"/>
      <c r="X767" s="25"/>
    </row>
    <row r="768" spans="1:24" ht="15" customHeight="1" x14ac:dyDescent="0.25">
      <c r="A768" s="48"/>
      <c r="B768" s="49"/>
      <c r="C768" s="48"/>
      <c r="D768" s="48"/>
      <c r="E768" s="53"/>
      <c r="F768" s="46"/>
      <c r="G768" s="46"/>
      <c r="H768" s="46"/>
      <c r="I768" s="46"/>
      <c r="J768" s="46"/>
      <c r="K768" s="46"/>
      <c r="L768" s="46"/>
      <c r="M768" s="48"/>
      <c r="N768" s="48"/>
      <c r="O768" s="49"/>
      <c r="P768" s="48"/>
      <c r="Q768" s="48"/>
      <c r="R768" s="48"/>
      <c r="S768" s="46"/>
      <c r="T768" s="48"/>
      <c r="U768" s="48"/>
      <c r="V768" s="25"/>
      <c r="W768" s="25"/>
      <c r="X768" s="25"/>
    </row>
    <row r="769" spans="1:24" ht="15" customHeight="1" x14ac:dyDescent="0.25">
      <c r="A769" s="48"/>
      <c r="B769" s="49"/>
      <c r="C769" s="48"/>
      <c r="D769" s="48"/>
      <c r="E769" s="53"/>
      <c r="F769" s="46"/>
      <c r="G769" s="46"/>
      <c r="H769" s="46"/>
      <c r="I769" s="46"/>
      <c r="J769" s="46"/>
      <c r="K769" s="46"/>
      <c r="L769" s="46"/>
      <c r="M769" s="48"/>
      <c r="N769" s="48"/>
      <c r="O769" s="49"/>
      <c r="P769" s="48"/>
      <c r="Q769" s="48"/>
      <c r="R769" s="48"/>
      <c r="S769" s="46"/>
      <c r="T769" s="48"/>
      <c r="U769" s="48"/>
      <c r="V769" s="25"/>
      <c r="W769" s="25"/>
      <c r="X769" s="25"/>
    </row>
    <row r="770" spans="1:24" ht="15" customHeight="1" x14ac:dyDescent="0.25">
      <c r="A770" s="48"/>
      <c r="B770" s="49"/>
      <c r="C770" s="48"/>
      <c r="D770" s="48"/>
      <c r="E770" s="53"/>
      <c r="F770" s="46"/>
      <c r="G770" s="46"/>
      <c r="H770" s="46"/>
      <c r="I770" s="46"/>
      <c r="J770" s="46"/>
      <c r="K770" s="46"/>
      <c r="L770" s="46"/>
      <c r="M770" s="48"/>
      <c r="N770" s="48"/>
      <c r="O770" s="49"/>
      <c r="P770" s="48"/>
      <c r="Q770" s="48"/>
      <c r="R770" s="48"/>
      <c r="S770" s="46"/>
      <c r="T770" s="48"/>
      <c r="U770" s="48"/>
      <c r="V770" s="25"/>
      <c r="W770" s="25"/>
      <c r="X770" s="25"/>
    </row>
    <row r="771" spans="1:24" ht="15" customHeight="1" x14ac:dyDescent="0.25">
      <c r="A771" s="48"/>
      <c r="B771" s="49"/>
      <c r="C771" s="48"/>
      <c r="D771" s="48"/>
      <c r="E771" s="53"/>
      <c r="F771" s="46"/>
      <c r="G771" s="46"/>
      <c r="H771" s="46"/>
      <c r="I771" s="46"/>
      <c r="J771" s="46"/>
      <c r="K771" s="46"/>
      <c r="L771" s="46"/>
      <c r="M771" s="48"/>
      <c r="N771" s="48"/>
      <c r="O771" s="49"/>
      <c r="P771" s="48"/>
      <c r="Q771" s="48"/>
      <c r="R771" s="48"/>
      <c r="S771" s="46"/>
      <c r="T771" s="48"/>
      <c r="U771" s="48"/>
      <c r="V771" s="25"/>
      <c r="W771" s="25"/>
      <c r="X771" s="25"/>
    </row>
    <row r="772" spans="1:24" ht="15" customHeight="1" x14ac:dyDescent="0.25">
      <c r="A772" s="48"/>
      <c r="B772" s="49"/>
      <c r="C772" s="48"/>
      <c r="D772" s="48"/>
      <c r="E772" s="53"/>
      <c r="F772" s="46"/>
      <c r="G772" s="46"/>
      <c r="H772" s="46"/>
      <c r="I772" s="46"/>
      <c r="J772" s="46"/>
      <c r="K772" s="46"/>
      <c r="L772" s="46"/>
      <c r="M772" s="48"/>
      <c r="N772" s="48"/>
      <c r="O772" s="49"/>
      <c r="P772" s="48"/>
      <c r="Q772" s="48"/>
      <c r="R772" s="48"/>
      <c r="S772" s="46"/>
      <c r="T772" s="48"/>
      <c r="U772" s="48"/>
      <c r="V772" s="25"/>
      <c r="W772" s="25"/>
      <c r="X772" s="25"/>
    </row>
    <row r="773" spans="1:24" ht="15" customHeight="1" x14ac:dyDescent="0.25">
      <c r="A773" s="48"/>
      <c r="B773" s="49"/>
      <c r="C773" s="48"/>
      <c r="D773" s="48"/>
      <c r="E773" s="53"/>
      <c r="F773" s="46"/>
      <c r="G773" s="46"/>
      <c r="H773" s="46"/>
      <c r="I773" s="46"/>
      <c r="J773" s="46"/>
      <c r="K773" s="46"/>
      <c r="L773" s="46"/>
      <c r="M773" s="48"/>
      <c r="N773" s="48"/>
      <c r="O773" s="49"/>
      <c r="P773" s="48"/>
      <c r="Q773" s="48"/>
      <c r="R773" s="48"/>
      <c r="S773" s="46"/>
      <c r="T773" s="48"/>
      <c r="U773" s="48"/>
      <c r="V773" s="25"/>
      <c r="W773" s="25"/>
      <c r="X773" s="25"/>
    </row>
    <row r="774" spans="1:24" ht="15" customHeight="1" x14ac:dyDescent="0.25">
      <c r="A774" s="48"/>
      <c r="B774" s="49"/>
      <c r="C774" s="48"/>
      <c r="D774" s="48"/>
      <c r="E774" s="53"/>
      <c r="F774" s="46"/>
      <c r="G774" s="46"/>
      <c r="H774" s="46"/>
      <c r="I774" s="46"/>
      <c r="J774" s="46"/>
      <c r="K774" s="46"/>
      <c r="L774" s="46"/>
      <c r="M774" s="48"/>
      <c r="N774" s="48"/>
      <c r="O774" s="49"/>
      <c r="P774" s="48"/>
      <c r="Q774" s="48"/>
      <c r="R774" s="48"/>
      <c r="S774" s="46"/>
      <c r="T774" s="48"/>
      <c r="U774" s="48"/>
      <c r="V774" s="25"/>
      <c r="W774" s="25"/>
      <c r="X774" s="25"/>
    </row>
    <row r="775" spans="1:24" ht="15" customHeight="1" x14ac:dyDescent="0.25">
      <c r="A775" s="48"/>
      <c r="B775" s="49"/>
      <c r="C775" s="48"/>
      <c r="D775" s="48"/>
      <c r="E775" s="53"/>
      <c r="F775" s="46"/>
      <c r="G775" s="46"/>
      <c r="H775" s="46"/>
      <c r="I775" s="46"/>
      <c r="J775" s="46"/>
      <c r="K775" s="46"/>
      <c r="L775" s="46"/>
      <c r="M775" s="48"/>
      <c r="N775" s="48"/>
      <c r="O775" s="49"/>
      <c r="P775" s="48"/>
      <c r="Q775" s="48"/>
      <c r="R775" s="48"/>
      <c r="S775" s="46"/>
      <c r="T775" s="48"/>
      <c r="U775" s="48"/>
      <c r="V775" s="25"/>
      <c r="W775" s="25"/>
      <c r="X775" s="25"/>
    </row>
    <row r="776" spans="1:24" ht="15" customHeight="1" x14ac:dyDescent="0.25">
      <c r="A776" s="48"/>
      <c r="B776" s="49"/>
      <c r="C776" s="48"/>
      <c r="D776" s="48"/>
      <c r="E776" s="53"/>
      <c r="F776" s="46"/>
      <c r="G776" s="46"/>
      <c r="H776" s="46"/>
      <c r="I776" s="46"/>
      <c r="J776" s="46"/>
      <c r="K776" s="46"/>
      <c r="L776" s="46"/>
      <c r="M776" s="48"/>
      <c r="N776" s="48"/>
      <c r="O776" s="49"/>
      <c r="P776" s="48"/>
      <c r="Q776" s="48"/>
      <c r="R776" s="48"/>
      <c r="S776" s="46"/>
      <c r="T776" s="48"/>
      <c r="U776" s="48"/>
      <c r="V776" s="25"/>
      <c r="W776" s="25"/>
      <c r="X776" s="25"/>
    </row>
    <row r="777" spans="1:24" ht="15" customHeight="1" x14ac:dyDescent="0.25">
      <c r="A777" s="48"/>
      <c r="B777" s="49"/>
      <c r="C777" s="48"/>
      <c r="D777" s="48"/>
      <c r="E777" s="53"/>
      <c r="F777" s="46"/>
      <c r="G777" s="46"/>
      <c r="H777" s="46"/>
      <c r="I777" s="46"/>
      <c r="J777" s="46"/>
      <c r="K777" s="46"/>
      <c r="L777" s="46"/>
      <c r="M777" s="48"/>
      <c r="N777" s="48"/>
      <c r="O777" s="49"/>
      <c r="P777" s="48"/>
      <c r="Q777" s="48"/>
      <c r="R777" s="48"/>
      <c r="S777" s="46"/>
      <c r="T777" s="48"/>
      <c r="U777" s="48"/>
      <c r="V777" s="25"/>
      <c r="W777" s="25"/>
      <c r="X777" s="25"/>
    </row>
    <row r="778" spans="1:24" ht="15" customHeight="1" x14ac:dyDescent="0.25">
      <c r="A778" s="48"/>
      <c r="B778" s="49"/>
      <c r="C778" s="48"/>
      <c r="D778" s="48"/>
      <c r="E778" s="53"/>
      <c r="F778" s="46"/>
      <c r="G778" s="46"/>
      <c r="H778" s="46"/>
      <c r="I778" s="46"/>
      <c r="J778" s="46"/>
      <c r="K778" s="46"/>
      <c r="L778" s="46"/>
      <c r="M778" s="48"/>
      <c r="N778" s="48"/>
      <c r="O778" s="49"/>
      <c r="P778" s="48"/>
      <c r="Q778" s="48"/>
      <c r="R778" s="48"/>
      <c r="S778" s="46"/>
      <c r="T778" s="48"/>
      <c r="U778" s="48"/>
      <c r="V778" s="25"/>
      <c r="W778" s="25"/>
      <c r="X778" s="25"/>
    </row>
    <row r="779" spans="1:24" ht="15" customHeight="1" x14ac:dyDescent="0.25">
      <c r="A779" s="48"/>
      <c r="B779" s="49"/>
      <c r="C779" s="48"/>
      <c r="D779" s="48"/>
      <c r="E779" s="53"/>
      <c r="F779" s="46"/>
      <c r="G779" s="46"/>
      <c r="H779" s="46"/>
      <c r="I779" s="46"/>
      <c r="J779" s="46"/>
      <c r="K779" s="46"/>
      <c r="L779" s="46"/>
      <c r="M779" s="48"/>
      <c r="N779" s="48"/>
      <c r="O779" s="49"/>
      <c r="P779" s="48"/>
      <c r="Q779" s="48"/>
      <c r="R779" s="48"/>
      <c r="S779" s="46"/>
      <c r="T779" s="48"/>
      <c r="U779" s="48"/>
      <c r="V779" s="25"/>
      <c r="W779" s="25"/>
      <c r="X779" s="25"/>
    </row>
    <row r="780" spans="1:24" ht="15" customHeight="1" x14ac:dyDescent="0.25">
      <c r="A780" s="26"/>
      <c r="B780" s="27"/>
      <c r="C780" s="27"/>
      <c r="D780" s="46"/>
      <c r="E780" s="53"/>
      <c r="F780" s="46"/>
      <c r="G780" s="46"/>
      <c r="H780" s="46"/>
      <c r="I780" s="46"/>
      <c r="J780" s="46"/>
      <c r="K780" s="46"/>
      <c r="L780" s="46"/>
      <c r="M780" s="48"/>
      <c r="N780" s="48"/>
      <c r="O780" s="49"/>
      <c r="P780" s="48"/>
      <c r="Q780" s="48"/>
      <c r="R780" s="48"/>
      <c r="S780" s="46"/>
      <c r="T780" s="50"/>
      <c r="U780" s="28"/>
      <c r="V780" s="25"/>
      <c r="W780" s="25"/>
      <c r="X780" s="25"/>
    </row>
    <row r="781" spans="1:24" ht="15" customHeight="1" x14ac:dyDescent="0.25">
      <c r="A781" s="26"/>
      <c r="B781" s="27"/>
      <c r="C781" s="27"/>
      <c r="D781" s="46"/>
      <c r="E781" s="29"/>
      <c r="F781" s="46"/>
      <c r="G781" s="46"/>
      <c r="H781" s="46"/>
      <c r="I781" s="46"/>
      <c r="J781" s="46"/>
      <c r="K781" s="46"/>
      <c r="L781" s="51"/>
      <c r="M781" s="48"/>
      <c r="N781" s="48"/>
      <c r="O781" s="48"/>
      <c r="P781" s="48"/>
      <c r="Q781" s="48"/>
      <c r="R781" s="48"/>
      <c r="S781" s="46"/>
      <c r="T781" s="50"/>
      <c r="U781" s="25"/>
    </row>
    <row r="782" spans="1:24" ht="15" customHeight="1" x14ac:dyDescent="0.25">
      <c r="A782" s="26"/>
      <c r="B782" s="27"/>
      <c r="C782" s="27"/>
      <c r="D782" s="46"/>
      <c r="E782" s="47"/>
      <c r="F782" s="46"/>
      <c r="G782" s="46"/>
      <c r="H782" s="46"/>
      <c r="I782" s="46"/>
      <c r="J782" s="46"/>
      <c r="K782" s="46"/>
      <c r="L782" s="46"/>
      <c r="M782" s="48"/>
      <c r="N782" s="48"/>
      <c r="O782" s="49"/>
      <c r="P782" s="48"/>
      <c r="Q782" s="48"/>
      <c r="R782" s="48"/>
      <c r="S782" s="46"/>
      <c r="T782" s="50"/>
      <c r="U782" s="25"/>
    </row>
    <row r="783" spans="1:24" ht="15" customHeight="1" x14ac:dyDescent="0.25">
      <c r="A783" s="48"/>
      <c r="B783" s="49"/>
      <c r="C783" s="48"/>
      <c r="D783" s="48"/>
      <c r="E783" s="53"/>
      <c r="F783" s="46"/>
      <c r="G783" s="46"/>
      <c r="H783" s="46"/>
      <c r="I783" s="46"/>
      <c r="J783" s="46"/>
      <c r="K783" s="46"/>
      <c r="L783" s="46"/>
      <c r="M783" s="48"/>
      <c r="N783" s="48"/>
      <c r="O783" s="49"/>
      <c r="P783" s="48"/>
      <c r="Q783" s="48"/>
      <c r="R783" s="48"/>
      <c r="S783" s="46"/>
      <c r="T783" s="48"/>
      <c r="U783" s="48"/>
    </row>
    <row r="784" spans="1:24" ht="15" customHeight="1" x14ac:dyDescent="0.25">
      <c r="A784" s="52"/>
      <c r="B784" s="27"/>
      <c r="C784" s="27"/>
      <c r="D784" s="52"/>
      <c r="E784" s="29"/>
      <c r="F784" s="46"/>
      <c r="G784" s="46"/>
      <c r="H784" s="46"/>
      <c r="I784" s="46"/>
      <c r="J784" s="46"/>
      <c r="K784" s="46"/>
      <c r="L784" s="51"/>
      <c r="M784" s="48"/>
      <c r="N784" s="48"/>
      <c r="O784" s="48"/>
      <c r="P784" s="48"/>
      <c r="Q784" s="48"/>
      <c r="R784" s="48"/>
      <c r="S784" s="46"/>
      <c r="T784" s="50"/>
      <c r="U784" s="25"/>
    </row>
    <row r="785" spans="1:21" ht="15" customHeight="1" x14ac:dyDescent="0.25">
      <c r="A785" s="26"/>
      <c r="B785" s="27"/>
      <c r="C785" s="27"/>
      <c r="D785" s="46"/>
      <c r="E785" s="47"/>
      <c r="F785" s="46"/>
      <c r="G785" s="46"/>
      <c r="H785" s="46"/>
      <c r="I785" s="46"/>
      <c r="J785" s="46"/>
      <c r="K785" s="46"/>
      <c r="L785" s="46"/>
      <c r="M785" s="48"/>
      <c r="N785" s="48"/>
      <c r="O785" s="49"/>
      <c r="P785" s="48"/>
      <c r="Q785" s="48"/>
      <c r="R785" s="48"/>
      <c r="S785" s="46"/>
      <c r="T785" s="50"/>
      <c r="U785" s="25"/>
    </row>
    <row r="786" spans="1:21" ht="15" customHeight="1" x14ac:dyDescent="0.25">
      <c r="A786" s="48"/>
      <c r="B786" s="49"/>
      <c r="C786" s="48"/>
      <c r="D786" s="48"/>
      <c r="E786" s="53"/>
      <c r="F786" s="46"/>
      <c r="G786" s="46"/>
      <c r="H786" s="46"/>
      <c r="I786" s="46"/>
      <c r="J786" s="46"/>
      <c r="K786" s="46"/>
      <c r="L786" s="46"/>
      <c r="M786" s="48"/>
      <c r="N786" s="48"/>
      <c r="O786" s="49"/>
      <c r="P786" s="48"/>
      <c r="Q786" s="48"/>
      <c r="R786" s="48"/>
      <c r="S786" s="46"/>
      <c r="T786" s="48"/>
      <c r="U786" s="48"/>
    </row>
    <row r="787" spans="1:21" ht="15" customHeight="1" x14ac:dyDescent="0.25">
      <c r="A787" s="52"/>
      <c r="B787" s="27"/>
      <c r="C787" s="27"/>
      <c r="D787" s="52"/>
      <c r="E787" s="29"/>
      <c r="F787" s="46"/>
      <c r="G787" s="46"/>
      <c r="H787" s="46"/>
      <c r="I787" s="46"/>
      <c r="J787" s="46"/>
      <c r="K787" s="46"/>
      <c r="L787" s="51"/>
      <c r="M787" s="48"/>
      <c r="N787" s="48"/>
      <c r="O787" s="48"/>
      <c r="P787" s="48"/>
      <c r="Q787" s="48"/>
      <c r="R787" s="48"/>
      <c r="S787" s="46"/>
      <c r="T787" s="50"/>
      <c r="U787" s="25"/>
    </row>
    <row r="788" spans="1:21" ht="15" customHeight="1" x14ac:dyDescent="0.25">
      <c r="A788" s="48"/>
      <c r="B788" s="49"/>
      <c r="C788" s="48"/>
      <c r="D788" s="48"/>
      <c r="E788" s="47"/>
      <c r="F788" s="46"/>
      <c r="G788" s="46"/>
      <c r="H788" s="46"/>
      <c r="I788" s="46"/>
      <c r="J788" s="46"/>
      <c r="K788" s="46"/>
      <c r="L788" s="46"/>
      <c r="M788" s="48"/>
      <c r="N788" s="48"/>
      <c r="O788" s="49"/>
      <c r="P788" s="48"/>
      <c r="Q788" s="48"/>
      <c r="R788" s="48"/>
      <c r="S788" s="46"/>
      <c r="T788" s="50"/>
      <c r="U788" s="25"/>
    </row>
    <row r="789" spans="1:21" ht="15" customHeight="1" x14ac:dyDescent="0.25">
      <c r="A789" s="26"/>
      <c r="B789" s="27"/>
      <c r="C789" s="27"/>
      <c r="D789" s="46"/>
      <c r="E789" s="53"/>
      <c r="F789" s="46"/>
      <c r="G789" s="46"/>
      <c r="H789" s="46"/>
      <c r="I789" s="46"/>
      <c r="J789" s="46"/>
      <c r="K789" s="46"/>
      <c r="L789" s="46"/>
      <c r="M789" s="48"/>
      <c r="N789" s="48"/>
      <c r="O789" s="49"/>
      <c r="P789" s="48"/>
      <c r="Q789" s="48"/>
      <c r="R789" s="48"/>
      <c r="S789" s="46"/>
      <c r="T789" s="48"/>
      <c r="U789" s="48"/>
    </row>
    <row r="790" spans="1:21" ht="15" customHeight="1" x14ac:dyDescent="0.25">
      <c r="A790" s="52"/>
      <c r="B790" s="27"/>
      <c r="C790" s="27"/>
      <c r="D790" s="52"/>
      <c r="E790" s="29"/>
      <c r="F790" s="46"/>
      <c r="G790" s="46"/>
      <c r="H790" s="46"/>
      <c r="I790" s="46"/>
      <c r="J790" s="46"/>
      <c r="K790" s="46"/>
      <c r="L790" s="51"/>
      <c r="M790" s="48"/>
      <c r="N790" s="48"/>
      <c r="O790" s="48"/>
      <c r="P790" s="48"/>
      <c r="Q790" s="48"/>
      <c r="R790" s="48"/>
      <c r="S790" s="46"/>
      <c r="T790" s="50"/>
      <c r="U790" s="25"/>
    </row>
    <row r="791" spans="1:21" ht="15" customHeight="1" x14ac:dyDescent="0.25">
      <c r="A791" s="30"/>
      <c r="B791" s="27"/>
      <c r="C791" s="27"/>
      <c r="D791" s="27"/>
      <c r="E791" s="31"/>
      <c r="F791" s="46"/>
      <c r="G791" s="46"/>
      <c r="H791" s="46"/>
      <c r="I791" s="46"/>
      <c r="J791" s="46"/>
      <c r="K791" s="46"/>
      <c r="L791" s="51"/>
      <c r="M791" s="48"/>
      <c r="N791" s="48"/>
      <c r="O791" s="48"/>
      <c r="P791" s="48"/>
      <c r="Q791" s="48"/>
      <c r="R791" s="48"/>
      <c r="S791" s="46"/>
      <c r="T791" s="28"/>
      <c r="U791" s="28"/>
    </row>
    <row r="792" spans="1:21" ht="15" customHeight="1" x14ac:dyDescent="0.25">
      <c r="A792" s="26"/>
      <c r="B792" s="27"/>
      <c r="C792" s="27"/>
      <c r="D792" s="46"/>
      <c r="E792" s="29"/>
      <c r="F792" s="46"/>
      <c r="G792" s="46"/>
      <c r="H792" s="46"/>
      <c r="I792" s="46"/>
      <c r="J792" s="46"/>
      <c r="K792" s="46"/>
      <c r="L792" s="51"/>
      <c r="M792" s="48"/>
      <c r="N792" s="48"/>
      <c r="O792" s="48"/>
      <c r="P792" s="48"/>
      <c r="Q792" s="48"/>
      <c r="R792" s="48"/>
      <c r="S792" s="46"/>
      <c r="T792" s="50"/>
      <c r="U792" s="25"/>
    </row>
    <row r="793" spans="1:21" ht="15" customHeight="1" x14ac:dyDescent="0.25">
      <c r="A793" s="26"/>
      <c r="B793" s="27"/>
      <c r="C793" s="27"/>
      <c r="D793" s="46"/>
      <c r="E793" s="47"/>
      <c r="F793" s="46"/>
      <c r="G793" s="46"/>
      <c r="H793" s="46"/>
      <c r="I793" s="46"/>
      <c r="J793" s="46"/>
      <c r="K793" s="46"/>
      <c r="L793" s="46"/>
      <c r="M793" s="48"/>
      <c r="N793" s="48"/>
      <c r="O793" s="49"/>
      <c r="P793" s="48"/>
      <c r="Q793" s="48"/>
      <c r="R793" s="48"/>
      <c r="S793" s="46"/>
      <c r="T793" s="50"/>
      <c r="U793" s="25"/>
    </row>
    <row r="794" spans="1:21" ht="15" customHeight="1" x14ac:dyDescent="0.25">
      <c r="A794" s="48"/>
      <c r="B794" s="48"/>
      <c r="C794" s="49"/>
      <c r="D794" s="48"/>
      <c r="E794" s="53"/>
      <c r="F794" s="46"/>
      <c r="G794" s="46"/>
      <c r="H794" s="46"/>
      <c r="I794" s="46"/>
      <c r="J794" s="46"/>
      <c r="K794" s="46"/>
      <c r="L794" s="46"/>
      <c r="M794" s="48"/>
      <c r="N794" s="48"/>
      <c r="O794" s="49"/>
      <c r="P794" s="48"/>
      <c r="Q794" s="48"/>
      <c r="R794" s="48"/>
      <c r="S794" s="46"/>
      <c r="T794" s="48"/>
      <c r="U794" s="49"/>
    </row>
    <row r="795" spans="1:21" ht="15" customHeight="1" x14ac:dyDescent="0.25">
      <c r="A795" s="26"/>
      <c r="B795" s="27"/>
      <c r="C795" s="27"/>
      <c r="D795" s="46"/>
      <c r="E795" s="53"/>
      <c r="F795" s="46"/>
      <c r="G795" s="46"/>
      <c r="H795" s="46"/>
      <c r="I795" s="46"/>
      <c r="J795" s="46"/>
      <c r="K795" s="46"/>
      <c r="L795" s="46"/>
      <c r="M795" s="48"/>
      <c r="N795" s="48"/>
      <c r="O795" s="49"/>
      <c r="P795" s="48"/>
      <c r="Q795" s="48"/>
      <c r="R795" s="48"/>
      <c r="S795" s="46"/>
      <c r="T795" s="50"/>
      <c r="U795" s="28"/>
    </row>
    <row r="796" spans="1:21" ht="15" customHeight="1" x14ac:dyDescent="0.25">
      <c r="A796" s="26"/>
      <c r="B796" s="27"/>
      <c r="C796" s="27"/>
      <c r="D796" s="46"/>
      <c r="E796" s="47"/>
      <c r="F796" s="46"/>
      <c r="G796" s="46"/>
      <c r="H796" s="46"/>
      <c r="I796" s="46"/>
      <c r="J796" s="46"/>
      <c r="K796" s="46"/>
      <c r="L796" s="46"/>
      <c r="M796" s="48"/>
      <c r="N796" s="48"/>
      <c r="O796" s="49"/>
      <c r="P796" s="48"/>
      <c r="Q796" s="48"/>
      <c r="R796" s="48"/>
      <c r="S796" s="46"/>
      <c r="T796" s="50"/>
      <c r="U796" s="25"/>
    </row>
    <row r="797" spans="1:21" ht="15" customHeight="1" x14ac:dyDescent="0.25">
      <c r="A797" s="26"/>
      <c r="B797" s="27"/>
      <c r="C797" s="27"/>
      <c r="D797" s="46"/>
      <c r="E797" s="53"/>
      <c r="F797" s="46"/>
      <c r="G797" s="46"/>
      <c r="H797" s="46"/>
      <c r="I797" s="46"/>
      <c r="J797" s="46"/>
      <c r="K797" s="46"/>
      <c r="L797" s="46"/>
      <c r="M797" s="48"/>
      <c r="N797" s="48"/>
      <c r="O797" s="49"/>
      <c r="P797" s="48"/>
      <c r="Q797" s="48"/>
      <c r="R797" s="48"/>
      <c r="S797" s="46"/>
      <c r="T797" s="50"/>
      <c r="U797" s="50"/>
    </row>
    <row r="798" spans="1:21" ht="15" customHeight="1" x14ac:dyDescent="0.25">
      <c r="A798" s="26"/>
      <c r="B798" s="27"/>
      <c r="C798" s="27"/>
      <c r="D798" s="46"/>
      <c r="E798" s="47"/>
      <c r="F798" s="46"/>
      <c r="G798" s="46"/>
      <c r="H798" s="46"/>
      <c r="I798" s="46"/>
      <c r="J798" s="46"/>
      <c r="K798" s="46"/>
      <c r="L798" s="46"/>
      <c r="M798" s="48"/>
      <c r="N798" s="48"/>
      <c r="O798" s="49"/>
      <c r="P798" s="48"/>
      <c r="Q798" s="48"/>
      <c r="R798" s="48"/>
      <c r="S798" s="46"/>
      <c r="T798" s="50"/>
      <c r="U798" s="25"/>
    </row>
    <row r="799" spans="1:21" ht="15" customHeight="1" x14ac:dyDescent="0.25">
      <c r="A799" s="26"/>
      <c r="B799" s="27"/>
      <c r="C799" s="27"/>
      <c r="D799" s="46"/>
      <c r="E799" s="53"/>
      <c r="F799" s="46"/>
      <c r="G799" s="46"/>
      <c r="H799" s="46"/>
      <c r="I799" s="46"/>
      <c r="J799" s="46"/>
      <c r="K799" s="46"/>
      <c r="L799" s="46"/>
      <c r="M799" s="48"/>
      <c r="N799" s="48"/>
      <c r="O799" s="49"/>
      <c r="P799" s="48"/>
      <c r="Q799" s="48"/>
      <c r="R799" s="48"/>
      <c r="S799" s="46"/>
      <c r="T799" s="50"/>
      <c r="U799" s="28"/>
    </row>
    <row r="800" spans="1:21" ht="15" customHeight="1" x14ac:dyDescent="0.25">
      <c r="A800" s="26"/>
      <c r="B800" s="27"/>
      <c r="C800" s="27"/>
      <c r="D800" s="46"/>
      <c r="E800" s="47"/>
      <c r="F800" s="46"/>
      <c r="G800" s="46"/>
      <c r="H800" s="46"/>
      <c r="I800" s="46"/>
      <c r="J800" s="46"/>
      <c r="K800" s="46"/>
      <c r="L800" s="46"/>
      <c r="M800" s="48"/>
      <c r="N800" s="48"/>
      <c r="O800" s="49"/>
      <c r="P800" s="48"/>
      <c r="Q800" s="48"/>
      <c r="R800" s="48"/>
      <c r="S800" s="46"/>
      <c r="T800" s="50"/>
      <c r="U800" s="25"/>
    </row>
    <row r="801" spans="1:21" ht="15" customHeight="1" x14ac:dyDescent="0.25">
      <c r="A801" s="26"/>
      <c r="B801" s="27"/>
      <c r="C801" s="27"/>
      <c r="D801" s="46"/>
      <c r="E801" s="53"/>
      <c r="F801" s="46"/>
      <c r="G801" s="46"/>
      <c r="H801" s="46"/>
      <c r="I801" s="46"/>
      <c r="J801" s="46"/>
      <c r="K801" s="46"/>
      <c r="L801" s="46"/>
      <c r="M801" s="48"/>
      <c r="N801" s="48"/>
      <c r="O801" s="49"/>
      <c r="P801" s="48"/>
      <c r="Q801" s="48"/>
      <c r="R801" s="48"/>
      <c r="S801" s="46"/>
      <c r="T801" s="50"/>
      <c r="U801" s="28"/>
    </row>
    <row r="802" spans="1:21" ht="15" customHeight="1" x14ac:dyDescent="0.25">
      <c r="A802" s="26"/>
      <c r="B802" s="27"/>
      <c r="C802" s="27"/>
      <c r="D802" s="46"/>
      <c r="E802" s="47"/>
      <c r="F802" s="46"/>
      <c r="G802" s="46"/>
      <c r="H802" s="46"/>
      <c r="I802" s="46"/>
      <c r="J802" s="46"/>
      <c r="K802" s="46"/>
      <c r="L802" s="46"/>
      <c r="M802" s="48"/>
      <c r="N802" s="48"/>
      <c r="O802" s="49"/>
      <c r="P802" s="48"/>
      <c r="Q802" s="48"/>
      <c r="R802" s="48"/>
      <c r="S802" s="46"/>
      <c r="T802" s="50"/>
      <c r="U802" s="25"/>
    </row>
    <row r="803" spans="1:21" ht="15" customHeight="1" x14ac:dyDescent="0.25">
      <c r="A803" s="26"/>
      <c r="B803" s="27"/>
      <c r="C803" s="27"/>
      <c r="D803" s="46"/>
      <c r="E803" s="53"/>
      <c r="F803" s="46"/>
      <c r="G803" s="46"/>
      <c r="H803" s="46"/>
      <c r="I803" s="46"/>
      <c r="J803" s="46"/>
      <c r="K803" s="46"/>
      <c r="L803" s="46"/>
      <c r="M803" s="48"/>
      <c r="N803" s="48"/>
      <c r="O803" s="49"/>
      <c r="P803" s="48"/>
      <c r="Q803" s="48"/>
      <c r="R803" s="48"/>
      <c r="S803" s="46"/>
      <c r="T803" s="50"/>
      <c r="U803" s="28"/>
    </row>
    <row r="804" spans="1:21" ht="15" customHeight="1" x14ac:dyDescent="0.25">
      <c r="A804" s="26"/>
      <c r="B804" s="27"/>
      <c r="C804" s="27"/>
      <c r="D804" s="46"/>
      <c r="E804" s="47"/>
      <c r="F804" s="46"/>
      <c r="G804" s="46"/>
      <c r="H804" s="46"/>
      <c r="I804" s="46"/>
      <c r="J804" s="46"/>
      <c r="K804" s="46"/>
      <c r="L804" s="46"/>
      <c r="M804" s="48"/>
      <c r="N804" s="48"/>
      <c r="O804" s="49"/>
      <c r="P804" s="48"/>
      <c r="Q804" s="48"/>
      <c r="R804" s="48"/>
      <c r="S804" s="46"/>
      <c r="T804" s="50"/>
      <c r="U804" s="25"/>
    </row>
    <row r="805" spans="1:21" ht="15" customHeight="1" x14ac:dyDescent="0.25">
      <c r="A805" s="26"/>
      <c r="B805" s="27"/>
      <c r="C805" s="27"/>
      <c r="D805" s="46"/>
      <c r="E805" s="53"/>
      <c r="F805" s="46"/>
      <c r="G805" s="46"/>
      <c r="H805" s="46"/>
      <c r="I805" s="46"/>
      <c r="J805" s="46"/>
      <c r="K805" s="46"/>
      <c r="L805" s="46"/>
      <c r="M805" s="48"/>
      <c r="N805" s="48"/>
      <c r="O805" s="49"/>
      <c r="P805" s="48"/>
      <c r="Q805" s="48"/>
      <c r="R805" s="48"/>
      <c r="S805" s="46"/>
      <c r="T805" s="50"/>
      <c r="U805" s="28"/>
    </row>
    <row r="806" spans="1:21" ht="15" customHeight="1" x14ac:dyDescent="0.25">
      <c r="A806" s="26"/>
      <c r="B806" s="27"/>
      <c r="C806" s="27"/>
      <c r="D806" s="46"/>
      <c r="E806" s="47"/>
      <c r="F806" s="46"/>
      <c r="G806" s="46"/>
      <c r="H806" s="46"/>
      <c r="I806" s="46"/>
      <c r="J806" s="46"/>
      <c r="K806" s="46"/>
      <c r="L806" s="46"/>
      <c r="M806" s="48"/>
      <c r="N806" s="48"/>
      <c r="O806" s="49"/>
      <c r="P806" s="48"/>
      <c r="Q806" s="48"/>
      <c r="R806" s="48"/>
      <c r="S806" s="46"/>
      <c r="T806" s="50"/>
      <c r="U806" s="25"/>
    </row>
    <row r="807" spans="1:21" ht="15" customHeight="1" x14ac:dyDescent="0.25">
      <c r="A807" s="26"/>
      <c r="B807" s="27"/>
      <c r="C807" s="27"/>
      <c r="D807" s="46"/>
      <c r="E807" s="53"/>
      <c r="F807" s="46"/>
      <c r="G807" s="46"/>
      <c r="H807" s="46"/>
      <c r="I807" s="46"/>
      <c r="J807" s="46"/>
      <c r="K807" s="46"/>
      <c r="L807" s="46"/>
      <c r="M807" s="48"/>
      <c r="N807" s="48"/>
      <c r="O807" s="49"/>
      <c r="P807" s="48"/>
      <c r="Q807" s="48"/>
      <c r="R807" s="48"/>
      <c r="S807" s="46"/>
      <c r="T807" s="50"/>
      <c r="U807" s="28"/>
    </row>
    <row r="808" spans="1:21" ht="15" customHeight="1" x14ac:dyDescent="0.25">
      <c r="A808" s="26"/>
      <c r="B808" s="27"/>
      <c r="C808" s="27"/>
      <c r="D808" s="46"/>
      <c r="E808" s="47"/>
      <c r="F808" s="46"/>
      <c r="G808" s="46"/>
      <c r="H808" s="46"/>
      <c r="I808" s="46"/>
      <c r="J808" s="46"/>
      <c r="K808" s="46"/>
      <c r="L808" s="46"/>
      <c r="M808" s="48"/>
      <c r="N808" s="48"/>
      <c r="O808" s="49"/>
      <c r="P808" s="48"/>
      <c r="Q808" s="48"/>
      <c r="R808" s="48"/>
      <c r="S808" s="46"/>
      <c r="T808" s="50"/>
      <c r="U808" s="25"/>
    </row>
    <row r="809" spans="1:21" ht="15" customHeight="1" x14ac:dyDescent="0.25">
      <c r="A809" s="26"/>
      <c r="B809" s="27"/>
      <c r="C809" s="27"/>
      <c r="D809" s="46"/>
      <c r="E809" s="53"/>
      <c r="F809" s="46"/>
      <c r="G809" s="46"/>
      <c r="H809" s="46"/>
      <c r="I809" s="46"/>
      <c r="J809" s="46"/>
      <c r="K809" s="46"/>
      <c r="L809" s="46"/>
      <c r="M809" s="48"/>
      <c r="N809" s="48"/>
      <c r="O809" s="49"/>
      <c r="P809" s="48"/>
      <c r="Q809" s="48"/>
      <c r="R809" s="48"/>
      <c r="S809" s="46"/>
      <c r="T809" s="50"/>
      <c r="U809" s="50"/>
    </row>
    <row r="810" spans="1:21" ht="15" customHeight="1" x14ac:dyDescent="0.25">
      <c r="A810" s="26"/>
      <c r="B810" s="27"/>
      <c r="C810" s="27"/>
      <c r="D810" s="46"/>
      <c r="E810" s="47"/>
      <c r="F810" s="46"/>
      <c r="G810" s="46"/>
      <c r="H810" s="46"/>
      <c r="I810" s="46"/>
      <c r="J810" s="46"/>
      <c r="K810" s="46"/>
      <c r="L810" s="46"/>
      <c r="M810" s="48"/>
      <c r="N810" s="48"/>
      <c r="O810" s="49"/>
      <c r="P810" s="48"/>
      <c r="Q810" s="48"/>
      <c r="R810" s="48"/>
      <c r="S810" s="46"/>
      <c r="T810" s="50"/>
      <c r="U810" s="25"/>
    </row>
    <row r="811" spans="1:21" ht="15" customHeight="1" x14ac:dyDescent="0.25">
      <c r="A811" s="26"/>
      <c r="B811" s="27"/>
      <c r="C811" s="27"/>
      <c r="D811" s="46"/>
      <c r="E811" s="53"/>
      <c r="F811" s="46"/>
      <c r="G811" s="46"/>
      <c r="H811" s="46"/>
      <c r="I811" s="46"/>
      <c r="J811" s="46"/>
      <c r="K811" s="46"/>
      <c r="L811" s="46"/>
      <c r="M811" s="48"/>
      <c r="N811" s="48"/>
      <c r="O811" s="49"/>
      <c r="P811" s="48"/>
      <c r="Q811" s="48"/>
      <c r="R811" s="48"/>
      <c r="S811" s="46"/>
      <c r="T811" s="50"/>
      <c r="U811" s="28"/>
    </row>
    <row r="812" spans="1:21" ht="15" customHeight="1" x14ac:dyDescent="0.25">
      <c r="A812" s="26"/>
      <c r="B812" s="27"/>
      <c r="C812" s="27"/>
      <c r="D812" s="46"/>
      <c r="E812" s="47"/>
      <c r="F812" s="46"/>
      <c r="G812" s="46"/>
      <c r="H812" s="46"/>
      <c r="I812" s="46"/>
      <c r="J812" s="46"/>
      <c r="K812" s="46"/>
      <c r="L812" s="46"/>
      <c r="M812" s="48"/>
      <c r="N812" s="48"/>
      <c r="O812" s="49"/>
      <c r="P812" s="48"/>
      <c r="Q812" s="48"/>
      <c r="R812" s="48"/>
      <c r="S812" s="46"/>
      <c r="T812" s="50"/>
      <c r="U812" s="25"/>
    </row>
    <row r="813" spans="1:21" ht="15" customHeight="1" x14ac:dyDescent="0.25">
      <c r="A813" s="26"/>
      <c r="B813" s="27"/>
      <c r="C813" s="27"/>
      <c r="D813" s="46"/>
      <c r="E813" s="53"/>
      <c r="F813" s="46"/>
      <c r="G813" s="46"/>
      <c r="H813" s="46"/>
      <c r="I813" s="46"/>
      <c r="J813" s="46"/>
      <c r="K813" s="46"/>
      <c r="L813" s="46"/>
      <c r="M813" s="48"/>
      <c r="N813" s="48"/>
      <c r="O813" s="49"/>
      <c r="P813" s="48"/>
      <c r="Q813" s="48"/>
      <c r="R813" s="48"/>
      <c r="S813" s="46"/>
      <c r="T813" s="50"/>
      <c r="U813" s="28"/>
    </row>
    <row r="814" spans="1:21" ht="15" customHeight="1" x14ac:dyDescent="0.25">
      <c r="A814" s="26"/>
      <c r="B814" s="27"/>
      <c r="C814" s="27"/>
      <c r="D814" s="46"/>
      <c r="E814" s="47"/>
      <c r="F814" s="46"/>
      <c r="G814" s="46"/>
      <c r="H814" s="46"/>
      <c r="I814" s="46"/>
      <c r="J814" s="46"/>
      <c r="K814" s="46"/>
      <c r="L814" s="46"/>
      <c r="M814" s="48"/>
      <c r="N814" s="48"/>
      <c r="O814" s="49"/>
      <c r="P814" s="48"/>
      <c r="Q814" s="48"/>
      <c r="R814" s="48"/>
      <c r="S814" s="46"/>
      <c r="T814" s="50"/>
      <c r="U814" s="25"/>
    </row>
    <row r="815" spans="1:21" ht="15" customHeight="1" x14ac:dyDescent="0.25">
      <c r="A815" s="26"/>
      <c r="B815" s="27"/>
      <c r="C815" s="27"/>
      <c r="D815" s="46"/>
      <c r="E815" s="53"/>
      <c r="F815" s="46"/>
      <c r="G815" s="46"/>
      <c r="H815" s="46"/>
      <c r="I815" s="46"/>
      <c r="J815" s="46"/>
      <c r="K815" s="46"/>
      <c r="L815" s="46"/>
      <c r="M815" s="48"/>
      <c r="N815" s="48"/>
      <c r="O815" s="49"/>
      <c r="P815" s="48"/>
      <c r="Q815" s="48"/>
      <c r="R815" s="48"/>
      <c r="S815" s="46"/>
      <c r="T815" s="50"/>
      <c r="U815" s="28"/>
    </row>
    <row r="816" spans="1:21" ht="15" customHeight="1" x14ac:dyDescent="0.25">
      <c r="A816" s="26"/>
      <c r="B816" s="27"/>
      <c r="C816" s="27"/>
      <c r="D816" s="46"/>
      <c r="E816" s="47"/>
      <c r="F816" s="46"/>
      <c r="G816" s="46"/>
      <c r="H816" s="46"/>
      <c r="I816" s="46"/>
      <c r="J816" s="46"/>
      <c r="K816" s="46"/>
      <c r="L816" s="46"/>
      <c r="M816" s="48"/>
      <c r="N816" s="48"/>
      <c r="O816" s="49"/>
      <c r="P816" s="48"/>
      <c r="Q816" s="48"/>
      <c r="R816" s="48"/>
      <c r="S816" s="46"/>
      <c r="T816" s="50"/>
      <c r="U816" s="25"/>
    </row>
    <row r="817" spans="1:21" ht="15" customHeight="1" x14ac:dyDescent="0.25">
      <c r="A817" s="26"/>
      <c r="B817" s="27"/>
      <c r="C817" s="27"/>
      <c r="D817" s="46"/>
      <c r="E817" s="53"/>
      <c r="F817" s="46"/>
      <c r="G817" s="46"/>
      <c r="H817" s="46"/>
      <c r="I817" s="46"/>
      <c r="J817" s="46"/>
      <c r="K817" s="46"/>
      <c r="L817" s="46"/>
      <c r="M817" s="48"/>
      <c r="N817" s="48"/>
      <c r="O817" s="49"/>
      <c r="P817" s="48"/>
      <c r="Q817" s="48"/>
      <c r="R817" s="48"/>
      <c r="S817" s="46"/>
      <c r="T817" s="50"/>
      <c r="U817" s="28"/>
    </row>
    <row r="818" spans="1:21" ht="15" customHeight="1" x14ac:dyDescent="0.25">
      <c r="A818" s="26"/>
      <c r="B818" s="27"/>
      <c r="C818" s="27"/>
      <c r="D818" s="46"/>
      <c r="E818" s="47"/>
      <c r="F818" s="46"/>
      <c r="G818" s="46"/>
      <c r="H818" s="46"/>
      <c r="I818" s="46"/>
      <c r="J818" s="46"/>
      <c r="K818" s="46"/>
      <c r="L818" s="46"/>
      <c r="M818" s="48"/>
      <c r="N818" s="48"/>
      <c r="O818" s="49"/>
      <c r="P818" s="48"/>
      <c r="Q818" s="48"/>
      <c r="R818" s="48"/>
      <c r="S818" s="46"/>
      <c r="T818" s="50"/>
      <c r="U818" s="25"/>
    </row>
    <row r="819" spans="1:21" ht="15" customHeight="1" x14ac:dyDescent="0.25">
      <c r="A819" s="26"/>
      <c r="B819" s="27"/>
      <c r="C819" s="27"/>
      <c r="D819" s="46"/>
      <c r="E819" s="53"/>
      <c r="F819" s="46"/>
      <c r="G819" s="46"/>
      <c r="H819" s="46"/>
      <c r="I819" s="46"/>
      <c r="J819" s="46"/>
      <c r="K819" s="46"/>
      <c r="L819" s="46"/>
      <c r="M819" s="48"/>
      <c r="N819" s="48"/>
      <c r="O819" s="49"/>
      <c r="P819" s="48"/>
      <c r="Q819" s="48"/>
      <c r="R819" s="48"/>
      <c r="S819" s="46"/>
      <c r="T819" s="50"/>
      <c r="U819" s="28"/>
    </row>
    <row r="820" spans="1:21" ht="15" customHeight="1" x14ac:dyDescent="0.25">
      <c r="A820" s="26"/>
      <c r="B820" s="27"/>
      <c r="C820" s="27"/>
      <c r="D820" s="46"/>
      <c r="E820" s="47"/>
      <c r="F820" s="46"/>
      <c r="G820" s="46"/>
      <c r="H820" s="46"/>
      <c r="I820" s="46"/>
      <c r="J820" s="46"/>
      <c r="K820" s="46"/>
      <c r="L820" s="46"/>
      <c r="M820" s="48"/>
      <c r="N820" s="48"/>
      <c r="O820" s="49"/>
      <c r="P820" s="48"/>
      <c r="Q820" s="48"/>
      <c r="R820" s="48"/>
      <c r="S820" s="46"/>
      <c r="T820" s="50"/>
      <c r="U820" s="25"/>
    </row>
    <row r="821" spans="1:21" ht="15" customHeight="1" x14ac:dyDescent="0.25">
      <c r="A821" s="26"/>
      <c r="B821" s="27"/>
      <c r="C821" s="27"/>
      <c r="D821" s="46"/>
      <c r="E821" s="53"/>
      <c r="F821" s="46"/>
      <c r="G821" s="46"/>
      <c r="H821" s="46"/>
      <c r="I821" s="46"/>
      <c r="J821" s="46"/>
      <c r="K821" s="46"/>
      <c r="L821" s="46"/>
      <c r="M821" s="48"/>
      <c r="N821" s="48"/>
      <c r="O821" s="49"/>
      <c r="P821" s="48"/>
      <c r="Q821" s="48"/>
      <c r="R821" s="48"/>
      <c r="S821" s="46"/>
      <c r="T821" s="50"/>
      <c r="U821" s="28"/>
    </row>
    <row r="822" spans="1:21" ht="15" customHeight="1" x14ac:dyDescent="0.25">
      <c r="A822" s="26"/>
      <c r="B822" s="27"/>
      <c r="C822" s="27"/>
      <c r="D822" s="46"/>
      <c r="E822" s="47"/>
      <c r="F822" s="46"/>
      <c r="G822" s="46"/>
      <c r="H822" s="46"/>
      <c r="I822" s="46"/>
      <c r="J822" s="46"/>
      <c r="K822" s="46"/>
      <c r="L822" s="46"/>
      <c r="M822" s="48"/>
      <c r="N822" s="48"/>
      <c r="O822" s="49"/>
      <c r="P822" s="48"/>
      <c r="Q822" s="48"/>
      <c r="R822" s="48"/>
      <c r="S822" s="46"/>
      <c r="T822" s="50"/>
      <c r="U822" s="25"/>
    </row>
    <row r="823" spans="1:21" ht="15" customHeight="1" x14ac:dyDescent="0.25">
      <c r="A823" s="26"/>
      <c r="B823" s="27"/>
      <c r="C823" s="27"/>
      <c r="D823" s="46"/>
      <c r="E823" s="53"/>
      <c r="F823" s="46"/>
      <c r="G823" s="46"/>
      <c r="H823" s="46"/>
      <c r="I823" s="46"/>
      <c r="J823" s="46"/>
      <c r="K823" s="46"/>
      <c r="L823" s="46"/>
      <c r="M823" s="48"/>
      <c r="N823" s="48"/>
      <c r="O823" s="49"/>
      <c r="P823" s="48"/>
      <c r="Q823" s="48"/>
      <c r="R823" s="48"/>
      <c r="S823" s="46"/>
      <c r="T823" s="50"/>
      <c r="U823" s="50"/>
    </row>
    <row r="824" spans="1:21" ht="15" customHeight="1" x14ac:dyDescent="0.25">
      <c r="A824" s="26"/>
      <c r="B824" s="27"/>
      <c r="C824" s="27"/>
      <c r="D824" s="46"/>
      <c r="E824" s="47"/>
      <c r="F824" s="46"/>
      <c r="G824" s="46"/>
      <c r="H824" s="46"/>
      <c r="I824" s="46"/>
      <c r="J824" s="46"/>
      <c r="K824" s="46"/>
      <c r="L824" s="46"/>
      <c r="M824" s="48"/>
      <c r="N824" s="48"/>
      <c r="O824" s="49"/>
      <c r="P824" s="48"/>
      <c r="Q824" s="48"/>
      <c r="R824" s="48"/>
      <c r="S824" s="46"/>
      <c r="T824" s="50"/>
      <c r="U824" s="25"/>
    </row>
    <row r="825" spans="1:21" ht="15" customHeight="1" x14ac:dyDescent="0.25">
      <c r="A825" s="26"/>
      <c r="B825" s="27"/>
      <c r="C825" s="27"/>
      <c r="D825" s="46"/>
      <c r="E825" s="53"/>
      <c r="F825" s="46"/>
      <c r="G825" s="46"/>
      <c r="H825" s="46"/>
      <c r="I825" s="46"/>
      <c r="J825" s="46"/>
      <c r="K825" s="46"/>
      <c r="L825" s="46"/>
      <c r="M825" s="48"/>
      <c r="N825" s="48"/>
      <c r="O825" s="49"/>
      <c r="P825" s="48"/>
      <c r="Q825" s="48"/>
      <c r="R825" s="48"/>
      <c r="S825" s="46"/>
      <c r="T825" s="50"/>
      <c r="U825" s="28"/>
    </row>
    <row r="826" spans="1:21" ht="15" customHeight="1" x14ac:dyDescent="0.25">
      <c r="A826" s="26"/>
      <c r="B826" s="27"/>
      <c r="C826" s="27"/>
      <c r="D826" s="46"/>
      <c r="E826" s="47"/>
      <c r="F826" s="46"/>
      <c r="G826" s="46"/>
      <c r="H826" s="46"/>
      <c r="I826" s="46"/>
      <c r="J826" s="46"/>
      <c r="K826" s="46"/>
      <c r="L826" s="46"/>
      <c r="M826" s="48"/>
      <c r="N826" s="48"/>
      <c r="O826" s="49"/>
      <c r="P826" s="48"/>
      <c r="Q826" s="48"/>
      <c r="R826" s="48"/>
      <c r="S826" s="46"/>
      <c r="T826" s="50"/>
      <c r="U826" s="25"/>
    </row>
    <row r="827" spans="1:21" ht="15" customHeight="1" x14ac:dyDescent="0.25">
      <c r="A827" s="26"/>
      <c r="B827" s="27"/>
      <c r="C827" s="27"/>
      <c r="D827" s="46"/>
      <c r="E827" s="53"/>
      <c r="F827" s="46"/>
      <c r="G827" s="46"/>
      <c r="H827" s="46"/>
      <c r="I827" s="46"/>
      <c r="J827" s="46"/>
      <c r="K827" s="46"/>
      <c r="L827" s="46"/>
      <c r="M827" s="48"/>
      <c r="N827" s="48"/>
      <c r="O827" s="49"/>
      <c r="P827" s="48"/>
      <c r="Q827" s="48"/>
      <c r="R827" s="48"/>
      <c r="S827" s="46"/>
      <c r="T827" s="50"/>
      <c r="U827" s="28"/>
    </row>
    <row r="828" spans="1:21" ht="15" customHeight="1" x14ac:dyDescent="0.25">
      <c r="A828" s="26"/>
      <c r="B828" s="27"/>
      <c r="C828" s="27"/>
      <c r="D828" s="46"/>
      <c r="E828" s="47"/>
      <c r="F828" s="46"/>
      <c r="G828" s="46"/>
      <c r="H828" s="46"/>
      <c r="I828" s="46"/>
      <c r="J828" s="46"/>
      <c r="K828" s="46"/>
      <c r="L828" s="46"/>
      <c r="M828" s="48"/>
      <c r="N828" s="48"/>
      <c r="O828" s="49"/>
      <c r="P828" s="48"/>
      <c r="Q828" s="48"/>
      <c r="R828" s="48"/>
      <c r="S828" s="46"/>
      <c r="T828" s="50"/>
      <c r="U828" s="25"/>
    </row>
    <row r="829" spans="1:21" ht="15" customHeight="1" x14ac:dyDescent="0.25">
      <c r="A829" s="26"/>
      <c r="B829" s="27"/>
      <c r="C829" s="27"/>
      <c r="D829" s="46"/>
      <c r="E829" s="53"/>
      <c r="F829" s="46"/>
      <c r="G829" s="46"/>
      <c r="H829" s="46"/>
      <c r="I829" s="46"/>
      <c r="J829" s="46"/>
      <c r="K829" s="46"/>
      <c r="L829" s="46"/>
      <c r="M829" s="48"/>
      <c r="N829" s="48"/>
      <c r="O829" s="49"/>
      <c r="P829" s="48"/>
      <c r="Q829" s="48"/>
      <c r="R829" s="48"/>
      <c r="S829" s="46"/>
      <c r="T829" s="50"/>
      <c r="U829" s="28"/>
    </row>
    <row r="830" spans="1:21" ht="15" customHeight="1" x14ac:dyDescent="0.25">
      <c r="A830" s="26"/>
      <c r="B830" s="27"/>
      <c r="C830" s="27"/>
      <c r="D830" s="46"/>
      <c r="E830" s="47"/>
      <c r="F830" s="46"/>
      <c r="G830" s="46"/>
      <c r="H830" s="46"/>
      <c r="I830" s="46"/>
      <c r="J830" s="46"/>
      <c r="K830" s="46"/>
      <c r="L830" s="46"/>
      <c r="M830" s="48"/>
      <c r="N830" s="48"/>
      <c r="O830" s="49"/>
      <c r="P830" s="48"/>
      <c r="Q830" s="48"/>
      <c r="R830" s="48"/>
      <c r="S830" s="46"/>
      <c r="T830" s="50"/>
      <c r="U830" s="25"/>
    </row>
    <row r="831" spans="1:21" ht="15" customHeight="1" x14ac:dyDescent="0.25">
      <c r="A831" s="26"/>
      <c r="B831" s="27"/>
      <c r="C831" s="27"/>
      <c r="D831" s="46"/>
      <c r="E831" s="53"/>
      <c r="F831" s="46"/>
      <c r="G831" s="46"/>
      <c r="H831" s="46"/>
      <c r="I831" s="46"/>
      <c r="J831" s="46"/>
      <c r="K831" s="46"/>
      <c r="L831" s="46"/>
      <c r="M831" s="48"/>
      <c r="N831" s="48"/>
      <c r="O831" s="49"/>
      <c r="P831" s="48"/>
      <c r="Q831" s="48"/>
      <c r="R831" s="48"/>
      <c r="S831" s="46"/>
      <c r="T831" s="50"/>
      <c r="U831" s="28"/>
    </row>
    <row r="832" spans="1:21" ht="15" customHeight="1" x14ac:dyDescent="0.25">
      <c r="A832" s="26"/>
      <c r="B832" s="27"/>
      <c r="C832" s="27"/>
      <c r="D832" s="46"/>
      <c r="E832" s="47"/>
      <c r="F832" s="46"/>
      <c r="G832" s="46"/>
      <c r="H832" s="46"/>
      <c r="I832" s="46"/>
      <c r="J832" s="46"/>
      <c r="K832" s="46"/>
      <c r="L832" s="46"/>
      <c r="M832" s="48"/>
      <c r="N832" s="48"/>
      <c r="O832" s="49"/>
      <c r="P832" s="48"/>
      <c r="Q832" s="48"/>
      <c r="R832" s="48"/>
      <c r="S832" s="46"/>
      <c r="T832" s="50"/>
      <c r="U832" s="25"/>
    </row>
    <row r="833" spans="1:21" ht="15" customHeight="1" x14ac:dyDescent="0.25">
      <c r="A833" s="26"/>
      <c r="B833" s="27"/>
      <c r="C833" s="27"/>
      <c r="D833" s="46"/>
      <c r="E833" s="53"/>
      <c r="F833" s="46"/>
      <c r="G833" s="46"/>
      <c r="H833" s="46"/>
      <c r="I833" s="46"/>
      <c r="J833" s="46"/>
      <c r="K833" s="46"/>
      <c r="L833" s="46"/>
      <c r="M833" s="48"/>
      <c r="N833" s="48"/>
      <c r="O833" s="49"/>
      <c r="P833" s="48"/>
      <c r="Q833" s="48"/>
      <c r="R833" s="48"/>
      <c r="S833" s="46"/>
      <c r="T833" s="50"/>
      <c r="U833" s="28"/>
    </row>
    <row r="834" spans="1:21" ht="15" customHeight="1" x14ac:dyDescent="0.25">
      <c r="A834" s="26"/>
      <c r="B834" s="27"/>
      <c r="C834" s="27"/>
      <c r="D834" s="46"/>
      <c r="E834" s="47"/>
      <c r="F834" s="46"/>
      <c r="G834" s="46"/>
      <c r="H834" s="46"/>
      <c r="I834" s="46"/>
      <c r="J834" s="46"/>
      <c r="K834" s="46"/>
      <c r="L834" s="46"/>
      <c r="M834" s="48"/>
      <c r="N834" s="48"/>
      <c r="O834" s="49"/>
      <c r="P834" s="48"/>
      <c r="Q834" s="48"/>
      <c r="R834" s="48"/>
      <c r="S834" s="46"/>
      <c r="T834" s="50"/>
      <c r="U834" s="25"/>
    </row>
    <row r="835" spans="1:21" ht="15" customHeight="1" x14ac:dyDescent="0.25">
      <c r="A835" s="26"/>
      <c r="B835" s="27"/>
      <c r="C835" s="27"/>
      <c r="D835" s="46"/>
      <c r="E835" s="53"/>
      <c r="F835" s="46"/>
      <c r="G835" s="46"/>
      <c r="H835" s="46"/>
      <c r="I835" s="46"/>
      <c r="J835" s="46"/>
      <c r="K835" s="46"/>
      <c r="L835" s="46"/>
      <c r="M835" s="48"/>
      <c r="N835" s="48"/>
      <c r="O835" s="49"/>
      <c r="P835" s="48"/>
      <c r="Q835" s="48"/>
      <c r="R835" s="48"/>
      <c r="S835" s="46"/>
      <c r="T835" s="50"/>
      <c r="U835" s="28"/>
    </row>
    <row r="836" spans="1:21" ht="15" customHeight="1" x14ac:dyDescent="0.25">
      <c r="A836" s="26"/>
      <c r="B836" s="27"/>
      <c r="C836" s="27"/>
      <c r="D836" s="46"/>
      <c r="E836" s="47"/>
      <c r="F836" s="46"/>
      <c r="G836" s="46"/>
      <c r="H836" s="46"/>
      <c r="I836" s="46"/>
      <c r="J836" s="46"/>
      <c r="K836" s="46"/>
      <c r="L836" s="46"/>
      <c r="M836" s="48"/>
      <c r="N836" s="48"/>
      <c r="O836" s="49"/>
      <c r="P836" s="48"/>
      <c r="Q836" s="48"/>
      <c r="R836" s="48"/>
      <c r="S836" s="46"/>
      <c r="T836" s="50"/>
      <c r="U836" s="25"/>
    </row>
    <row r="837" spans="1:21" ht="15" customHeight="1" x14ac:dyDescent="0.25">
      <c r="A837" s="26"/>
      <c r="B837" s="27"/>
      <c r="C837" s="27"/>
      <c r="D837" s="46"/>
      <c r="E837" s="53"/>
      <c r="F837" s="46"/>
      <c r="G837" s="46"/>
      <c r="H837" s="46"/>
      <c r="I837" s="46"/>
      <c r="J837" s="46"/>
      <c r="K837" s="46"/>
      <c r="L837" s="46"/>
      <c r="M837" s="48"/>
      <c r="N837" s="48"/>
      <c r="O837" s="49"/>
      <c r="P837" s="48"/>
      <c r="Q837" s="48"/>
      <c r="R837" s="48"/>
      <c r="S837" s="46"/>
      <c r="T837" s="50"/>
      <c r="U837" s="50"/>
    </row>
    <row r="838" spans="1:21" ht="15" customHeight="1" x14ac:dyDescent="0.25">
      <c r="A838" s="26"/>
      <c r="B838" s="27"/>
      <c r="C838" s="27"/>
      <c r="D838" s="46"/>
      <c r="E838" s="47"/>
      <c r="F838" s="46"/>
      <c r="G838" s="46"/>
      <c r="H838" s="46"/>
      <c r="I838" s="46"/>
      <c r="J838" s="46"/>
      <c r="K838" s="46"/>
      <c r="L838" s="46"/>
      <c r="M838" s="48"/>
      <c r="N838" s="48"/>
      <c r="O838" s="49"/>
      <c r="P838" s="48"/>
      <c r="Q838" s="48"/>
      <c r="R838" s="48"/>
      <c r="S838" s="46"/>
      <c r="T838" s="50"/>
      <c r="U838" s="25"/>
    </row>
    <row r="839" spans="1:21" ht="15" customHeight="1" x14ac:dyDescent="0.25">
      <c r="A839" s="26"/>
      <c r="B839" s="27"/>
      <c r="C839" s="27"/>
      <c r="D839" s="46"/>
      <c r="E839" s="53"/>
      <c r="F839" s="46"/>
      <c r="G839" s="46"/>
      <c r="H839" s="46"/>
      <c r="I839" s="46"/>
      <c r="J839" s="46"/>
      <c r="K839" s="46"/>
      <c r="L839" s="46"/>
      <c r="M839" s="48"/>
      <c r="N839" s="48"/>
      <c r="O839" s="49"/>
      <c r="P839" s="48"/>
      <c r="Q839" s="48"/>
      <c r="R839" s="48"/>
      <c r="S839" s="46"/>
      <c r="T839" s="50"/>
      <c r="U839" s="28"/>
    </row>
    <row r="840" spans="1:21" ht="15" customHeight="1" x14ac:dyDescent="0.25">
      <c r="A840" s="26"/>
      <c r="B840" s="27"/>
      <c r="C840" s="27"/>
      <c r="D840" s="46"/>
      <c r="E840" s="47"/>
      <c r="F840" s="46"/>
      <c r="G840" s="46"/>
      <c r="H840" s="46"/>
      <c r="I840" s="46"/>
      <c r="J840" s="46"/>
      <c r="K840" s="46"/>
      <c r="L840" s="46"/>
      <c r="M840" s="48"/>
      <c r="N840" s="48"/>
      <c r="O840" s="49"/>
      <c r="P840" s="48"/>
      <c r="Q840" s="48"/>
      <c r="R840" s="48"/>
      <c r="S840" s="46"/>
      <c r="T840" s="50"/>
      <c r="U840" s="25"/>
    </row>
    <row r="841" spans="1:21" ht="15" customHeight="1" x14ac:dyDescent="0.25">
      <c r="A841" s="26"/>
      <c r="B841" s="27"/>
      <c r="C841" s="27"/>
      <c r="D841" s="46"/>
      <c r="E841" s="53"/>
      <c r="F841" s="46"/>
      <c r="G841" s="46"/>
      <c r="H841" s="46"/>
      <c r="I841" s="46"/>
      <c r="J841" s="46"/>
      <c r="K841" s="46"/>
      <c r="L841" s="46"/>
      <c r="M841" s="48"/>
      <c r="N841" s="48"/>
      <c r="O841" s="49"/>
      <c r="P841" s="48"/>
      <c r="Q841" s="48"/>
      <c r="R841" s="48"/>
      <c r="S841" s="46"/>
      <c r="T841" s="50"/>
      <c r="U841" s="28"/>
    </row>
    <row r="842" spans="1:21" ht="15" customHeight="1" x14ac:dyDescent="0.25">
      <c r="A842" s="26"/>
      <c r="B842" s="27"/>
      <c r="C842" s="27"/>
      <c r="D842" s="46"/>
      <c r="E842" s="47"/>
      <c r="F842" s="46"/>
      <c r="G842" s="46"/>
      <c r="H842" s="46"/>
      <c r="I842" s="46"/>
      <c r="J842" s="46"/>
      <c r="K842" s="46"/>
      <c r="L842" s="46"/>
      <c r="M842" s="48"/>
      <c r="N842" s="48"/>
      <c r="O842" s="49"/>
      <c r="P842" s="48"/>
      <c r="Q842" s="48"/>
      <c r="R842" s="48"/>
      <c r="S842" s="46"/>
      <c r="T842" s="50"/>
      <c r="U842" s="25"/>
    </row>
    <row r="843" spans="1:21" ht="15" customHeight="1" x14ac:dyDescent="0.25">
      <c r="A843" s="26"/>
      <c r="B843" s="27"/>
      <c r="C843" s="27"/>
      <c r="D843" s="46"/>
      <c r="E843" s="53"/>
      <c r="F843" s="46"/>
      <c r="G843" s="46"/>
      <c r="H843" s="46"/>
      <c r="I843" s="46"/>
      <c r="J843" s="46"/>
      <c r="K843" s="46"/>
      <c r="L843" s="46"/>
      <c r="M843" s="48"/>
      <c r="N843" s="48"/>
      <c r="O843" s="49"/>
      <c r="P843" s="48"/>
      <c r="Q843" s="48"/>
      <c r="R843" s="48"/>
      <c r="S843" s="46"/>
      <c r="T843" s="50"/>
      <c r="U843" s="28"/>
    </row>
    <row r="844" spans="1:21" ht="15" customHeight="1" x14ac:dyDescent="0.25">
      <c r="A844" s="26"/>
      <c r="B844" s="27"/>
      <c r="C844" s="27"/>
      <c r="D844" s="46"/>
      <c r="E844" s="47"/>
      <c r="F844" s="46"/>
      <c r="G844" s="46"/>
      <c r="H844" s="46"/>
      <c r="I844" s="46"/>
      <c r="J844" s="46"/>
      <c r="K844" s="46"/>
      <c r="L844" s="46"/>
      <c r="M844" s="48"/>
      <c r="N844" s="48"/>
      <c r="O844" s="49"/>
      <c r="P844" s="48"/>
      <c r="Q844" s="48"/>
      <c r="R844" s="48"/>
      <c r="S844" s="46"/>
      <c r="T844" s="50"/>
      <c r="U844" s="25"/>
    </row>
    <row r="845" spans="1:21" ht="15" customHeight="1" x14ac:dyDescent="0.25">
      <c r="A845" s="26"/>
      <c r="B845" s="27"/>
      <c r="C845" s="27"/>
      <c r="D845" s="46"/>
      <c r="E845" s="53"/>
      <c r="F845" s="46"/>
      <c r="G845" s="46"/>
      <c r="H845" s="46"/>
      <c r="I845" s="46"/>
      <c r="J845" s="46"/>
      <c r="K845" s="46"/>
      <c r="L845" s="46"/>
      <c r="M845" s="48"/>
      <c r="N845" s="48"/>
      <c r="O845" s="49"/>
      <c r="P845" s="48"/>
      <c r="Q845" s="48"/>
      <c r="R845" s="48"/>
      <c r="S845" s="46"/>
      <c r="T845" s="50"/>
      <c r="U845" s="28"/>
    </row>
    <row r="846" spans="1:21" ht="15" customHeight="1" x14ac:dyDescent="0.25">
      <c r="A846" s="26"/>
      <c r="B846" s="27"/>
      <c r="C846" s="27"/>
      <c r="D846" s="46"/>
      <c r="E846" s="47"/>
      <c r="F846" s="46"/>
      <c r="G846" s="46"/>
      <c r="H846" s="46"/>
      <c r="I846" s="46"/>
      <c r="J846" s="46"/>
      <c r="K846" s="46"/>
      <c r="L846" s="46"/>
      <c r="M846" s="48"/>
      <c r="N846" s="48"/>
      <c r="O846" s="49"/>
      <c r="P846" s="48"/>
      <c r="Q846" s="48"/>
      <c r="R846" s="48"/>
      <c r="S846" s="46"/>
      <c r="T846" s="50"/>
      <c r="U846" s="25"/>
    </row>
    <row r="847" spans="1:21" ht="15" customHeight="1" x14ac:dyDescent="0.25">
      <c r="A847" s="26"/>
      <c r="B847" s="27"/>
      <c r="C847" s="27"/>
      <c r="D847" s="46"/>
      <c r="E847" s="53"/>
      <c r="F847" s="46"/>
      <c r="G847" s="46"/>
      <c r="H847" s="46"/>
      <c r="I847" s="46"/>
      <c r="J847" s="46"/>
      <c r="K847" s="46"/>
      <c r="L847" s="46"/>
      <c r="M847" s="48"/>
      <c r="N847" s="48"/>
      <c r="O847" s="49"/>
      <c r="P847" s="48"/>
      <c r="Q847" s="48"/>
      <c r="R847" s="48"/>
      <c r="S847" s="46"/>
      <c r="T847" s="50"/>
      <c r="U847" s="28"/>
    </row>
    <row r="848" spans="1:21" ht="15" customHeight="1" x14ac:dyDescent="0.25">
      <c r="A848" s="26"/>
      <c r="B848" s="27"/>
      <c r="C848" s="27"/>
      <c r="D848" s="46"/>
      <c r="E848" s="47"/>
      <c r="F848" s="46"/>
      <c r="G848" s="46"/>
      <c r="H848" s="46"/>
      <c r="I848" s="46"/>
      <c r="J848" s="46"/>
      <c r="K848" s="46"/>
      <c r="L848" s="46"/>
      <c r="M848" s="48"/>
      <c r="N848" s="48"/>
      <c r="O848" s="49"/>
      <c r="P848" s="48"/>
      <c r="Q848" s="48"/>
      <c r="R848" s="48"/>
      <c r="S848" s="46"/>
      <c r="T848" s="50"/>
      <c r="U848" s="25"/>
    </row>
    <row r="849" spans="1:21" ht="15" customHeight="1" x14ac:dyDescent="0.25">
      <c r="A849" s="26"/>
      <c r="B849" s="27"/>
      <c r="C849" s="27"/>
      <c r="D849" s="46"/>
      <c r="E849" s="53"/>
      <c r="F849" s="46"/>
      <c r="G849" s="46"/>
      <c r="H849" s="46"/>
      <c r="I849" s="46"/>
      <c r="J849" s="46"/>
      <c r="K849" s="46"/>
      <c r="L849" s="46"/>
      <c r="M849" s="48"/>
      <c r="N849" s="48"/>
      <c r="O849" s="49"/>
      <c r="P849" s="48"/>
      <c r="Q849" s="48"/>
      <c r="R849" s="48"/>
      <c r="S849" s="46"/>
      <c r="T849" s="50"/>
      <c r="U849" s="28"/>
    </row>
    <row r="850" spans="1:21" ht="15" customHeight="1" x14ac:dyDescent="0.25">
      <c r="A850" s="26"/>
      <c r="B850" s="27"/>
      <c r="C850" s="27"/>
      <c r="D850" s="46"/>
      <c r="E850" s="47"/>
      <c r="F850" s="46"/>
      <c r="G850" s="46"/>
      <c r="H850" s="46"/>
      <c r="I850" s="46"/>
      <c r="J850" s="46"/>
      <c r="K850" s="46"/>
      <c r="L850" s="46"/>
      <c r="M850" s="48"/>
      <c r="N850" s="48"/>
      <c r="O850" s="49"/>
      <c r="P850" s="48"/>
      <c r="Q850" s="48"/>
      <c r="R850" s="48"/>
      <c r="S850" s="46"/>
      <c r="T850" s="50"/>
      <c r="U850" s="25"/>
    </row>
    <row r="851" spans="1:21" ht="15" customHeight="1" x14ac:dyDescent="0.25">
      <c r="A851" s="26"/>
      <c r="B851" s="27"/>
      <c r="C851" s="27"/>
      <c r="D851" s="46"/>
      <c r="E851" s="53"/>
      <c r="F851" s="46"/>
      <c r="G851" s="46"/>
      <c r="H851" s="46"/>
      <c r="I851" s="46"/>
      <c r="J851" s="46"/>
      <c r="K851" s="46"/>
      <c r="L851" s="46"/>
      <c r="M851" s="48"/>
      <c r="N851" s="48"/>
      <c r="O851" s="49"/>
      <c r="P851" s="48"/>
      <c r="Q851" s="48"/>
      <c r="R851" s="48"/>
      <c r="S851" s="46"/>
      <c r="T851" s="50"/>
      <c r="U851" s="50"/>
    </row>
    <row r="852" spans="1:21" ht="15" customHeight="1" x14ac:dyDescent="0.25">
      <c r="A852" s="26"/>
      <c r="B852" s="27"/>
      <c r="C852" s="27"/>
      <c r="D852" s="46"/>
      <c r="E852" s="47"/>
      <c r="F852" s="46"/>
      <c r="G852" s="46"/>
      <c r="H852" s="46"/>
      <c r="I852" s="46"/>
      <c r="J852" s="46"/>
      <c r="K852" s="46"/>
      <c r="L852" s="46"/>
      <c r="M852" s="48"/>
      <c r="N852" s="48"/>
      <c r="O852" s="49"/>
      <c r="P852" s="48"/>
      <c r="Q852" s="48"/>
      <c r="R852" s="48"/>
      <c r="S852" s="46"/>
      <c r="T852" s="50"/>
      <c r="U852" s="25"/>
    </row>
    <row r="853" spans="1:21" ht="15" customHeight="1" x14ac:dyDescent="0.25">
      <c r="A853" s="26"/>
      <c r="B853" s="27"/>
      <c r="C853" s="27"/>
      <c r="D853" s="46"/>
      <c r="E853" s="53"/>
      <c r="F853" s="46"/>
      <c r="G853" s="46"/>
      <c r="H853" s="46"/>
      <c r="I853" s="46"/>
      <c r="J853" s="46"/>
      <c r="K853" s="46"/>
      <c r="L853" s="46"/>
      <c r="M853" s="48"/>
      <c r="N853" s="48"/>
      <c r="O853" s="49"/>
      <c r="P853" s="48"/>
      <c r="Q853" s="48"/>
      <c r="R853" s="48"/>
      <c r="S853" s="46"/>
      <c r="T853" s="50"/>
      <c r="U853" s="28"/>
    </row>
    <row r="854" spans="1:21" ht="15" customHeight="1" x14ac:dyDescent="0.25">
      <c r="A854" s="26"/>
      <c r="B854" s="27"/>
      <c r="C854" s="27"/>
      <c r="D854" s="46"/>
      <c r="E854" s="47"/>
      <c r="F854" s="46"/>
      <c r="G854" s="46"/>
      <c r="H854" s="46"/>
      <c r="I854" s="46"/>
      <c r="J854" s="46"/>
      <c r="K854" s="46"/>
      <c r="L854" s="46"/>
      <c r="M854" s="48"/>
      <c r="N854" s="48"/>
      <c r="O854" s="49"/>
      <c r="P854" s="48"/>
      <c r="Q854" s="48"/>
      <c r="R854" s="48"/>
      <c r="S854" s="46"/>
      <c r="T854" s="50"/>
      <c r="U854" s="25"/>
    </row>
    <row r="855" spans="1:21" ht="15" customHeight="1" x14ac:dyDescent="0.25">
      <c r="A855" s="26"/>
      <c r="B855" s="27"/>
      <c r="C855" s="27"/>
      <c r="D855" s="46"/>
      <c r="E855" s="53"/>
      <c r="F855" s="46"/>
      <c r="G855" s="46"/>
      <c r="H855" s="46"/>
      <c r="I855" s="46"/>
      <c r="J855" s="46"/>
      <c r="K855" s="46"/>
      <c r="L855" s="46"/>
      <c r="M855" s="48"/>
      <c r="N855" s="48"/>
      <c r="O855" s="49"/>
      <c r="P855" s="48"/>
      <c r="Q855" s="48"/>
      <c r="R855" s="48"/>
      <c r="S855" s="46"/>
      <c r="T855" s="50"/>
      <c r="U855" s="28"/>
    </row>
    <row r="856" spans="1:21" ht="15" customHeight="1" x14ac:dyDescent="0.25">
      <c r="A856" s="26"/>
      <c r="B856" s="27"/>
      <c r="C856" s="27"/>
      <c r="D856" s="46"/>
      <c r="E856" s="47"/>
      <c r="F856" s="46"/>
      <c r="G856" s="46"/>
      <c r="H856" s="46"/>
      <c r="I856" s="46"/>
      <c r="J856" s="46"/>
      <c r="K856" s="46"/>
      <c r="L856" s="46"/>
      <c r="M856" s="48"/>
      <c r="N856" s="48"/>
      <c r="O856" s="49"/>
      <c r="P856" s="48"/>
      <c r="Q856" s="48"/>
      <c r="R856" s="48"/>
      <c r="S856" s="46"/>
      <c r="T856" s="50"/>
      <c r="U856" s="25"/>
    </row>
    <row r="857" spans="1:21" ht="15" customHeight="1" x14ac:dyDescent="0.25">
      <c r="A857" s="26"/>
      <c r="B857" s="27"/>
      <c r="C857" s="27"/>
      <c r="D857" s="46"/>
      <c r="E857" s="53"/>
      <c r="F857" s="46"/>
      <c r="G857" s="46"/>
      <c r="H857" s="46"/>
      <c r="I857" s="46"/>
      <c r="J857" s="46"/>
      <c r="K857" s="46"/>
      <c r="L857" s="46"/>
      <c r="M857" s="48"/>
      <c r="N857" s="48"/>
      <c r="O857" s="49"/>
      <c r="P857" s="48"/>
      <c r="Q857" s="48"/>
      <c r="R857" s="48"/>
      <c r="S857" s="46"/>
      <c r="T857" s="50"/>
      <c r="U857" s="28"/>
    </row>
    <row r="858" spans="1:21" ht="15" customHeight="1" x14ac:dyDescent="0.25">
      <c r="A858" s="26"/>
      <c r="B858" s="27"/>
      <c r="C858" s="27"/>
      <c r="D858" s="46"/>
      <c r="E858" s="47"/>
      <c r="F858" s="46"/>
      <c r="G858" s="46"/>
      <c r="H858" s="46"/>
      <c r="I858" s="46"/>
      <c r="J858" s="46"/>
      <c r="K858" s="46"/>
      <c r="L858" s="46"/>
      <c r="M858" s="48"/>
      <c r="N858" s="48"/>
      <c r="O858" s="49"/>
      <c r="P858" s="48"/>
      <c r="Q858" s="48"/>
      <c r="R858" s="48"/>
      <c r="S858" s="46"/>
      <c r="T858" s="50"/>
      <c r="U858" s="25"/>
    </row>
    <row r="859" spans="1:21" ht="15" customHeight="1" x14ac:dyDescent="0.25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</row>
    <row r="860" spans="1:21" ht="15" customHeight="1" x14ac:dyDescent="0.25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</row>
    <row r="861" spans="1:21" ht="15" customHeight="1" x14ac:dyDescent="0.25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</row>
    <row r="862" spans="1:21" ht="15" customHeight="1" x14ac:dyDescent="0.25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</row>
    <row r="863" spans="1:21" ht="15" customHeight="1" x14ac:dyDescent="0.25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</row>
    <row r="864" spans="1:21" ht="15" customHeight="1" x14ac:dyDescent="0.25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</row>
  </sheetData>
  <phoneticPr fontId="24" type="noConversion"/>
  <pageMargins left="0.78740157480314965" right="0.78740157480314965" top="0.55118110236220474" bottom="0.98425196850393704" header="0" footer="0"/>
  <pageSetup paperSize="9" fitToHeight="0" orientation="landscape"/>
  <headerFooter>
    <oddFooter>&amp;C800000&amp;F&amp;R800000&amp;P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000"/>
  <sheetViews>
    <sheetView workbookViewId="0"/>
  </sheetViews>
  <sheetFormatPr baseColWidth="10" defaultColWidth="12.6640625" defaultRowHeight="15" customHeight="1" x14ac:dyDescent="0.25"/>
  <cols>
    <col min="1" max="26" width="11.33203125" customWidth="1"/>
  </cols>
  <sheetData>
    <row r="1" spans="1:18" ht="12.75" customHeight="1" x14ac:dyDescent="0.25"/>
    <row r="2" spans="1:18" ht="12.75" customHeight="1" x14ac:dyDescent="0.25">
      <c r="A2" s="32" t="s">
        <v>55</v>
      </c>
      <c r="I2" s="33" t="s">
        <v>56</v>
      </c>
      <c r="J2" s="34">
        <v>1</v>
      </c>
    </row>
    <row r="3" spans="1:18" ht="12.75" customHeight="1" x14ac:dyDescent="0.25"/>
    <row r="4" spans="1:18" ht="12.75" customHeight="1" x14ac:dyDescent="0.25">
      <c r="F4" s="35" t="s">
        <v>57</v>
      </c>
    </row>
    <row r="5" spans="1:18" ht="12.75" customHeight="1" x14ac:dyDescent="0.25"/>
    <row r="6" spans="1:18" ht="12.75" customHeight="1" x14ac:dyDescent="0.25">
      <c r="A6" s="33" t="s">
        <v>57</v>
      </c>
      <c r="D6" s="36" t="s">
        <v>58</v>
      </c>
      <c r="E6" s="37" t="s">
        <v>59</v>
      </c>
    </row>
    <row r="7" spans="1:18" ht="12.75" customHeight="1" x14ac:dyDescent="0.25"/>
    <row r="8" spans="1:18" ht="12.75" customHeight="1" x14ac:dyDescent="0.25"/>
    <row r="9" spans="1:18" ht="12.75" customHeight="1" x14ac:dyDescent="0.25">
      <c r="A9" s="33" t="s">
        <v>60</v>
      </c>
      <c r="C9" s="37" t="s">
        <v>61</v>
      </c>
      <c r="H9" s="33" t="s">
        <v>62</v>
      </c>
      <c r="J9" s="36" t="s">
        <v>63</v>
      </c>
    </row>
    <row r="10" spans="1:18" ht="12.75" customHeight="1" x14ac:dyDescent="0.25">
      <c r="A10" s="33" t="s">
        <v>64</v>
      </c>
      <c r="C10" s="37" t="s">
        <v>65</v>
      </c>
    </row>
    <row r="11" spans="1:18" ht="12.75" customHeight="1" x14ac:dyDescent="0.25"/>
    <row r="12" spans="1:18" ht="12.75" customHeight="1" x14ac:dyDescent="0.25">
      <c r="A12" s="37" t="s">
        <v>0</v>
      </c>
      <c r="C12" s="37" t="s">
        <v>66</v>
      </c>
      <c r="G12" s="37" t="s">
        <v>67</v>
      </c>
      <c r="H12" s="38" t="s">
        <v>68</v>
      </c>
      <c r="I12" s="38" t="s">
        <v>69</v>
      </c>
      <c r="J12" s="38" t="s">
        <v>70</v>
      </c>
    </row>
    <row r="13" spans="1:18" ht="12.75" customHeight="1" x14ac:dyDescent="0.25"/>
    <row r="14" spans="1:18" ht="12.75" customHeight="1" x14ac:dyDescent="0.25">
      <c r="A14" s="39" t="s">
        <v>3</v>
      </c>
      <c r="E14" s="40" t="s">
        <v>6</v>
      </c>
      <c r="R14" s="41">
        <v>23651.77</v>
      </c>
    </row>
    <row r="15" spans="1:18" ht="12.75" customHeight="1" x14ac:dyDescent="0.25"/>
    <row r="16" spans="1:18" ht="12.75" customHeight="1" x14ac:dyDescent="0.25">
      <c r="A16" s="39" t="s">
        <v>4</v>
      </c>
      <c r="C16" s="39" t="s">
        <v>71</v>
      </c>
      <c r="H16" s="39" t="s">
        <v>72</v>
      </c>
      <c r="I16" s="42">
        <v>18</v>
      </c>
      <c r="K16" s="42">
        <v>126.58</v>
      </c>
      <c r="O16" s="42">
        <v>2278.44</v>
      </c>
    </row>
    <row r="17" spans="1:18" ht="12.75" customHeight="1" x14ac:dyDescent="0.25"/>
    <row r="18" spans="1:18" ht="12.75" customHeight="1" x14ac:dyDescent="0.25">
      <c r="A18" s="39" t="s">
        <v>5</v>
      </c>
      <c r="C18" s="39" t="s">
        <v>73</v>
      </c>
      <c r="H18" s="39" t="s">
        <v>74</v>
      </c>
      <c r="I18" s="42">
        <v>1</v>
      </c>
      <c r="K18" s="42">
        <v>548.21</v>
      </c>
      <c r="O18" s="42">
        <v>548.21</v>
      </c>
    </row>
    <row r="19" spans="1:18" ht="12.75" customHeight="1" x14ac:dyDescent="0.25"/>
    <row r="20" spans="1:18" ht="12.75" customHeight="1" x14ac:dyDescent="0.25">
      <c r="A20" s="39" t="s">
        <v>8</v>
      </c>
      <c r="C20" s="39" t="s">
        <v>75</v>
      </c>
      <c r="H20" s="39" t="s">
        <v>76</v>
      </c>
      <c r="K20" s="42">
        <v>150</v>
      </c>
    </row>
    <row r="21" spans="1:18" ht="12.75" customHeight="1" x14ac:dyDescent="0.25"/>
    <row r="22" spans="1:18" ht="12.75" customHeight="1" x14ac:dyDescent="0.25">
      <c r="A22" s="39" t="s">
        <v>8</v>
      </c>
      <c r="C22" s="39" t="s">
        <v>77</v>
      </c>
      <c r="H22" s="39" t="s">
        <v>76</v>
      </c>
      <c r="K22" s="42">
        <v>350</v>
      </c>
    </row>
    <row r="23" spans="1:18" ht="12.75" customHeight="1" x14ac:dyDescent="0.25"/>
    <row r="24" spans="1:18" ht="12.75" customHeight="1" x14ac:dyDescent="0.25">
      <c r="A24" s="39" t="s">
        <v>78</v>
      </c>
      <c r="C24" s="39" t="s">
        <v>79</v>
      </c>
      <c r="H24" s="39" t="s">
        <v>80</v>
      </c>
      <c r="K24" s="42">
        <v>5140.74</v>
      </c>
    </row>
    <row r="25" spans="1:18" ht="12.75" customHeight="1" x14ac:dyDescent="0.25"/>
    <row r="26" spans="1:18" ht="12.75" customHeight="1" x14ac:dyDescent="0.25">
      <c r="A26" s="39" t="s">
        <v>81</v>
      </c>
      <c r="C26" s="39" t="s">
        <v>82</v>
      </c>
      <c r="H26" s="39" t="s">
        <v>72</v>
      </c>
      <c r="K26" s="42">
        <v>1.8</v>
      </c>
    </row>
    <row r="27" spans="1:18" ht="12.75" customHeight="1" x14ac:dyDescent="0.25"/>
    <row r="28" spans="1:18" ht="12.75" customHeight="1" x14ac:dyDescent="0.25">
      <c r="A28" s="39" t="s">
        <v>7</v>
      </c>
      <c r="C28" s="39" t="s">
        <v>83</v>
      </c>
      <c r="H28" s="39" t="s">
        <v>72</v>
      </c>
      <c r="I28" s="42">
        <v>576</v>
      </c>
      <c r="K28" s="42">
        <v>4.63</v>
      </c>
      <c r="O28" s="42">
        <v>2666.88</v>
      </c>
    </row>
    <row r="29" spans="1:18" ht="12.75" customHeight="1" x14ac:dyDescent="0.25"/>
    <row r="30" spans="1:18" ht="12.75" customHeight="1" x14ac:dyDescent="0.25">
      <c r="A30" s="39" t="s">
        <v>84</v>
      </c>
      <c r="C30" s="39" t="s">
        <v>85</v>
      </c>
      <c r="H30" s="39" t="s">
        <v>76</v>
      </c>
      <c r="I30" s="42">
        <v>6</v>
      </c>
      <c r="K30" s="42">
        <v>4598.63</v>
      </c>
      <c r="O30" s="42">
        <v>27591.78</v>
      </c>
    </row>
    <row r="31" spans="1:18" ht="12.75" customHeight="1" x14ac:dyDescent="0.25"/>
    <row r="32" spans="1:18" ht="12.75" customHeight="1" x14ac:dyDescent="0.25">
      <c r="A32" s="39" t="s">
        <v>9</v>
      </c>
      <c r="E32" s="40" t="s">
        <v>86</v>
      </c>
      <c r="R32" s="41">
        <v>159927.96</v>
      </c>
    </row>
    <row r="33" spans="1:15" ht="12.75" customHeight="1" x14ac:dyDescent="0.25"/>
    <row r="34" spans="1:15" ht="12.75" customHeight="1" x14ac:dyDescent="0.25">
      <c r="A34" s="39" t="s">
        <v>10</v>
      </c>
      <c r="C34" s="39" t="s">
        <v>87</v>
      </c>
      <c r="H34" s="39" t="s">
        <v>88</v>
      </c>
      <c r="I34" s="42">
        <v>378</v>
      </c>
      <c r="K34" s="42">
        <v>17.010000000000002</v>
      </c>
      <c r="O34" s="42">
        <v>6429.78</v>
      </c>
    </row>
    <row r="35" spans="1:15" ht="12.75" customHeight="1" x14ac:dyDescent="0.25"/>
    <row r="36" spans="1:15" ht="12.75" customHeight="1" x14ac:dyDescent="0.25">
      <c r="A36" s="39" t="s">
        <v>12</v>
      </c>
      <c r="C36" s="39" t="s">
        <v>89</v>
      </c>
      <c r="H36" s="39" t="s">
        <v>88</v>
      </c>
      <c r="K36" s="42">
        <v>32.26</v>
      </c>
    </row>
    <row r="37" spans="1:15" ht="12.75" customHeight="1" x14ac:dyDescent="0.25"/>
    <row r="38" spans="1:15" ht="12.75" customHeight="1" x14ac:dyDescent="0.25">
      <c r="A38" s="39" t="s">
        <v>13</v>
      </c>
      <c r="C38" s="39" t="s">
        <v>90</v>
      </c>
      <c r="H38" s="39" t="s">
        <v>88</v>
      </c>
      <c r="I38" s="42">
        <v>252.5</v>
      </c>
      <c r="K38" s="42">
        <v>33.18</v>
      </c>
      <c r="O38" s="42">
        <v>8377.9500000000007</v>
      </c>
    </row>
    <row r="39" spans="1:15" ht="12.75" customHeight="1" x14ac:dyDescent="0.25"/>
    <row r="40" spans="1:15" ht="12.75" customHeight="1" x14ac:dyDescent="0.25">
      <c r="A40" s="39" t="s">
        <v>14</v>
      </c>
      <c r="C40" s="39" t="s">
        <v>91</v>
      </c>
      <c r="H40" s="39" t="s">
        <v>72</v>
      </c>
      <c r="K40" s="42">
        <v>62.01</v>
      </c>
    </row>
    <row r="41" spans="1:15" ht="12.75" customHeight="1" x14ac:dyDescent="0.25"/>
    <row r="42" spans="1:15" ht="12.75" customHeight="1" x14ac:dyDescent="0.25">
      <c r="A42" s="39" t="s">
        <v>14</v>
      </c>
      <c r="C42" s="39" t="s">
        <v>92</v>
      </c>
      <c r="H42" s="39" t="s">
        <v>88</v>
      </c>
      <c r="I42" s="42">
        <v>176</v>
      </c>
      <c r="K42" s="42">
        <v>19.850000000000001</v>
      </c>
      <c r="O42" s="42">
        <v>3493.6</v>
      </c>
    </row>
    <row r="43" spans="1:15" ht="12.75" customHeight="1" x14ac:dyDescent="0.25"/>
    <row r="44" spans="1:15" ht="12.75" customHeight="1" x14ac:dyDescent="0.25">
      <c r="A44" s="39" t="s">
        <v>93</v>
      </c>
      <c r="C44" s="39" t="s">
        <v>94</v>
      </c>
      <c r="H44" s="39" t="s">
        <v>72</v>
      </c>
      <c r="K44" s="42">
        <v>28.03</v>
      </c>
    </row>
    <row r="45" spans="1:15" ht="12.75" customHeight="1" x14ac:dyDescent="0.25"/>
    <row r="46" spans="1:15" ht="12.75" customHeight="1" x14ac:dyDescent="0.25">
      <c r="A46" s="39" t="s">
        <v>95</v>
      </c>
      <c r="C46" s="39" t="s">
        <v>96</v>
      </c>
      <c r="H46" s="39" t="s">
        <v>72</v>
      </c>
      <c r="I46" s="42">
        <v>302.8</v>
      </c>
      <c r="K46" s="42">
        <v>56.64</v>
      </c>
      <c r="O46" s="42">
        <v>17150.59</v>
      </c>
    </row>
    <row r="47" spans="1:15" ht="12.75" customHeight="1" x14ac:dyDescent="0.25"/>
    <row r="48" spans="1:15" ht="12.75" customHeight="1" x14ac:dyDescent="0.25">
      <c r="A48" s="39" t="s">
        <v>97</v>
      </c>
      <c r="C48" s="39" t="s">
        <v>98</v>
      </c>
      <c r="H48" s="39" t="s">
        <v>99</v>
      </c>
      <c r="I48" s="42">
        <v>7724.37</v>
      </c>
      <c r="K48" s="42">
        <v>5.27</v>
      </c>
      <c r="O48" s="42">
        <v>40707.43</v>
      </c>
    </row>
    <row r="49" spans="1:18" ht="12.75" customHeight="1" x14ac:dyDescent="0.25"/>
    <row r="50" spans="1:18" ht="12.75" customHeight="1" x14ac:dyDescent="0.25">
      <c r="A50" s="39" t="s">
        <v>100</v>
      </c>
      <c r="C50" s="39" t="s">
        <v>101</v>
      </c>
      <c r="H50" s="39" t="s">
        <v>88</v>
      </c>
      <c r="K50" s="42">
        <v>389.41</v>
      </c>
    </row>
    <row r="51" spans="1:18" ht="12.75" customHeight="1" x14ac:dyDescent="0.25"/>
    <row r="52" spans="1:18" ht="12.75" customHeight="1" x14ac:dyDescent="0.25">
      <c r="A52" s="39" t="s">
        <v>102</v>
      </c>
      <c r="E52" s="40" t="s">
        <v>103</v>
      </c>
      <c r="R52" s="41">
        <v>27798.75</v>
      </c>
    </row>
    <row r="53" spans="1:18" ht="12.75" customHeight="1" x14ac:dyDescent="0.25"/>
    <row r="54" spans="1:18" ht="12.75" customHeight="1" x14ac:dyDescent="0.25">
      <c r="A54" s="39" t="s">
        <v>104</v>
      </c>
      <c r="C54" s="39" t="s">
        <v>105</v>
      </c>
      <c r="H54" s="39" t="s">
        <v>88</v>
      </c>
      <c r="K54" s="42">
        <v>480.33</v>
      </c>
    </row>
    <row r="55" spans="1:18" ht="12.75" customHeight="1" x14ac:dyDescent="0.25"/>
    <row r="56" spans="1:18" ht="12.75" customHeight="1" x14ac:dyDescent="0.25">
      <c r="A56" s="39" t="s">
        <v>106</v>
      </c>
      <c r="C56" s="39" t="s">
        <v>107</v>
      </c>
      <c r="H56" s="39" t="s">
        <v>74</v>
      </c>
      <c r="K56" s="42">
        <v>1563.11</v>
      </c>
    </row>
    <row r="57" spans="1:18" ht="12.75" customHeight="1" x14ac:dyDescent="0.25"/>
    <row r="58" spans="1:18" ht="12.75" customHeight="1" x14ac:dyDescent="0.25">
      <c r="A58" s="39" t="s">
        <v>108</v>
      </c>
      <c r="C58" s="39" t="s">
        <v>109</v>
      </c>
      <c r="H58" s="39" t="s">
        <v>74</v>
      </c>
      <c r="K58" s="42">
        <v>1022.97</v>
      </c>
    </row>
    <row r="59" spans="1:18" ht="12.75" customHeight="1" x14ac:dyDescent="0.25"/>
    <row r="60" spans="1:18" ht="12.75" customHeight="1" x14ac:dyDescent="0.25">
      <c r="A60" s="39" t="s">
        <v>110</v>
      </c>
      <c r="C60" s="39" t="s">
        <v>111</v>
      </c>
      <c r="H60" s="39" t="s">
        <v>74</v>
      </c>
      <c r="K60" s="42">
        <v>58.57</v>
      </c>
    </row>
    <row r="61" spans="1:18" ht="12.75" customHeight="1" x14ac:dyDescent="0.25"/>
    <row r="62" spans="1:18" ht="12.75" customHeight="1" x14ac:dyDescent="0.25">
      <c r="A62" s="39" t="s">
        <v>112</v>
      </c>
      <c r="C62" s="39" t="s">
        <v>113</v>
      </c>
      <c r="H62" s="39" t="s">
        <v>72</v>
      </c>
      <c r="K62" s="42">
        <v>61.92</v>
      </c>
    </row>
    <row r="63" spans="1:18" ht="12.75" customHeight="1" x14ac:dyDescent="0.25"/>
    <row r="64" spans="1:18" ht="12.75" customHeight="1" x14ac:dyDescent="0.25">
      <c r="A64" s="39" t="s">
        <v>114</v>
      </c>
      <c r="C64" s="39" t="s">
        <v>115</v>
      </c>
      <c r="H64" s="39" t="s">
        <v>88</v>
      </c>
      <c r="K64" s="42">
        <v>75.78</v>
      </c>
    </row>
    <row r="65" spans="1:15" ht="12.75" customHeight="1" x14ac:dyDescent="0.25"/>
    <row r="66" spans="1:15" ht="12.75" customHeight="1" x14ac:dyDescent="0.25">
      <c r="A66" s="39" t="s">
        <v>116</v>
      </c>
      <c r="E66" s="40" t="s">
        <v>117</v>
      </c>
    </row>
    <row r="67" spans="1:15" ht="12.75" customHeight="1" x14ac:dyDescent="0.25"/>
    <row r="68" spans="1:15" ht="12.75" customHeight="1" x14ac:dyDescent="0.25">
      <c r="A68" s="39" t="s">
        <v>118</v>
      </c>
      <c r="C68" s="39" t="s">
        <v>119</v>
      </c>
      <c r="H68" s="39" t="s">
        <v>72</v>
      </c>
      <c r="I68" s="42">
        <v>240.95</v>
      </c>
      <c r="K68" s="42">
        <v>68.25</v>
      </c>
      <c r="O68" s="42">
        <v>16444.84</v>
      </c>
    </row>
    <row r="69" spans="1:15" ht="12.75" customHeight="1" x14ac:dyDescent="0.25"/>
    <row r="70" spans="1:15" ht="12.75" customHeight="1" x14ac:dyDescent="0.25">
      <c r="A70" s="39" t="s">
        <v>120</v>
      </c>
      <c r="C70" s="39" t="s">
        <v>98</v>
      </c>
      <c r="H70" s="39" t="s">
        <v>99</v>
      </c>
      <c r="I70" s="42">
        <v>8027.14</v>
      </c>
      <c r="K70" s="42">
        <v>5.27</v>
      </c>
      <c r="O70" s="42">
        <v>42303.03</v>
      </c>
    </row>
    <row r="71" spans="1:15" ht="12.75" customHeight="1" x14ac:dyDescent="0.25"/>
    <row r="72" spans="1:15" ht="12.75" customHeight="1" x14ac:dyDescent="0.25">
      <c r="A72" s="39" t="s">
        <v>121</v>
      </c>
      <c r="C72" s="39" t="s">
        <v>122</v>
      </c>
      <c r="H72" s="39" t="s">
        <v>123</v>
      </c>
      <c r="K72" s="42">
        <v>9.31</v>
      </c>
    </row>
    <row r="73" spans="1:15" ht="12.75" customHeight="1" x14ac:dyDescent="0.25"/>
    <row r="74" spans="1:15" ht="12.75" customHeight="1" x14ac:dyDescent="0.25">
      <c r="A74" s="39" t="s">
        <v>124</v>
      </c>
      <c r="C74" s="39" t="s">
        <v>125</v>
      </c>
      <c r="H74" s="39" t="s">
        <v>88</v>
      </c>
      <c r="K74" s="42">
        <v>427.5</v>
      </c>
    </row>
    <row r="75" spans="1:15" ht="12.75" customHeight="1" x14ac:dyDescent="0.25"/>
    <row r="76" spans="1:15" ht="12.75" customHeight="1" x14ac:dyDescent="0.25">
      <c r="A76" s="39" t="s">
        <v>126</v>
      </c>
      <c r="E76" s="40" t="s">
        <v>127</v>
      </c>
    </row>
    <row r="77" spans="1:15" ht="12.75" customHeight="1" x14ac:dyDescent="0.25"/>
    <row r="78" spans="1:15" ht="12.75" customHeight="1" x14ac:dyDescent="0.25">
      <c r="A78" s="39" t="s">
        <v>128</v>
      </c>
      <c r="C78" s="39" t="s">
        <v>119</v>
      </c>
      <c r="H78" s="39" t="s">
        <v>72</v>
      </c>
      <c r="I78" s="42">
        <v>90</v>
      </c>
      <c r="K78" s="42">
        <v>68.25</v>
      </c>
      <c r="O78" s="42">
        <v>6142.5</v>
      </c>
    </row>
    <row r="79" spans="1:15" ht="12.75" customHeight="1" x14ac:dyDescent="0.25"/>
    <row r="80" spans="1:15" ht="12.75" customHeight="1" x14ac:dyDescent="0.25">
      <c r="A80" s="39" t="s">
        <v>129</v>
      </c>
      <c r="C80" s="39" t="s">
        <v>98</v>
      </c>
      <c r="H80" s="39" t="s">
        <v>99</v>
      </c>
      <c r="I80" s="42">
        <v>3291.79</v>
      </c>
      <c r="K80" s="42">
        <v>5.27</v>
      </c>
      <c r="O80" s="42">
        <v>17347.73</v>
      </c>
    </row>
    <row r="81" spans="1:15" ht="12.75" customHeight="1" x14ac:dyDescent="0.25"/>
    <row r="82" spans="1:15" ht="12.75" customHeight="1" x14ac:dyDescent="0.25">
      <c r="A82" s="39" t="s">
        <v>130</v>
      </c>
      <c r="C82" s="39" t="s">
        <v>131</v>
      </c>
      <c r="H82" s="39" t="s">
        <v>88</v>
      </c>
      <c r="K82" s="42">
        <v>431.4</v>
      </c>
    </row>
    <row r="83" spans="1:15" ht="12.75" customHeight="1" x14ac:dyDescent="0.25"/>
    <row r="84" spans="1:15" ht="12.75" customHeight="1" x14ac:dyDescent="0.25">
      <c r="A84" s="39" t="s">
        <v>132</v>
      </c>
      <c r="E84" s="40" t="s">
        <v>133</v>
      </c>
    </row>
    <row r="85" spans="1:15" ht="12.75" customHeight="1" x14ac:dyDescent="0.25"/>
    <row r="86" spans="1:15" ht="12.75" customHeight="1" x14ac:dyDescent="0.25">
      <c r="A86" s="39" t="s">
        <v>134</v>
      </c>
      <c r="C86" s="39" t="s">
        <v>119</v>
      </c>
      <c r="H86" s="39" t="s">
        <v>72</v>
      </c>
      <c r="I86" s="42">
        <v>35</v>
      </c>
      <c r="K86" s="42">
        <v>68.25</v>
      </c>
      <c r="O86" s="42">
        <v>2388.75</v>
      </c>
    </row>
    <row r="87" spans="1:15" ht="12.75" customHeight="1" x14ac:dyDescent="0.25"/>
    <row r="88" spans="1:15" ht="12.75" customHeight="1" x14ac:dyDescent="0.25">
      <c r="A88" s="39" t="s">
        <v>135</v>
      </c>
      <c r="C88" s="39" t="s">
        <v>98</v>
      </c>
      <c r="H88" s="39" t="s">
        <v>99</v>
      </c>
      <c r="I88" s="42">
        <v>943.35</v>
      </c>
      <c r="K88" s="42">
        <v>5.27</v>
      </c>
      <c r="O88" s="42">
        <v>4971.45</v>
      </c>
    </row>
    <row r="89" spans="1:15" ht="12.75" customHeight="1" x14ac:dyDescent="0.25"/>
    <row r="90" spans="1:15" ht="12.75" customHeight="1" x14ac:dyDescent="0.25">
      <c r="A90" s="39" t="s">
        <v>136</v>
      </c>
      <c r="C90" s="39" t="s">
        <v>131</v>
      </c>
      <c r="H90" s="39" t="s">
        <v>88</v>
      </c>
      <c r="K90" s="42">
        <v>431.4</v>
      </c>
    </row>
    <row r="91" spans="1:15" ht="12.75" customHeight="1" x14ac:dyDescent="0.25"/>
    <row r="92" spans="1:15" ht="12.75" customHeight="1" x14ac:dyDescent="0.25">
      <c r="A92" s="39" t="s">
        <v>137</v>
      </c>
      <c r="E92" s="40" t="s">
        <v>138</v>
      </c>
    </row>
    <row r="93" spans="1:15" ht="12.75" customHeight="1" x14ac:dyDescent="0.25"/>
    <row r="94" spans="1:15" ht="12.75" customHeight="1" x14ac:dyDescent="0.25">
      <c r="A94" s="39" t="s">
        <v>139</v>
      </c>
      <c r="E94" s="40" t="s">
        <v>6</v>
      </c>
    </row>
    <row r="95" spans="1:15" ht="12.75" customHeight="1" x14ac:dyDescent="0.25"/>
    <row r="96" spans="1:15" ht="12.75" customHeight="1" x14ac:dyDescent="0.25">
      <c r="A96" s="39" t="s">
        <v>140</v>
      </c>
      <c r="C96" s="39" t="s">
        <v>83</v>
      </c>
      <c r="H96" s="39" t="s">
        <v>72</v>
      </c>
      <c r="I96" s="42">
        <v>576</v>
      </c>
      <c r="K96" s="42">
        <v>4.63</v>
      </c>
      <c r="O96" s="42">
        <v>2666.88</v>
      </c>
    </row>
    <row r="97" spans="1:15" ht="12.75" customHeight="1" x14ac:dyDescent="0.25"/>
    <row r="98" spans="1:15" ht="12.75" customHeight="1" x14ac:dyDescent="0.25">
      <c r="A98" s="39" t="s">
        <v>141</v>
      </c>
      <c r="E98" s="40" t="s">
        <v>11</v>
      </c>
    </row>
    <row r="99" spans="1:15" ht="12.75" customHeight="1" x14ac:dyDescent="0.25"/>
    <row r="100" spans="1:15" ht="12.75" customHeight="1" x14ac:dyDescent="0.25">
      <c r="A100" s="39" t="s">
        <v>142</v>
      </c>
      <c r="C100" s="39" t="s">
        <v>143</v>
      </c>
      <c r="H100" s="39" t="s">
        <v>88</v>
      </c>
      <c r="I100" s="42">
        <v>502.8</v>
      </c>
      <c r="K100" s="42">
        <v>8.85</v>
      </c>
      <c r="O100" s="42">
        <v>4449.78</v>
      </c>
    </row>
    <row r="101" spans="1:15" ht="12.75" customHeight="1" x14ac:dyDescent="0.25"/>
    <row r="102" spans="1:15" ht="12.75" customHeight="1" x14ac:dyDescent="0.25">
      <c r="A102" s="39" t="s">
        <v>144</v>
      </c>
      <c r="C102" s="39" t="s">
        <v>145</v>
      </c>
      <c r="H102" s="39" t="s">
        <v>88</v>
      </c>
      <c r="I102" s="42">
        <v>502.8</v>
      </c>
      <c r="K102" s="42">
        <v>8.85</v>
      </c>
      <c r="O102" s="42">
        <v>4449.78</v>
      </c>
    </row>
    <row r="103" spans="1:15" ht="12.75" customHeight="1" x14ac:dyDescent="0.25"/>
    <row r="104" spans="1:15" ht="12.75" customHeight="1" x14ac:dyDescent="0.25">
      <c r="A104" s="39" t="s">
        <v>146</v>
      </c>
      <c r="C104" s="39" t="s">
        <v>147</v>
      </c>
      <c r="H104" s="39" t="s">
        <v>88</v>
      </c>
      <c r="I104" s="42">
        <v>502.8</v>
      </c>
      <c r="K104" s="42">
        <v>4.3099999999999996</v>
      </c>
      <c r="O104" s="42">
        <v>2167.0700000000002</v>
      </c>
    </row>
    <row r="105" spans="1:15" ht="12.75" customHeight="1" x14ac:dyDescent="0.25"/>
    <row r="106" spans="1:15" ht="12.75" customHeight="1" x14ac:dyDescent="0.25">
      <c r="A106" s="39" t="s">
        <v>148</v>
      </c>
      <c r="C106" s="39" t="s">
        <v>149</v>
      </c>
      <c r="H106" s="39" t="s">
        <v>88</v>
      </c>
      <c r="I106" s="42">
        <v>502.8</v>
      </c>
      <c r="K106" s="42">
        <v>22.44</v>
      </c>
      <c r="O106" s="42">
        <v>11282.83</v>
      </c>
    </row>
    <row r="107" spans="1:15" ht="12.75" customHeight="1" x14ac:dyDescent="0.25"/>
    <row r="108" spans="1:15" ht="12.75" customHeight="1" x14ac:dyDescent="0.25">
      <c r="A108" s="39" t="s">
        <v>148</v>
      </c>
      <c r="C108" s="39" t="s">
        <v>150</v>
      </c>
      <c r="H108" s="39" t="s">
        <v>88</v>
      </c>
      <c r="K108" s="42">
        <v>7.81</v>
      </c>
    </row>
    <row r="109" spans="1:15" ht="12.75" customHeight="1" x14ac:dyDescent="0.25"/>
    <row r="110" spans="1:15" ht="12.75" customHeight="1" x14ac:dyDescent="0.25">
      <c r="A110" s="39" t="s">
        <v>151</v>
      </c>
      <c r="C110" s="39" t="s">
        <v>152</v>
      </c>
      <c r="H110" s="39" t="s">
        <v>88</v>
      </c>
      <c r="K110" s="42">
        <v>6.95</v>
      </c>
    </row>
    <row r="111" spans="1:15" ht="12.75" customHeight="1" x14ac:dyDescent="0.25"/>
    <row r="112" spans="1:15" ht="12.75" customHeight="1" x14ac:dyDescent="0.25">
      <c r="A112" s="39" t="s">
        <v>153</v>
      </c>
      <c r="C112" s="39" t="s">
        <v>154</v>
      </c>
      <c r="H112" s="39" t="s">
        <v>72</v>
      </c>
      <c r="K112" s="42">
        <v>32.409999999999997</v>
      </c>
    </row>
    <row r="113" spans="1:15" ht="12.75" customHeight="1" x14ac:dyDescent="0.25"/>
    <row r="114" spans="1:15" ht="12.75" customHeight="1" x14ac:dyDescent="0.25">
      <c r="A114" s="39" t="s">
        <v>155</v>
      </c>
      <c r="E114" s="40" t="s">
        <v>156</v>
      </c>
    </row>
    <row r="115" spans="1:15" ht="12.75" customHeight="1" x14ac:dyDescent="0.25"/>
    <row r="116" spans="1:15" ht="12.75" customHeight="1" x14ac:dyDescent="0.25">
      <c r="A116" s="39" t="s">
        <v>157</v>
      </c>
      <c r="E116" s="40" t="s">
        <v>6</v>
      </c>
    </row>
    <row r="117" spans="1:15" ht="12.75" customHeight="1" x14ac:dyDescent="0.25"/>
    <row r="118" spans="1:15" ht="12.75" customHeight="1" x14ac:dyDescent="0.25">
      <c r="A118" s="39" t="s">
        <v>158</v>
      </c>
      <c r="C118" s="39" t="s">
        <v>82</v>
      </c>
      <c r="H118" s="39" t="s">
        <v>72</v>
      </c>
      <c r="K118" s="42">
        <v>1.8</v>
      </c>
    </row>
    <row r="119" spans="1:15" ht="12.75" customHeight="1" x14ac:dyDescent="0.25"/>
    <row r="120" spans="1:15" ht="12.75" customHeight="1" x14ac:dyDescent="0.25">
      <c r="A120" s="39" t="s">
        <v>159</v>
      </c>
      <c r="C120" s="39" t="s">
        <v>83</v>
      </c>
      <c r="H120" s="39" t="s">
        <v>72</v>
      </c>
      <c r="I120" s="42">
        <v>576</v>
      </c>
      <c r="K120" s="42">
        <v>4.63</v>
      </c>
      <c r="O120" s="42">
        <v>2666.88</v>
      </c>
    </row>
    <row r="121" spans="1:15" ht="12.75" customHeight="1" x14ac:dyDescent="0.25"/>
    <row r="122" spans="1:15" ht="12.75" customHeight="1" x14ac:dyDescent="0.25">
      <c r="A122" s="39" t="s">
        <v>160</v>
      </c>
      <c r="E122" s="40" t="s">
        <v>11</v>
      </c>
    </row>
    <row r="123" spans="1:15" ht="12.75" customHeight="1" x14ac:dyDescent="0.25"/>
    <row r="124" spans="1:15" ht="12.75" customHeight="1" x14ac:dyDescent="0.25">
      <c r="A124" s="39" t="s">
        <v>161</v>
      </c>
      <c r="C124" s="39" t="s">
        <v>87</v>
      </c>
      <c r="H124" s="39" t="s">
        <v>88</v>
      </c>
      <c r="I124" s="42">
        <v>378</v>
      </c>
      <c r="K124" s="42">
        <v>17.010000000000002</v>
      </c>
      <c r="O124" s="42">
        <v>6429.78</v>
      </c>
    </row>
    <row r="125" spans="1:15" ht="12.75" customHeight="1" x14ac:dyDescent="0.25"/>
    <row r="126" spans="1:15" ht="12.75" customHeight="1" x14ac:dyDescent="0.25">
      <c r="A126" s="39" t="s">
        <v>162</v>
      </c>
      <c r="C126" s="39" t="s">
        <v>90</v>
      </c>
      <c r="H126" s="39" t="s">
        <v>88</v>
      </c>
      <c r="I126" s="42">
        <v>252.5</v>
      </c>
      <c r="K126" s="42">
        <v>33.18</v>
      </c>
      <c r="O126" s="42">
        <v>8377.9500000000007</v>
      </c>
    </row>
    <row r="127" spans="1:15" ht="12.75" customHeight="1" x14ac:dyDescent="0.25"/>
    <row r="128" spans="1:15" ht="12.75" customHeight="1" x14ac:dyDescent="0.25">
      <c r="A128" s="39" t="s">
        <v>163</v>
      </c>
      <c r="C128" s="39" t="s">
        <v>91</v>
      </c>
      <c r="H128" s="39" t="s">
        <v>72</v>
      </c>
      <c r="K128" s="42">
        <v>62.01</v>
      </c>
    </row>
    <row r="129" spans="1:18" ht="12.75" customHeight="1" x14ac:dyDescent="0.25"/>
    <row r="130" spans="1:18" ht="12.75" customHeight="1" x14ac:dyDescent="0.25">
      <c r="A130" s="39" t="s">
        <v>164</v>
      </c>
      <c r="C130" s="39" t="s">
        <v>92</v>
      </c>
      <c r="H130" s="39" t="s">
        <v>88</v>
      </c>
      <c r="I130" s="42">
        <v>176</v>
      </c>
      <c r="K130" s="42">
        <v>22.07</v>
      </c>
      <c r="O130" s="42">
        <v>3884.32</v>
      </c>
    </row>
    <row r="131" spans="1:18" ht="12.75" customHeight="1" x14ac:dyDescent="0.25"/>
    <row r="132" spans="1:18" ht="12.75" customHeight="1" x14ac:dyDescent="0.25">
      <c r="A132" s="39" t="s">
        <v>165</v>
      </c>
      <c r="E132" s="40" t="s">
        <v>166</v>
      </c>
    </row>
    <row r="133" spans="1:18" ht="12.75" customHeight="1" x14ac:dyDescent="0.25"/>
    <row r="134" spans="1:18" ht="12.75" customHeight="1" x14ac:dyDescent="0.25">
      <c r="A134" s="39" t="s">
        <v>167</v>
      </c>
      <c r="C134" s="39" t="s">
        <v>168</v>
      </c>
      <c r="H134" s="39" t="s">
        <v>88</v>
      </c>
      <c r="K134" s="42">
        <v>207.31</v>
      </c>
    </row>
    <row r="135" spans="1:18" ht="12.75" customHeight="1" x14ac:dyDescent="0.25"/>
    <row r="136" spans="1:18" ht="12.75" customHeight="1" x14ac:dyDescent="0.25">
      <c r="A136" s="39" t="s">
        <v>169</v>
      </c>
      <c r="C136" s="39" t="s">
        <v>170</v>
      </c>
      <c r="H136" s="39" t="s">
        <v>72</v>
      </c>
      <c r="K136" s="42">
        <v>74.14</v>
      </c>
    </row>
    <row r="137" spans="1:18" ht="12.75" customHeight="1" x14ac:dyDescent="0.25"/>
    <row r="138" spans="1:18" ht="12.75" customHeight="1" x14ac:dyDescent="0.25">
      <c r="A138" s="39" t="s">
        <v>171</v>
      </c>
      <c r="E138" s="40" t="s">
        <v>172</v>
      </c>
      <c r="R138" s="41">
        <v>22667.599999999999</v>
      </c>
    </row>
    <row r="139" spans="1:18" ht="12.75" customHeight="1" x14ac:dyDescent="0.25"/>
    <row r="140" spans="1:18" ht="12.75" customHeight="1" x14ac:dyDescent="0.25">
      <c r="A140" s="39" t="s">
        <v>173</v>
      </c>
      <c r="C140" s="39" t="s">
        <v>174</v>
      </c>
      <c r="H140" s="39" t="s">
        <v>74</v>
      </c>
      <c r="I140" s="42">
        <v>2</v>
      </c>
      <c r="K140" s="42">
        <v>3106.52</v>
      </c>
      <c r="O140" s="42">
        <v>6213.04</v>
      </c>
    </row>
    <row r="141" spans="1:18" ht="12.75" customHeight="1" x14ac:dyDescent="0.25"/>
    <row r="142" spans="1:18" ht="12.75" customHeight="1" x14ac:dyDescent="0.25">
      <c r="A142" s="39" t="s">
        <v>175</v>
      </c>
      <c r="C142" s="39" t="s">
        <v>176</v>
      </c>
      <c r="H142" s="39" t="s">
        <v>74</v>
      </c>
      <c r="I142" s="42">
        <v>2</v>
      </c>
      <c r="K142" s="42">
        <v>4606.5200000000004</v>
      </c>
      <c r="O142" s="42">
        <v>9213.0400000000009</v>
      </c>
    </row>
    <row r="143" spans="1:18" ht="12.75" customHeight="1" x14ac:dyDescent="0.25"/>
    <row r="144" spans="1:18" ht="12.75" customHeight="1" x14ac:dyDescent="0.25">
      <c r="A144" s="39" t="s">
        <v>177</v>
      </c>
      <c r="C144" s="39" t="s">
        <v>178</v>
      </c>
      <c r="H144" s="39" t="s">
        <v>179</v>
      </c>
      <c r="I144" s="42">
        <v>19.2</v>
      </c>
      <c r="K144" s="42">
        <v>8.6999999999999993</v>
      </c>
      <c r="O144" s="42">
        <v>167.04</v>
      </c>
    </row>
    <row r="145" spans="1:15" ht="12.75" customHeight="1" x14ac:dyDescent="0.25"/>
    <row r="146" spans="1:15" ht="12.75" customHeight="1" x14ac:dyDescent="0.25">
      <c r="A146" s="39" t="s">
        <v>180</v>
      </c>
      <c r="C146" s="39" t="s">
        <v>181</v>
      </c>
      <c r="H146" s="39" t="s">
        <v>179</v>
      </c>
      <c r="I146" s="42">
        <v>7.2</v>
      </c>
      <c r="K146" s="42">
        <v>166.09</v>
      </c>
      <c r="O146" s="42">
        <v>1195.8499999999999</v>
      </c>
    </row>
    <row r="147" spans="1:15" ht="12.75" customHeight="1" x14ac:dyDescent="0.25"/>
    <row r="148" spans="1:15" ht="12.75" customHeight="1" x14ac:dyDescent="0.25">
      <c r="A148" s="39" t="s">
        <v>182</v>
      </c>
      <c r="C148" s="39" t="s">
        <v>183</v>
      </c>
      <c r="H148" s="39" t="s">
        <v>179</v>
      </c>
      <c r="I148" s="42">
        <v>50</v>
      </c>
      <c r="K148" s="42">
        <v>798.3</v>
      </c>
      <c r="O148" s="42">
        <v>39915</v>
      </c>
    </row>
    <row r="149" spans="1:15" ht="12.75" customHeight="1" x14ac:dyDescent="0.25"/>
    <row r="150" spans="1:15" ht="12.75" customHeight="1" x14ac:dyDescent="0.25">
      <c r="A150" s="39" t="s">
        <v>184</v>
      </c>
      <c r="C150" s="39" t="s">
        <v>185</v>
      </c>
      <c r="H150" s="39" t="s">
        <v>72</v>
      </c>
      <c r="I150" s="42">
        <v>81.599999999999994</v>
      </c>
      <c r="K150" s="42">
        <v>8.57</v>
      </c>
      <c r="O150" s="42">
        <v>699.31</v>
      </c>
    </row>
    <row r="151" spans="1:15" ht="12.75" customHeight="1" x14ac:dyDescent="0.25"/>
    <row r="152" spans="1:15" ht="12.75" customHeight="1" x14ac:dyDescent="0.25">
      <c r="A152" s="39" t="s">
        <v>186</v>
      </c>
      <c r="C152" s="39" t="s">
        <v>187</v>
      </c>
      <c r="H152" s="39" t="s">
        <v>179</v>
      </c>
      <c r="I152" s="42">
        <v>6</v>
      </c>
      <c r="K152" s="42">
        <v>13.27</v>
      </c>
      <c r="O152" s="42">
        <v>79.62</v>
      </c>
    </row>
    <row r="153" spans="1:15" ht="12.75" customHeight="1" x14ac:dyDescent="0.25"/>
    <row r="154" spans="1:15" ht="12.75" customHeight="1" x14ac:dyDescent="0.25">
      <c r="A154" s="39" t="s">
        <v>188</v>
      </c>
      <c r="C154" s="39" t="s">
        <v>189</v>
      </c>
      <c r="H154" s="39" t="s">
        <v>74</v>
      </c>
      <c r="I154" s="42">
        <v>1</v>
      </c>
      <c r="K154" s="42">
        <v>700</v>
      </c>
      <c r="O154" s="42">
        <v>700</v>
      </c>
    </row>
    <row r="155" spans="1:15" ht="12.75" customHeight="1" x14ac:dyDescent="0.25"/>
    <row r="156" spans="1:15" ht="12.75" customHeight="1" x14ac:dyDescent="0.25">
      <c r="A156" s="39" t="s">
        <v>190</v>
      </c>
      <c r="E156" s="40" t="s">
        <v>191</v>
      </c>
    </row>
    <row r="157" spans="1:15" ht="12.75" customHeight="1" x14ac:dyDescent="0.25"/>
    <row r="158" spans="1:15" ht="12.75" customHeight="1" x14ac:dyDescent="0.25">
      <c r="A158" s="39" t="s">
        <v>192</v>
      </c>
      <c r="C158" s="39" t="s">
        <v>193</v>
      </c>
      <c r="H158" s="39" t="s">
        <v>74</v>
      </c>
      <c r="K158" s="42">
        <v>486.46</v>
      </c>
    </row>
    <row r="159" spans="1:15" ht="12.75" customHeight="1" x14ac:dyDescent="0.25"/>
    <row r="160" spans="1:15" ht="12.75" customHeight="1" x14ac:dyDescent="0.25">
      <c r="A160" s="39" t="s">
        <v>194</v>
      </c>
      <c r="C160" s="39" t="s">
        <v>195</v>
      </c>
      <c r="H160" s="39" t="s">
        <v>74</v>
      </c>
      <c r="K160" s="42">
        <v>636.46</v>
      </c>
    </row>
    <row r="161" spans="1:18" ht="12.75" customHeight="1" x14ac:dyDescent="0.25"/>
    <row r="162" spans="1:18" ht="12.75" customHeight="1" x14ac:dyDescent="0.25">
      <c r="A162" s="39" t="s">
        <v>196</v>
      </c>
      <c r="C162" s="39" t="s">
        <v>197</v>
      </c>
      <c r="H162" s="39" t="s">
        <v>74</v>
      </c>
      <c r="K162" s="42">
        <v>536.46</v>
      </c>
    </row>
    <row r="163" spans="1:18" ht="12.75" customHeight="1" x14ac:dyDescent="0.25"/>
    <row r="164" spans="1:18" ht="12.75" customHeight="1" x14ac:dyDescent="0.25">
      <c r="A164" s="39" t="s">
        <v>198</v>
      </c>
      <c r="C164" s="39" t="s">
        <v>199</v>
      </c>
      <c r="H164" s="39" t="s">
        <v>179</v>
      </c>
      <c r="K164" s="42">
        <v>10.16</v>
      </c>
    </row>
    <row r="165" spans="1:18" ht="12.75" customHeight="1" x14ac:dyDescent="0.25"/>
    <row r="166" spans="1:18" ht="12.75" customHeight="1" x14ac:dyDescent="0.25">
      <c r="A166" s="39" t="s">
        <v>200</v>
      </c>
      <c r="C166" s="39" t="s">
        <v>201</v>
      </c>
      <c r="H166" s="39" t="s">
        <v>72</v>
      </c>
      <c r="I166" s="42">
        <v>12.5</v>
      </c>
      <c r="K166" s="42">
        <v>16.48</v>
      </c>
      <c r="O166" s="42">
        <v>206</v>
      </c>
    </row>
    <row r="167" spans="1:18" ht="12.75" customHeight="1" x14ac:dyDescent="0.25"/>
    <row r="168" spans="1:18" ht="12.75" customHeight="1" x14ac:dyDescent="0.25">
      <c r="A168" s="39" t="s">
        <v>202</v>
      </c>
      <c r="E168" s="40" t="s">
        <v>203</v>
      </c>
      <c r="R168" s="41">
        <v>2800.59</v>
      </c>
    </row>
    <row r="169" spans="1:18" ht="12.75" customHeight="1" x14ac:dyDescent="0.25"/>
    <row r="170" spans="1:18" ht="12.75" customHeight="1" x14ac:dyDescent="0.25">
      <c r="A170" s="39" t="s">
        <v>204</v>
      </c>
      <c r="C170" s="39" t="s">
        <v>205</v>
      </c>
      <c r="H170" s="39" t="s">
        <v>72</v>
      </c>
      <c r="I170" s="42">
        <v>600</v>
      </c>
      <c r="K170" s="42">
        <v>4.2</v>
      </c>
      <c r="O170" s="42">
        <v>2520</v>
      </c>
    </row>
    <row r="171" spans="1:18" ht="12.75" customHeight="1" x14ac:dyDescent="0.25"/>
    <row r="172" spans="1:18" ht="12.75" customHeight="1" x14ac:dyDescent="0.25">
      <c r="A172" s="39" t="s">
        <v>206</v>
      </c>
      <c r="C172" s="39" t="s">
        <v>207</v>
      </c>
      <c r="H172" s="39" t="s">
        <v>72</v>
      </c>
      <c r="I172" s="42">
        <v>18</v>
      </c>
      <c r="K172" s="42">
        <v>2.0099999999999998</v>
      </c>
      <c r="O172" s="42">
        <v>36.18</v>
      </c>
    </row>
    <row r="173" spans="1:18" ht="12.75" customHeight="1" x14ac:dyDescent="0.25"/>
    <row r="174" spans="1:18" ht="12.75" customHeight="1" x14ac:dyDescent="0.25">
      <c r="A174" s="39" t="s">
        <v>208</v>
      </c>
      <c r="E174" s="40" t="s">
        <v>209</v>
      </c>
      <c r="R174" s="41">
        <v>5000</v>
      </c>
    </row>
    <row r="175" spans="1:18" ht="12.75" customHeight="1" x14ac:dyDescent="0.25"/>
    <row r="176" spans="1:18" ht="12.75" customHeight="1" x14ac:dyDescent="0.25">
      <c r="A176" s="39" t="s">
        <v>210</v>
      </c>
      <c r="C176" s="39" t="s">
        <v>211</v>
      </c>
      <c r="H176" s="39" t="s">
        <v>74</v>
      </c>
      <c r="I176" s="42">
        <v>3</v>
      </c>
      <c r="K176" s="42">
        <v>1200</v>
      </c>
      <c r="O176" s="42">
        <v>3600</v>
      </c>
    </row>
    <row r="177" spans="1:18" ht="12.75" customHeight="1" x14ac:dyDescent="0.25"/>
    <row r="178" spans="1:18" ht="12.75" customHeight="1" x14ac:dyDescent="0.25">
      <c r="A178" s="39" t="s">
        <v>212</v>
      </c>
      <c r="C178" s="39" t="s">
        <v>213</v>
      </c>
      <c r="H178" s="39" t="s">
        <v>74</v>
      </c>
      <c r="I178" s="42">
        <v>1</v>
      </c>
      <c r="K178" s="42">
        <v>400</v>
      </c>
      <c r="O178" s="42">
        <v>400</v>
      </c>
    </row>
    <row r="179" spans="1:18" ht="12.75" customHeight="1" x14ac:dyDescent="0.25"/>
    <row r="180" spans="1:18" ht="12.75" customHeight="1" x14ac:dyDescent="0.25">
      <c r="A180" s="39" t="s">
        <v>214</v>
      </c>
      <c r="C180" s="39" t="s">
        <v>215</v>
      </c>
      <c r="H180" s="39" t="s">
        <v>74</v>
      </c>
      <c r="I180" s="42">
        <v>2</v>
      </c>
      <c r="K180" s="42">
        <v>500</v>
      </c>
      <c r="O180" s="42">
        <v>1000</v>
      </c>
    </row>
    <row r="181" spans="1:18" ht="12.75" customHeight="1" x14ac:dyDescent="0.25"/>
    <row r="182" spans="1:18" ht="12.75" customHeight="1" x14ac:dyDescent="0.25">
      <c r="A182" s="39" t="s">
        <v>216</v>
      </c>
      <c r="E182" s="40" t="s">
        <v>217</v>
      </c>
      <c r="R182" s="41">
        <v>26167.200000000001</v>
      </c>
    </row>
    <row r="183" spans="1:18" ht="12.75" customHeight="1" x14ac:dyDescent="0.25"/>
    <row r="184" spans="1:18" ht="12.75" customHeight="1" x14ac:dyDescent="0.25">
      <c r="A184" s="39" t="s">
        <v>218</v>
      </c>
      <c r="C184" s="39" t="s">
        <v>219</v>
      </c>
      <c r="H184" s="39" t="s">
        <v>220</v>
      </c>
      <c r="I184" s="42">
        <v>218.06</v>
      </c>
      <c r="K184" s="42">
        <v>120</v>
      </c>
      <c r="O184" s="42">
        <v>26167.200000000001</v>
      </c>
    </row>
    <row r="185" spans="1:18" ht="12.75" customHeight="1" x14ac:dyDescent="0.25"/>
    <row r="186" spans="1:18" ht="12.75" customHeight="1" x14ac:dyDescent="0.25">
      <c r="I186" s="43" t="s">
        <v>221</v>
      </c>
      <c r="J186" s="44">
        <v>41254.838900462964</v>
      </c>
    </row>
    <row r="187" spans="1:18" ht="12.75" customHeight="1" x14ac:dyDescent="0.25"/>
    <row r="188" spans="1:18" ht="12.75" customHeight="1" x14ac:dyDescent="0.25"/>
    <row r="189" spans="1:18" ht="12.75" customHeight="1" x14ac:dyDescent="0.25"/>
    <row r="190" spans="1:18" ht="12.75" customHeight="1" x14ac:dyDescent="0.25"/>
    <row r="191" spans="1:18" ht="12.75" customHeight="1" x14ac:dyDescent="0.25"/>
    <row r="192" spans="1:18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Metrado Estructuras</vt:lpstr>
      <vt:lpstr>Metrado</vt:lpstr>
      <vt:lpstr>Hoja1</vt:lpstr>
      <vt:lpstr>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MAGIN</dc:creator>
  <cp:lastModifiedBy>Jorge Luis dueñas ttito</cp:lastModifiedBy>
  <dcterms:created xsi:type="dcterms:W3CDTF">2009-01-19T09:20:32Z</dcterms:created>
  <dcterms:modified xsi:type="dcterms:W3CDTF">2026-03-26T23:30:01Z</dcterms:modified>
</cp:coreProperties>
</file>