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ssp\BELEMPAMPA\ARCHIVOS COMPARTIDOS BELEMPAMPA\"/>
    </mc:Choice>
  </mc:AlternateContent>
  <xr:revisionPtr revIDLastSave="0" documentId="13_ncr:1_{87D90ECE-DC6C-4975-A818-9C70B094A044}" xr6:coauthVersionLast="47" xr6:coauthVersionMax="47" xr10:uidLastSave="{00000000-0000-0000-0000-000000000000}"/>
  <bookViews>
    <workbookView xWindow="-28920" yWindow="-1545" windowWidth="29040" windowHeight="15840" xr2:uid="{12CF19A8-A4AD-4FD9-9D82-4908B7CA06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M14" i="1"/>
  <c r="N14" i="1" s="1"/>
  <c r="M13" i="1"/>
  <c r="N13" i="1" s="1"/>
  <c r="M12" i="1"/>
  <c r="N12" i="1" s="1"/>
  <c r="M26" i="1"/>
  <c r="N26" i="1" s="1"/>
  <c r="M104" i="1"/>
  <c r="M103" i="1"/>
  <c r="N103" i="1"/>
  <c r="N104" i="1"/>
  <c r="O62" i="1" s="1"/>
  <c r="N105" i="1"/>
  <c r="M102" i="1"/>
  <c r="N102" i="1" s="1"/>
  <c r="N109" i="1"/>
  <c r="N91" i="1"/>
  <c r="N92" i="1"/>
  <c r="N93" i="1"/>
  <c r="N94" i="1"/>
  <c r="N95" i="1"/>
  <c r="N96" i="1"/>
  <c r="N97" i="1"/>
  <c r="N98" i="1"/>
  <c r="N99" i="1"/>
  <c r="N100" i="1"/>
  <c r="N82" i="1"/>
  <c r="N83" i="1"/>
  <c r="N81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4" i="1"/>
  <c r="N85" i="1"/>
  <c r="N86" i="1"/>
  <c r="N87" i="1"/>
  <c r="N88" i="1"/>
  <c r="N89" i="1"/>
  <c r="N64" i="1"/>
  <c r="F45" i="1" l="1"/>
  <c r="N45" i="1" s="1"/>
  <c r="F44" i="1"/>
  <c r="N44" i="1" s="1"/>
  <c r="F43" i="1"/>
  <c r="N43" i="1" s="1"/>
  <c r="F42" i="1"/>
  <c r="N42" i="1" s="1"/>
  <c r="F41" i="1"/>
  <c r="F40" i="1"/>
  <c r="N46" i="1"/>
  <c r="N41" i="1"/>
  <c r="N40" i="1"/>
  <c r="N37" i="1"/>
  <c r="N36" i="1"/>
  <c r="N35" i="1"/>
  <c r="N34" i="1"/>
  <c r="N33" i="1"/>
  <c r="N32" i="1"/>
  <c r="N31" i="1"/>
  <c r="N30" i="1"/>
  <c r="N29" i="1"/>
  <c r="N28" i="1"/>
  <c r="O39" i="1" l="1"/>
  <c r="O27" i="1"/>
  <c r="N24" i="1" l="1"/>
  <c r="N23" i="1"/>
  <c r="N22" i="1"/>
  <c r="N21" i="1"/>
  <c r="N17" i="1"/>
  <c r="N20" i="1"/>
  <c r="N19" i="1"/>
  <c r="N18" i="1"/>
  <c r="O16" i="1" l="1"/>
  <c r="N108" i="1" l="1"/>
  <c r="N107" i="1"/>
  <c r="N61" i="1"/>
  <c r="N58" i="1"/>
  <c r="N56" i="1"/>
  <c r="N55" i="1"/>
  <c r="N52" i="1"/>
  <c r="N48" i="1"/>
  <c r="O106" i="1" l="1"/>
  <c r="O54" i="1"/>
  <c r="O51" i="1"/>
  <c r="O47" i="1"/>
  <c r="O60" i="1"/>
  <c r="O57" i="1"/>
  <c r="O11" i="1"/>
  <c r="O25" i="1"/>
</calcChain>
</file>

<file path=xl/sharedStrings.xml><?xml version="1.0" encoding="utf-8"?>
<sst xmlns="http://schemas.openxmlformats.org/spreadsheetml/2006/main" count="156" uniqueCount="114">
  <si>
    <t>PLANILLA DE METRADOS DE PARTIDAS NUEVAS 05 POR APROBAR</t>
  </si>
  <si>
    <t>BLOQUE</t>
  </si>
  <si>
    <t>NIVEL</t>
  </si>
  <si>
    <t>PARTIDA</t>
  </si>
  <si>
    <t>DESCRIPCION</t>
  </si>
  <si>
    <t>CANTIDAD</t>
  </si>
  <si>
    <t>LONGITUD</t>
  </si>
  <si>
    <t>ANCHO / EMPALME</t>
  </si>
  <si>
    <t>ALTURA / GANCHO</t>
  </si>
  <si>
    <t>AREA</t>
  </si>
  <si>
    <t>N° VECES</t>
  </si>
  <si>
    <t>Φ</t>
  </si>
  <si>
    <t>PESO</t>
  </si>
  <si>
    <t>SUB-TOTAL</t>
  </si>
  <si>
    <t>TOTAL</t>
  </si>
  <si>
    <t>UND</t>
  </si>
  <si>
    <t>OE.1</t>
  </si>
  <si>
    <t>OBRAS PROVISIONALES, TRABAJOS PRELIMINARES, SEGURIDAD Y SALUD.</t>
  </si>
  <si>
    <t>OE.1.1</t>
  </si>
  <si>
    <t>OBRAS PROVISIONALES Y TRABAJOS PRELIMINARES</t>
  </si>
  <si>
    <t>OE.1.1.1</t>
  </si>
  <si>
    <t>CONSTRUCCIONES PROVISIONALES</t>
  </si>
  <si>
    <t>OE.1.1.1.29</t>
  </si>
  <si>
    <t>CONSTRUCCIONES METALICAS</t>
  </si>
  <si>
    <t>Tubo rectangular 100x50x2.5mm</t>
  </si>
  <si>
    <t>Tubo rectangular 50x50x3mm</t>
  </si>
  <si>
    <t>Tubo rectangular 50x150x2.5 mm</t>
  </si>
  <si>
    <t>Perfil Angular Fierro Negro 2"x2"x3/16"</t>
  </si>
  <si>
    <t>Plancha ASTM A36 3/4"</t>
  </si>
  <si>
    <t>Plancha ASTM A36 1/4"</t>
  </si>
  <si>
    <t>BARRA DE ACERO 1"</t>
  </si>
  <si>
    <t>BARRA DE ACERO 3/4"</t>
  </si>
  <si>
    <t>Tubo rectangular 40x80x2.5 mm</t>
  </si>
  <si>
    <t>MEJORAMIENTO Y AMPLIACION DE LOS SERVICIOS DE SALUD DEL ESTABLECIMIENTO DE SALUD DE BELEMPAMPA - DISTRITO DE SANTIAGO - PROVINCIA DE CUSCO - REGION CUSCO</t>
  </si>
  <si>
    <t>.</t>
  </si>
  <si>
    <t>COMPONENTE 01: SUFICIENTE Y ADECUADA INFRAESTRUCTURA Y MANTENIMIENTO PARA LA PRESTACIÓN DE SERVICIOS DE SALUD</t>
  </si>
  <si>
    <t>OE.1.1.1.29.3</t>
  </si>
  <si>
    <t>Habilitado y colocado de puente metálico</t>
  </si>
  <si>
    <t>OE.1.1.1.29.4</t>
  </si>
  <si>
    <t>Habilitado de soporte de camaras de vigilancia móvil</t>
  </si>
  <si>
    <t>OE.1.1.1.29.5</t>
  </si>
  <si>
    <t>Habilitacion de escuadra metalica para soporte en voladizo</t>
  </si>
  <si>
    <t>OE.1.1.1.29.6</t>
  </si>
  <si>
    <t>Habilitado y colocado de barandas de acero</t>
  </si>
  <si>
    <t>OE.1.1.1.30</t>
  </si>
  <si>
    <t>CONSTRUCCIONES PROVISIONALES EN OBRA</t>
  </si>
  <si>
    <t>OE.1.1.1.30.1</t>
  </si>
  <si>
    <t>OE.1.1.1.30.2</t>
  </si>
  <si>
    <t>Cobertura de protección provisional en azotea</t>
  </si>
  <si>
    <t>OE.1.1.3</t>
  </si>
  <si>
    <t>TRABAJOS PRELIMINARES</t>
  </si>
  <si>
    <t>OE.1.1.3.2</t>
  </si>
  <si>
    <t>TRABAJOS DE REUBICACION CON MAQUINARIA</t>
  </si>
  <si>
    <t>OE.1.1.3.2.6</t>
  </si>
  <si>
    <t>Traslado de material con camion volquete de 2m3 de almacén huancaro a Belempampa (D=1800m)</t>
  </si>
  <si>
    <t>OE.1.1.3.4</t>
  </si>
  <si>
    <t>TRABAJOS COMPLEMENTARIOS</t>
  </si>
  <si>
    <t>OE.1.1.3.4.3</t>
  </si>
  <si>
    <t>Rehabilitacion de construcciones provisionales</t>
  </si>
  <si>
    <t>OE.1.1.3.4.4</t>
  </si>
  <si>
    <t>OE.1.1.10</t>
  </si>
  <si>
    <t>DESMONTAJE Y MONTAJE</t>
  </si>
  <si>
    <t>OE.1.1.10.3</t>
  </si>
  <si>
    <t>Montaje y desmontaje de domo pre-fabricado para comedor</t>
  </si>
  <si>
    <t>OE.1.1.10.4</t>
  </si>
  <si>
    <t>Desmontaje y montaje de estructuras metalicas</t>
  </si>
  <si>
    <t>OE.1.1.10.5</t>
  </si>
  <si>
    <t>Montaje y desmontaje de escuadra metalica</t>
  </si>
  <si>
    <t>Habilitacion e instalacion de esquineros protectores tipo L</t>
  </si>
  <si>
    <t>Inventariado de materiales de almacen</t>
  </si>
  <si>
    <t>KG</t>
  </si>
  <si>
    <t>M</t>
  </si>
  <si>
    <t>M2</t>
  </si>
  <si>
    <t>VJE</t>
  </si>
  <si>
    <t>MES</t>
  </si>
  <si>
    <t>FENOLICO 2.44m x 1.22m 16mm</t>
  </si>
  <si>
    <t>PUERTA 001</t>
  </si>
  <si>
    <t>PUERTA 002</t>
  </si>
  <si>
    <t>PUERTA 003</t>
  </si>
  <si>
    <t>PUERTA 004</t>
  </si>
  <si>
    <t>PUERTA 003 - HUANCARO</t>
  </si>
  <si>
    <t>PUERTA INTERIOR ALMACEN - HUANCARO</t>
  </si>
  <si>
    <t>VESTIDORES BLOQUE 5 - 1ER NIVEL</t>
  </si>
  <si>
    <t>ALMACEN TERMINAL DE URUBAMBA</t>
  </si>
  <si>
    <t>Pe</t>
  </si>
  <si>
    <t>Tubo rectangular 6m 50x50x2.5mm</t>
  </si>
  <si>
    <t>Tubo rectangular 6m 40x80x2.5 mm</t>
  </si>
  <si>
    <t>Tubo rectangular 6m 50x150x2.5 mm</t>
  </si>
  <si>
    <t>BARRA DE ACERO 3/4" x 9m</t>
  </si>
  <si>
    <t>SOTEA BLOQUE IV Y V</t>
  </si>
  <si>
    <t>AV 21 DE MAYO</t>
  </si>
  <si>
    <t>BLOQUE IV</t>
  </si>
  <si>
    <t>BLOQUE V y VII</t>
  </si>
  <si>
    <t>BLOQUE V y VI</t>
  </si>
  <si>
    <t>2 PISO BLOQUE VII Y IV</t>
  </si>
  <si>
    <t>1 NIVEL BLOQUE VI</t>
  </si>
  <si>
    <t>BLOQUE I</t>
  </si>
  <si>
    <t>BLOQUE II</t>
  </si>
  <si>
    <t>BLOQUE III</t>
  </si>
  <si>
    <t>BLOQUE VII</t>
  </si>
  <si>
    <t>BLOQUE V</t>
  </si>
  <si>
    <t>BLOQUE VI</t>
  </si>
  <si>
    <t>BLOQUE VIII</t>
  </si>
  <si>
    <t>CAMION VOLQUETE DE 2m3 DE PLACA AEV-708</t>
  </si>
  <si>
    <t>ALMACEN</t>
  </si>
  <si>
    <t>DOMO DE COMEDOR</t>
  </si>
  <si>
    <t>ESCALERA METALICA</t>
  </si>
  <si>
    <t>ESCALERA DE ALMACEN</t>
  </si>
  <si>
    <t>PUENTE METALICO</t>
  </si>
  <si>
    <t>CERCO PROVICIONAL, COBERTURAS, ALMACENES - HUANCARO</t>
  </si>
  <si>
    <t>CERCO PROVICIONAL, COBERTURAS, ALMACENES, OFICINAS -BELEMPAMPA</t>
  </si>
  <si>
    <t>1ER NIVEL - PLANTA GENERAL</t>
  </si>
  <si>
    <t>2DO NIVEL - PLANTA GENERAL</t>
  </si>
  <si>
    <t>3ER NIVEL - PLANTA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</si>
</sst>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;@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8"/>
      <color rgb="FFFF0000"/>
      <name val="Arial Narrow"/>
      <family val="2"/>
    </font>
    <font>
      <b/>
      <sz val="8"/>
      <color rgb="FF0070C0"/>
      <name val="Arial Narrow"/>
      <family val="2"/>
    </font>
    <font>
      <sz val="8"/>
      <name val="Aptos Narrow"/>
      <family val="2"/>
      <scheme val="minor"/>
    </font>
    <font>
      <b/>
      <sz val="14"/>
      <name val="Arial Narrow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Arial Narrow"/>
      <family val="2"/>
    </font>
    <font>
      <b/>
      <sz val="9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66">
    <xf numFmtId="0" fontId="0" fillId="0" borderId="0" xfId="0"/>
    <xf numFmtId="0" fontId="3" fillId="2" borderId="0" xfId="1" applyFont="1" applyFill="1"/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43" fontId="5" fillId="0" borderId="0" xfId="1" applyNumberFormat="1" applyFont="1" applyAlignment="1">
      <alignment vertical="center" wrapText="1"/>
    </xf>
    <xf numFmtId="164" fontId="3" fillId="0" borderId="0" xfId="1" applyNumberFormat="1" applyFont="1" applyAlignment="1">
      <alignment horizontal="right" vertical="center"/>
    </xf>
    <xf numFmtId="43" fontId="4" fillId="0" borderId="0" xfId="1" applyNumberFormat="1" applyFont="1" applyAlignment="1">
      <alignment vertical="center" wrapText="1"/>
    </xf>
    <xf numFmtId="43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/>
    </xf>
    <xf numFmtId="2" fontId="7" fillId="3" borderId="2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2" fontId="7" fillId="3" borderId="1" xfId="1" applyNumberFormat="1" applyFont="1" applyFill="1" applyBorder="1" applyAlignment="1">
      <alignment horizontal="center" vertical="center" wrapText="1"/>
    </xf>
    <xf numFmtId="2" fontId="8" fillId="3" borderId="1" xfId="1" applyNumberFormat="1" applyFont="1" applyFill="1" applyBorder="1" applyAlignment="1">
      <alignment horizontal="center" vertical="center" wrapText="1"/>
    </xf>
    <xf numFmtId="43" fontId="7" fillId="3" borderId="1" xfId="1" applyNumberFormat="1" applyFont="1" applyFill="1" applyBorder="1" applyAlignment="1">
      <alignment horizontal="center" vertical="center"/>
    </xf>
    <xf numFmtId="4" fontId="7" fillId="3" borderId="1" xfId="1" applyNumberFormat="1" applyFont="1" applyFill="1" applyBorder="1" applyAlignment="1">
      <alignment horizontal="center" vertical="center"/>
    </xf>
    <xf numFmtId="0" fontId="9" fillId="2" borderId="0" xfId="1" applyFont="1" applyFill="1"/>
    <xf numFmtId="2" fontId="7" fillId="0" borderId="1" xfId="1" applyNumberFormat="1" applyFont="1" applyBorder="1" applyAlignment="1">
      <alignment horizontal="center" vertical="center"/>
    </xf>
    <xf numFmtId="2" fontId="7" fillId="0" borderId="2" xfId="1" applyNumberFormat="1" applyFont="1" applyBorder="1" applyAlignment="1">
      <alignment horizontal="left" vertical="center"/>
    </xf>
    <xf numFmtId="2" fontId="7" fillId="0" borderId="3" xfId="1" applyNumberFormat="1" applyFont="1" applyBorder="1" applyAlignment="1">
      <alignment horizontal="left" vertical="center"/>
    </xf>
    <xf numFmtId="4" fontId="7" fillId="0" borderId="1" xfId="1" applyNumberFormat="1" applyFont="1" applyBorder="1" applyAlignment="1">
      <alignment horizontal="center" vertical="center"/>
    </xf>
    <xf numFmtId="4" fontId="7" fillId="0" borderId="1" xfId="1" applyNumberFormat="1" applyFont="1" applyBorder="1" applyAlignment="1">
      <alignment horizontal="center" vertical="center" wrapText="1"/>
    </xf>
    <xf numFmtId="4" fontId="7" fillId="0" borderId="1" xfId="1" applyNumberFormat="1" applyFont="1" applyBorder="1" applyAlignment="1">
      <alignment horizontal="center"/>
    </xf>
    <xf numFmtId="0" fontId="10" fillId="2" borderId="0" xfId="1" applyFont="1" applyFill="1"/>
    <xf numFmtId="0" fontId="4" fillId="2" borderId="0" xfId="1" applyFont="1" applyFill="1"/>
    <xf numFmtId="2" fontId="8" fillId="0" borderId="1" xfId="1" applyNumberFormat="1" applyFont="1" applyBorder="1" applyAlignment="1">
      <alignment horizontal="center" vertical="center"/>
    </xf>
    <xf numFmtId="4" fontId="8" fillId="0" borderId="1" xfId="1" applyNumberFormat="1" applyFont="1" applyBorder="1" applyAlignment="1">
      <alignment horizontal="center" vertical="center"/>
    </xf>
    <xf numFmtId="4" fontId="8" fillId="0" borderId="1" xfId="1" applyNumberFormat="1" applyFont="1" applyBorder="1" applyAlignment="1">
      <alignment horizontal="center" vertical="center" wrapText="1"/>
    </xf>
    <xf numFmtId="4" fontId="8" fillId="0" borderId="1" xfId="1" applyNumberFormat="1" applyFont="1" applyBorder="1" applyAlignment="1">
      <alignment horizontal="center"/>
    </xf>
    <xf numFmtId="2" fontId="8" fillId="0" borderId="2" xfId="1" applyNumberFormat="1" applyFont="1" applyBorder="1" applyAlignment="1">
      <alignment horizontal="left" vertical="center"/>
    </xf>
    <xf numFmtId="2" fontId="8" fillId="0" borderId="3" xfId="1" applyNumberFormat="1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center" vertical="center" wrapText="1" shrinkToFit="1" readingOrder="1"/>
    </xf>
    <xf numFmtId="4" fontId="7" fillId="0" borderId="3" xfId="0" applyNumberFormat="1" applyFont="1" applyBorder="1" applyAlignment="1">
      <alignment horizontal="center" vertical="center"/>
    </xf>
    <xf numFmtId="2" fontId="8" fillId="0" borderId="3" xfId="1" applyNumberFormat="1" applyFont="1" applyBorder="1" applyAlignment="1">
      <alignment horizontal="right" vertical="center"/>
    </xf>
    <xf numFmtId="4" fontId="8" fillId="0" borderId="3" xfId="0" applyNumberFormat="1" applyFont="1" applyBorder="1" applyAlignment="1">
      <alignment horizontal="center" vertical="center"/>
    </xf>
    <xf numFmtId="2" fontId="7" fillId="0" borderId="2" xfId="1" applyNumberFormat="1" applyFont="1" applyBorder="1" applyAlignment="1">
      <alignment horizontal="center" vertical="center"/>
    </xf>
    <xf numFmtId="2" fontId="8" fillId="0" borderId="2" xfId="1" applyNumberFormat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2" fontId="7" fillId="0" borderId="4" xfId="1" applyNumberFormat="1" applyFont="1" applyBorder="1" applyAlignment="1">
      <alignment horizontal="center" vertical="center"/>
    </xf>
    <xf numFmtId="2" fontId="8" fillId="0" borderId="4" xfId="1" applyNumberFormat="1" applyFont="1" applyBorder="1" applyAlignment="1">
      <alignment horizontal="center" vertical="center"/>
    </xf>
    <xf numFmtId="164" fontId="12" fillId="0" borderId="0" xfId="1" applyNumberFormat="1" applyFont="1" applyAlignment="1">
      <alignment horizontal="right" vertical="center"/>
    </xf>
    <xf numFmtId="2" fontId="8" fillId="0" borderId="5" xfId="1" applyNumberFormat="1" applyFont="1" applyFill="1" applyBorder="1" applyAlignment="1">
      <alignment horizontal="center" vertical="center"/>
    </xf>
    <xf numFmtId="2" fontId="8" fillId="0" borderId="2" xfId="1" applyNumberFormat="1" applyFont="1" applyFill="1" applyBorder="1" applyAlignment="1">
      <alignment horizontal="center" vertical="center"/>
    </xf>
    <xf numFmtId="2" fontId="8" fillId="0" borderId="6" xfId="1" applyNumberFormat="1" applyFont="1" applyFill="1" applyBorder="1" applyAlignment="1">
      <alignment horizontal="center" vertical="center"/>
    </xf>
    <xf numFmtId="2" fontId="8" fillId="0" borderId="1" xfId="1" applyNumberFormat="1" applyFont="1" applyFill="1" applyBorder="1" applyAlignment="1">
      <alignment horizontal="center" vertical="center"/>
    </xf>
    <xf numFmtId="2" fontId="8" fillId="0" borderId="5" xfId="1" applyNumberFormat="1" applyFont="1" applyFill="1" applyBorder="1" applyAlignment="1">
      <alignment horizontal="left" vertical="center"/>
    </xf>
    <xf numFmtId="2" fontId="8" fillId="0" borderId="2" xfId="1" applyNumberFormat="1" applyFont="1" applyFill="1" applyBorder="1" applyAlignment="1">
      <alignment horizontal="left" vertical="center"/>
    </xf>
    <xf numFmtId="2" fontId="8" fillId="0" borderId="3" xfId="1" applyNumberFormat="1" applyFont="1" applyFill="1" applyBorder="1" applyAlignment="1">
      <alignment horizontal="left" vertical="center"/>
    </xf>
    <xf numFmtId="2" fontId="8" fillId="0" borderId="7" xfId="1" applyNumberFormat="1" applyFont="1" applyFill="1" applyBorder="1" applyAlignment="1">
      <alignment horizontal="center" vertical="center"/>
    </xf>
    <xf numFmtId="2" fontId="8" fillId="0" borderId="4" xfId="1" applyNumberFormat="1" applyFont="1" applyFill="1" applyBorder="1" applyAlignment="1">
      <alignment horizontal="center" vertic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2" fontId="8" fillId="0" borderId="3" xfId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horizontal="right" vertical="center"/>
    </xf>
    <xf numFmtId="0" fontId="8" fillId="0" borderId="0" xfId="0" applyFont="1" applyFill="1" applyAlignment="1">
      <alignment horizontal="right" vertical="center"/>
    </xf>
    <xf numFmtId="0" fontId="15" fillId="0" borderId="0" xfId="0" applyFont="1" applyFill="1" applyAlignment="1">
      <alignment horizontal="right" vertical="center"/>
    </xf>
    <xf numFmtId="2" fontId="14" fillId="0" borderId="0" xfId="0" applyNumberFormat="1" applyFont="1" applyFill="1" applyAlignment="1">
      <alignment horizontal="center" vertical="center"/>
    </xf>
    <xf numFmtId="2" fontId="13" fillId="0" borderId="0" xfId="0" applyNumberFormat="1" applyFont="1" applyFill="1" applyAlignment="1">
      <alignment horizontal="center" vertical="center"/>
    </xf>
    <xf numFmtId="4" fontId="16" fillId="0" borderId="3" xfId="0" applyNumberFormat="1" applyFont="1" applyBorder="1" applyAlignment="1">
      <alignment horizontal="center" vertical="center"/>
    </xf>
    <xf numFmtId="2" fontId="7" fillId="0" borderId="3" xfId="1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84F4AB87-7D61-4626-A88C-3E816F918A13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/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2" formatCode="0.00"/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2" formatCode="0.00"/>
      <alignment horizontal="left" vertical="center" textRotation="0" wrapText="0" indent="0" justifyLastLine="0" shrinkToFit="0" readingOrder="0"/>
      <border diagonalUp="0" diagonalDown="0">
        <left/>
        <right style="hair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/>
        <bottom style="hair">
          <color indexed="64"/>
        </bottom>
        <vertical/>
        <horizontal/>
      </border>
    </dxf>
    <dxf>
      <border outline="0">
        <bottom style="hair">
          <color indexed="64"/>
        </bottom>
      </border>
    </dxf>
    <dxf>
      <border outline="0">
        <left style="hair">
          <color indexed="64"/>
        </left>
        <right style="hair">
          <color indexed="64"/>
        </right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190502</xdr:colOff>
      <xdr:row>0</xdr:row>
      <xdr:rowOff>42497</xdr:rowOff>
    </xdr:from>
    <xdr:ext cx="6229348" cy="710603"/>
    <xdr:pic>
      <xdr:nvPicPr>
        <xdr:cNvPr id="2" name="Imagen 1">
          <a:extLst>
            <a:ext uri="{FF2B5EF4-FFF2-40B4-BE49-F238E27FC236}">
              <a16:creationId xmlns:a16="http://schemas.microsoft.com/office/drawing/2014/main" id="{6F23CED8-B3CA-4ECC-BA69-69640D6F62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46"/>
        <a:stretch/>
      </xdr:blipFill>
      <xdr:spPr bwMode="auto">
        <a:xfrm>
          <a:off x="409577" y="42497"/>
          <a:ext cx="6229348" cy="710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CF880E-638D-4135-9771-0930A5C96A7B}" name="Tabla1" displayName="Tabla1" ref="B4:P109" totalsRowShown="0" dataDxfId="17" headerRowBorderDxfId="15" tableBorderDxfId="16">
  <autoFilter ref="B4:P109" xr:uid="{CCCF880E-638D-4135-9771-0930A5C96A7B}"/>
  <tableColumns count="15">
    <tableColumn id="1" xr3:uid="{2255193F-D765-4AF9-81A4-61843B5AB3CD}" name="BLOQUE" dataDxfId="14" dataCellStyle="Normal 2"/>
    <tableColumn id="2" xr3:uid="{572CF17C-D7C8-42BC-BF7D-74431A363F96}" name="NIVEL" dataDxfId="13" dataCellStyle="Normal 2"/>
    <tableColumn id="3" xr3:uid="{870F9976-5925-481D-9511-D18D78E58F00}" name="PARTIDA" dataDxfId="12" dataCellStyle="Normal 2"/>
    <tableColumn id="4" xr3:uid="{B441A3D9-B295-494F-896E-AE35BDE217CD}" name="DESCRIPCION" dataDxfId="11" dataCellStyle="Normal 2"/>
    <tableColumn id="5" xr3:uid="{14C22C3E-B29E-4A9E-B52B-B8B4DE964140}" name="CANTIDAD" dataDxfId="10"/>
    <tableColumn id="6" xr3:uid="{96033CC9-EA4A-4A75-8C8A-5A399EBC4B83}" name="LONGITUD" dataDxfId="9"/>
    <tableColumn id="7" xr3:uid="{5CAB6F54-7F5E-438B-BDED-285EB05DF5C1}" name="ANCHO / EMPALME" dataDxfId="8"/>
    <tableColumn id="8" xr3:uid="{F1FA2D80-6ECA-4089-BCC5-A7FA810E6556}" name="ALTURA / GANCHO" dataDxfId="0"/>
    <tableColumn id="9" xr3:uid="{BA89DB66-DE49-47BB-BCE8-CA11FE6D2AB2}" name="AREA" dataDxfId="7"/>
    <tableColumn id="10" xr3:uid="{15292D5F-C92B-4103-AF94-27065480C561}" name="N° VECES" dataDxfId="6"/>
    <tableColumn id="11" xr3:uid="{9A442995-5CB3-4F67-9B27-A393700D6605}" name="Φ" dataDxfId="5"/>
    <tableColumn id="12" xr3:uid="{65CF71EF-F439-4E65-9771-83BC0180E383}" name="PESO" dataDxfId="4"/>
    <tableColumn id="13" xr3:uid="{A5A4514B-E0CD-42B2-80F6-73C393028E6D}" name="SUB-TOTAL" dataDxfId="3"/>
    <tableColumn id="14" xr3:uid="{1AAC414E-44A8-413C-8FDE-D489757C5BC8}" name="TOTAL" dataDxfId="2"/>
    <tableColumn id="15" xr3:uid="{21D13B3D-A018-4E13-8656-5AA689F27871}" name="UND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AEAB-A4FB-4B6F-92CC-CDE48D073739}">
  <sheetPr>
    <pageSetUpPr fitToPage="1"/>
  </sheetPr>
  <dimension ref="A1:Q109"/>
  <sheetViews>
    <sheetView tabSelected="1" view="pageBreakPreview" zoomScale="115" zoomScaleNormal="100" zoomScaleSheetLayoutView="115" workbookViewId="0">
      <selection activeCell="F109" sqref="F109"/>
    </sheetView>
  </sheetViews>
  <sheetFormatPr baseColWidth="10" defaultRowHeight="15" x14ac:dyDescent="0.25"/>
  <cols>
    <col min="1" max="1" width="3.28515625" customWidth="1"/>
    <col min="2" max="3" width="7.42578125" customWidth="1"/>
    <col min="5" max="5" width="59" customWidth="1"/>
    <col min="6" max="7" width="10.5703125" customWidth="1"/>
    <col min="8" max="9" width="11.85546875" customWidth="1"/>
    <col min="10" max="13" width="6.28515625" customWidth="1"/>
    <col min="14" max="14" width="6.85546875" customWidth="1"/>
    <col min="15" max="15" width="8.140625" customWidth="1"/>
    <col min="16" max="16" width="6.140625" customWidth="1"/>
    <col min="17" max="17" width="11" style="56" customWidth="1"/>
  </cols>
  <sheetData>
    <row r="1" spans="1:17" ht="23.25" x14ac:dyDescent="0.25">
      <c r="A1" s="1"/>
      <c r="B1" s="2"/>
      <c r="C1" s="2"/>
      <c r="D1" s="3"/>
      <c r="E1" s="4"/>
      <c r="F1" s="5"/>
      <c r="G1" s="6"/>
      <c r="H1" s="6"/>
      <c r="I1" s="6"/>
      <c r="J1" s="6"/>
      <c r="K1" s="7"/>
      <c r="L1" s="8"/>
      <c r="M1" s="9"/>
      <c r="N1" s="9"/>
      <c r="O1" s="7"/>
      <c r="P1" s="10"/>
    </row>
    <row r="2" spans="1:17" ht="23.25" x14ac:dyDescent="0.25">
      <c r="A2" s="1"/>
      <c r="B2" s="2"/>
      <c r="C2" s="2"/>
      <c r="D2" s="3"/>
      <c r="E2" s="4"/>
      <c r="F2" s="5"/>
      <c r="G2" s="6"/>
      <c r="H2" s="6"/>
      <c r="I2" s="6"/>
      <c r="J2" s="6"/>
      <c r="K2" s="7"/>
      <c r="L2" s="8"/>
      <c r="M2" s="9"/>
      <c r="N2" s="9"/>
      <c r="O2" s="7"/>
      <c r="P2" s="45" t="s">
        <v>0</v>
      </c>
    </row>
    <row r="3" spans="1:17" x14ac:dyDescent="0.25">
      <c r="A3" s="1"/>
      <c r="B3" s="2"/>
      <c r="C3" s="2"/>
      <c r="D3" s="3"/>
      <c r="E3" s="4"/>
      <c r="F3" s="5"/>
      <c r="G3" s="6"/>
      <c r="H3" s="6"/>
      <c r="I3" s="6"/>
      <c r="J3" s="6"/>
      <c r="K3" s="6"/>
      <c r="L3" s="2"/>
      <c r="M3" s="11"/>
      <c r="N3" s="12"/>
      <c r="O3" s="13"/>
      <c r="P3" s="13"/>
    </row>
    <row r="4" spans="1:17" ht="27" x14ac:dyDescent="0.25">
      <c r="A4" s="1"/>
      <c r="B4" s="15" t="s">
        <v>1</v>
      </c>
      <c r="C4" s="14" t="s">
        <v>2</v>
      </c>
      <c r="D4" s="15" t="s">
        <v>3</v>
      </c>
      <c r="E4" s="16" t="s">
        <v>4</v>
      </c>
      <c r="F4" s="14" t="s">
        <v>5</v>
      </c>
      <c r="G4" s="17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8" t="s">
        <v>11</v>
      </c>
      <c r="M4" s="19" t="s">
        <v>12</v>
      </c>
      <c r="N4" s="19" t="s">
        <v>13</v>
      </c>
      <c r="O4" s="20" t="s">
        <v>14</v>
      </c>
      <c r="P4" s="42" t="s">
        <v>15</v>
      </c>
    </row>
    <row r="5" spans="1:17" x14ac:dyDescent="0.25">
      <c r="A5" s="21"/>
      <c r="B5" s="40"/>
      <c r="C5" s="22"/>
      <c r="D5" s="23">
        <v>1</v>
      </c>
      <c r="E5" s="24" t="s">
        <v>33</v>
      </c>
      <c r="F5" s="25"/>
      <c r="G5" s="26"/>
      <c r="H5" s="26"/>
      <c r="I5" s="26"/>
      <c r="J5" s="26"/>
      <c r="K5" s="26"/>
      <c r="L5" s="26"/>
      <c r="M5" s="27"/>
      <c r="N5" s="27"/>
      <c r="O5" s="27"/>
      <c r="P5" s="43"/>
    </row>
    <row r="6" spans="1:17" x14ac:dyDescent="0.25">
      <c r="A6" s="28"/>
      <c r="B6" s="40"/>
      <c r="C6" s="22"/>
      <c r="D6" s="23" t="s">
        <v>34</v>
      </c>
      <c r="E6" s="24" t="s">
        <v>35</v>
      </c>
      <c r="F6" s="25"/>
      <c r="G6" s="26"/>
      <c r="H6" s="26"/>
      <c r="I6" s="26"/>
      <c r="J6" s="26"/>
      <c r="K6" s="26"/>
      <c r="L6" s="26"/>
      <c r="M6" s="27"/>
      <c r="N6" s="27"/>
      <c r="O6" s="27"/>
      <c r="P6" s="43"/>
    </row>
    <row r="7" spans="1:17" x14ac:dyDescent="0.25">
      <c r="A7" s="29"/>
      <c r="B7" s="40"/>
      <c r="C7" s="22"/>
      <c r="D7" s="23" t="s">
        <v>16</v>
      </c>
      <c r="E7" s="24" t="s">
        <v>17</v>
      </c>
      <c r="F7" s="25"/>
      <c r="G7" s="26"/>
      <c r="H7" s="26"/>
      <c r="I7" s="26"/>
      <c r="J7" s="26"/>
      <c r="K7" s="26"/>
      <c r="L7" s="26"/>
      <c r="M7" s="27"/>
      <c r="N7" s="27"/>
      <c r="O7" s="27"/>
      <c r="P7" s="43"/>
    </row>
    <row r="8" spans="1:17" x14ac:dyDescent="0.25">
      <c r="A8" s="1"/>
      <c r="B8" s="41"/>
      <c r="C8" s="30"/>
      <c r="D8" s="23" t="s">
        <v>18</v>
      </c>
      <c r="E8" s="24" t="s">
        <v>19</v>
      </c>
      <c r="F8" s="31"/>
      <c r="G8" s="32"/>
      <c r="H8" s="32"/>
      <c r="I8" s="32"/>
      <c r="J8" s="32"/>
      <c r="K8" s="32"/>
      <c r="L8" s="32"/>
      <c r="M8" s="33"/>
      <c r="N8" s="33"/>
      <c r="O8" s="27"/>
      <c r="P8" s="44"/>
    </row>
    <row r="9" spans="1:17" s="55" customFormat="1" x14ac:dyDescent="0.25">
      <c r="A9" s="29"/>
      <c r="B9" s="40"/>
      <c r="C9" s="22"/>
      <c r="D9" s="23" t="s">
        <v>20</v>
      </c>
      <c r="E9" s="24" t="s">
        <v>21</v>
      </c>
      <c r="F9" s="36"/>
      <c r="G9" s="37"/>
      <c r="H9" s="37"/>
      <c r="I9" s="37"/>
      <c r="J9" s="37"/>
      <c r="K9" s="37"/>
      <c r="L9" s="37"/>
      <c r="M9" s="37"/>
      <c r="N9" s="37"/>
      <c r="O9" s="37"/>
      <c r="P9" s="43"/>
      <c r="Q9" s="56"/>
    </row>
    <row r="10" spans="1:17" s="55" customFormat="1" x14ac:dyDescent="0.25">
      <c r="A10" s="29"/>
      <c r="B10" s="40"/>
      <c r="C10" s="22"/>
      <c r="D10" s="23" t="s">
        <v>22</v>
      </c>
      <c r="E10" s="24" t="s">
        <v>23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43"/>
      <c r="Q10" s="56"/>
    </row>
    <row r="11" spans="1:17" x14ac:dyDescent="0.25">
      <c r="A11" s="1"/>
      <c r="B11" s="41"/>
      <c r="C11" s="30"/>
      <c r="D11" s="34" t="s">
        <v>36</v>
      </c>
      <c r="E11" s="35" t="s">
        <v>37</v>
      </c>
      <c r="F11" s="36"/>
      <c r="G11" s="64" t="s">
        <v>84</v>
      </c>
      <c r="H11" s="37"/>
      <c r="I11" s="37"/>
      <c r="J11" s="37"/>
      <c r="K11" s="37"/>
      <c r="L11" s="37"/>
      <c r="M11" s="37"/>
      <c r="N11" s="37"/>
      <c r="O11" s="37">
        <f>+SUM(N12:N15)</f>
        <v>7320.18</v>
      </c>
      <c r="P11" s="43" t="s">
        <v>70</v>
      </c>
      <c r="Q11" s="56">
        <v>7320.76</v>
      </c>
    </row>
    <row r="12" spans="1:17" x14ac:dyDescent="0.25">
      <c r="A12" s="1"/>
      <c r="B12" s="46"/>
      <c r="C12" s="48"/>
      <c r="D12" s="50"/>
      <c r="E12" s="57" t="s">
        <v>86</v>
      </c>
      <c r="F12" s="39">
        <v>33</v>
      </c>
      <c r="G12" s="39">
        <v>6</v>
      </c>
      <c r="H12" s="39"/>
      <c r="I12" s="39"/>
      <c r="J12" s="39"/>
      <c r="K12" s="39">
        <v>1</v>
      </c>
      <c r="L12" s="39"/>
      <c r="M12" s="39">
        <f>31.14/6</f>
        <v>5.19</v>
      </c>
      <c r="N12" s="39">
        <f>+PRODUCT(F12:I12)*K12*Tabla1[[#This Row],[PESO]]</f>
        <v>1027.6200000000001</v>
      </c>
      <c r="O12" s="37"/>
      <c r="P12" s="44"/>
    </row>
    <row r="13" spans="1:17" x14ac:dyDescent="0.25">
      <c r="A13" s="1"/>
      <c r="B13" s="46"/>
      <c r="C13" s="48"/>
      <c r="D13" s="50"/>
      <c r="E13" s="57" t="s">
        <v>87</v>
      </c>
      <c r="F13" s="39">
        <v>88</v>
      </c>
      <c r="G13" s="39">
        <v>6</v>
      </c>
      <c r="H13" s="39"/>
      <c r="I13" s="39"/>
      <c r="J13" s="31"/>
      <c r="K13" s="39">
        <v>1</v>
      </c>
      <c r="L13" s="39"/>
      <c r="M13" s="39">
        <f>36.43/6</f>
        <v>6.0716666666666663</v>
      </c>
      <c r="N13" s="39">
        <f>+PRODUCT(F13:I13)*K13*Tabla1[[#This Row],[PESO]]</f>
        <v>3205.8399999999997</v>
      </c>
      <c r="O13" s="37"/>
      <c r="P13" s="44"/>
    </row>
    <row r="14" spans="1:17" x14ac:dyDescent="0.25">
      <c r="A14" s="1"/>
      <c r="B14" s="47"/>
      <c r="C14" s="49"/>
      <c r="D14" s="51"/>
      <c r="E14" s="57" t="s">
        <v>88</v>
      </c>
      <c r="F14" s="39">
        <v>42</v>
      </c>
      <c r="G14" s="39">
        <v>6</v>
      </c>
      <c r="H14" s="39"/>
      <c r="I14" s="39"/>
      <c r="J14" s="31"/>
      <c r="K14" s="39">
        <v>1</v>
      </c>
      <c r="L14" s="39"/>
      <c r="M14" s="39">
        <f>20.16/6</f>
        <v>3.36</v>
      </c>
      <c r="N14" s="39">
        <f>+PRODUCT(F14:I14)*K14*Tabla1[[#This Row],[PESO]]</f>
        <v>846.71999999999991</v>
      </c>
      <c r="O14" s="37"/>
      <c r="P14" s="44"/>
    </row>
    <row r="15" spans="1:17" x14ac:dyDescent="0.25">
      <c r="A15" s="1"/>
      <c r="B15" s="46"/>
      <c r="C15" s="48"/>
      <c r="D15" s="50"/>
      <c r="E15" s="57" t="s">
        <v>75</v>
      </c>
      <c r="F15" s="39">
        <v>56</v>
      </c>
      <c r="G15" s="39">
        <v>1</v>
      </c>
      <c r="H15" s="39"/>
      <c r="I15" s="39"/>
      <c r="J15" s="31"/>
      <c r="K15" s="39">
        <v>1</v>
      </c>
      <c r="L15" s="39"/>
      <c r="M15" s="39">
        <v>40</v>
      </c>
      <c r="N15" s="39">
        <f>+PRODUCT(F15:I15)*K15*Tabla1[[#This Row],[PESO]]</f>
        <v>2240</v>
      </c>
      <c r="O15" s="37"/>
      <c r="P15" s="53"/>
    </row>
    <row r="16" spans="1:17" x14ac:dyDescent="0.25">
      <c r="A16" s="1"/>
      <c r="B16" s="41"/>
      <c r="C16" s="30"/>
      <c r="D16" s="34" t="s">
        <v>38</v>
      </c>
      <c r="E16" s="35" t="s">
        <v>39</v>
      </c>
      <c r="F16" s="36"/>
      <c r="G16" s="37"/>
      <c r="H16" s="37"/>
      <c r="I16" s="37"/>
      <c r="J16" s="37"/>
      <c r="K16" s="37"/>
      <c r="L16" s="37"/>
      <c r="M16" s="37"/>
      <c r="N16" s="37"/>
      <c r="O16" s="37">
        <f>+SUM(N17:N24)</f>
        <v>20</v>
      </c>
      <c r="P16" s="43" t="s">
        <v>15</v>
      </c>
      <c r="Q16" s="56">
        <v>20</v>
      </c>
    </row>
    <row r="17" spans="1:17" x14ac:dyDescent="0.25">
      <c r="A17" s="1"/>
      <c r="B17" s="46"/>
      <c r="C17" s="48"/>
      <c r="D17" s="50"/>
      <c r="E17" s="57" t="s">
        <v>76</v>
      </c>
      <c r="F17" s="39">
        <v>2</v>
      </c>
      <c r="G17" s="39"/>
      <c r="H17" s="39"/>
      <c r="I17" s="39"/>
      <c r="J17" s="39"/>
      <c r="K17" s="39">
        <v>1</v>
      </c>
      <c r="L17" s="39"/>
      <c r="M17" s="39"/>
      <c r="N17" s="39">
        <f>+PRODUCT(F17:I17)*K17</f>
        <v>2</v>
      </c>
      <c r="O17" s="37"/>
      <c r="P17" s="44"/>
    </row>
    <row r="18" spans="1:17" x14ac:dyDescent="0.25">
      <c r="A18" s="1"/>
      <c r="B18" s="46"/>
      <c r="C18" s="48"/>
      <c r="D18" s="50"/>
      <c r="E18" s="60" t="s">
        <v>77</v>
      </c>
      <c r="F18" s="62">
        <v>2</v>
      </c>
      <c r="G18" s="59"/>
      <c r="H18" s="59"/>
      <c r="I18" s="39"/>
      <c r="J18" s="39"/>
      <c r="K18" s="39">
        <v>1</v>
      </c>
      <c r="L18" s="39"/>
      <c r="M18" s="39"/>
      <c r="N18" s="39">
        <f>+PRODUCT(F18:I18)*K18</f>
        <v>2</v>
      </c>
      <c r="O18" s="37"/>
      <c r="P18" s="53"/>
    </row>
    <row r="19" spans="1:17" x14ac:dyDescent="0.25">
      <c r="A19" s="1"/>
      <c r="B19" s="46"/>
      <c r="C19" s="48"/>
      <c r="D19" s="50"/>
      <c r="E19" s="61" t="s">
        <v>78</v>
      </c>
      <c r="F19" s="63">
        <v>2</v>
      </c>
      <c r="G19" s="58"/>
      <c r="H19" s="58"/>
      <c r="I19" s="39"/>
      <c r="J19" s="39"/>
      <c r="K19" s="39">
        <v>1</v>
      </c>
      <c r="L19" s="39"/>
      <c r="M19" s="39"/>
      <c r="N19" s="39">
        <f>+PRODUCT(F19:I19)*K19</f>
        <v>2</v>
      </c>
      <c r="O19" s="37"/>
      <c r="P19" s="53"/>
    </row>
    <row r="20" spans="1:17" x14ac:dyDescent="0.25">
      <c r="A20" s="1"/>
      <c r="B20" s="46"/>
      <c r="C20" s="48"/>
      <c r="D20" s="50"/>
      <c r="E20" s="60" t="s">
        <v>79</v>
      </c>
      <c r="F20" s="62">
        <v>2</v>
      </c>
      <c r="G20" s="59"/>
      <c r="H20" s="59"/>
      <c r="I20" s="39"/>
      <c r="J20" s="39"/>
      <c r="K20" s="39">
        <v>1</v>
      </c>
      <c r="L20" s="39"/>
      <c r="M20" s="39"/>
      <c r="N20" s="39">
        <f>+PRODUCT(F20:I20)*K20</f>
        <v>2</v>
      </c>
      <c r="O20" s="37"/>
      <c r="P20" s="53"/>
    </row>
    <row r="21" spans="1:17" x14ac:dyDescent="0.25">
      <c r="A21" s="1"/>
      <c r="B21" s="47"/>
      <c r="C21" s="49"/>
      <c r="D21" s="51"/>
      <c r="E21" s="61" t="s">
        <v>80</v>
      </c>
      <c r="F21" s="63">
        <v>2</v>
      </c>
      <c r="G21" s="58"/>
      <c r="H21" s="58"/>
      <c r="I21" s="39"/>
      <c r="J21" s="39"/>
      <c r="K21" s="39">
        <v>1</v>
      </c>
      <c r="L21" s="39"/>
      <c r="M21" s="39"/>
      <c r="N21" s="39">
        <f>+PRODUCT(F21:I21)*K21</f>
        <v>2</v>
      </c>
      <c r="O21" s="37"/>
      <c r="P21" s="54"/>
    </row>
    <row r="22" spans="1:17" x14ac:dyDescent="0.25">
      <c r="A22" s="1"/>
      <c r="B22" s="46"/>
      <c r="C22" s="48"/>
      <c r="D22" s="50"/>
      <c r="E22" s="60" t="s">
        <v>81</v>
      </c>
      <c r="F22" s="62">
        <v>3</v>
      </c>
      <c r="G22" s="59"/>
      <c r="H22" s="59"/>
      <c r="I22" s="39"/>
      <c r="J22" s="39"/>
      <c r="K22" s="39">
        <v>1</v>
      </c>
      <c r="L22" s="39"/>
      <c r="M22" s="39"/>
      <c r="N22" s="39">
        <f>+PRODUCT(F22:I22)*K22</f>
        <v>3</v>
      </c>
      <c r="O22" s="37"/>
      <c r="P22" s="53"/>
    </row>
    <row r="23" spans="1:17" x14ac:dyDescent="0.25">
      <c r="A23" s="1"/>
      <c r="B23" s="46"/>
      <c r="C23" s="48"/>
      <c r="D23" s="50"/>
      <c r="E23" s="61" t="s">
        <v>82</v>
      </c>
      <c r="F23" s="63">
        <v>5</v>
      </c>
      <c r="G23" s="39"/>
      <c r="H23" s="39"/>
      <c r="I23" s="39"/>
      <c r="J23" s="39"/>
      <c r="K23" s="39">
        <v>1</v>
      </c>
      <c r="L23" s="39"/>
      <c r="M23" s="39"/>
      <c r="N23" s="39">
        <f>+PRODUCT(F23:I23)*K23</f>
        <v>5</v>
      </c>
      <c r="O23" s="37"/>
      <c r="P23" s="53"/>
    </row>
    <row r="24" spans="1:17" x14ac:dyDescent="0.25">
      <c r="A24" s="1"/>
      <c r="B24" s="46"/>
      <c r="C24" s="48"/>
      <c r="D24" s="50"/>
      <c r="E24" s="60" t="s">
        <v>83</v>
      </c>
      <c r="F24" s="62">
        <v>2</v>
      </c>
      <c r="G24" s="59"/>
      <c r="H24" s="59"/>
      <c r="I24" s="39"/>
      <c r="J24" s="39"/>
      <c r="K24" s="39">
        <v>1</v>
      </c>
      <c r="L24" s="39"/>
      <c r="M24" s="39"/>
      <c r="N24" s="39">
        <f>+PRODUCT(F24:I24)*K24</f>
        <v>2</v>
      </c>
      <c r="O24" s="37"/>
      <c r="P24" s="53"/>
    </row>
    <row r="25" spans="1:17" x14ac:dyDescent="0.25">
      <c r="A25" s="1"/>
      <c r="B25" s="41"/>
      <c r="C25" s="30"/>
      <c r="D25" s="34" t="s">
        <v>40</v>
      </c>
      <c r="E25" s="35" t="s">
        <v>41</v>
      </c>
      <c r="F25" s="36"/>
      <c r="G25" s="64"/>
      <c r="H25" s="37"/>
      <c r="I25" s="37"/>
      <c r="J25" s="37"/>
      <c r="K25" s="37"/>
      <c r="L25" s="37"/>
      <c r="M25" s="37"/>
      <c r="N25" s="37"/>
      <c r="O25" s="37">
        <f>+SUM(N26)</f>
        <v>557.28</v>
      </c>
      <c r="P25" s="43" t="s">
        <v>70</v>
      </c>
      <c r="Q25" s="56">
        <v>673.73</v>
      </c>
    </row>
    <row r="26" spans="1:17" x14ac:dyDescent="0.25">
      <c r="A26" s="1"/>
      <c r="B26" s="46"/>
      <c r="C26" s="48"/>
      <c r="D26" s="50"/>
      <c r="E26" s="57" t="s">
        <v>85</v>
      </c>
      <c r="F26" s="39">
        <v>0.8</v>
      </c>
      <c r="G26" s="39"/>
      <c r="H26" s="39"/>
      <c r="I26" s="39"/>
      <c r="J26" s="39"/>
      <c r="K26" s="39">
        <v>30</v>
      </c>
      <c r="L26" s="39"/>
      <c r="M26" s="39">
        <f>3.87*6</f>
        <v>23.22</v>
      </c>
      <c r="N26" s="39">
        <f>+PRODUCT(F26:I26)*K26*M26</f>
        <v>557.28</v>
      </c>
      <c r="O26" s="37"/>
      <c r="P26" s="44"/>
    </row>
    <row r="27" spans="1:17" x14ac:dyDescent="0.25">
      <c r="A27" s="1"/>
      <c r="B27" s="41"/>
      <c r="C27" s="30"/>
      <c r="D27" s="34" t="s">
        <v>42</v>
      </c>
      <c r="E27" s="35" t="s">
        <v>43</v>
      </c>
      <c r="F27" s="36"/>
      <c r="G27" s="37"/>
      <c r="H27" s="37"/>
      <c r="I27" s="37"/>
      <c r="J27" s="37"/>
      <c r="K27" s="37"/>
      <c r="L27" s="37"/>
      <c r="M27" s="37"/>
      <c r="N27" s="37"/>
      <c r="O27" s="37">
        <f>+SUM(N28:N37)</f>
        <v>700.98000000000013</v>
      </c>
      <c r="P27" s="43" t="s">
        <v>71</v>
      </c>
      <c r="Q27" s="56">
        <v>700</v>
      </c>
    </row>
    <row r="28" spans="1:17" x14ac:dyDescent="0.25">
      <c r="A28" s="1"/>
      <c r="B28" s="46"/>
      <c r="C28" s="48"/>
      <c r="D28" s="50"/>
      <c r="E28" s="57" t="s">
        <v>94</v>
      </c>
      <c r="F28" s="39">
        <v>1</v>
      </c>
      <c r="G28" s="39">
        <v>198</v>
      </c>
      <c r="H28" s="39"/>
      <c r="I28" s="39"/>
      <c r="J28" s="39"/>
      <c r="K28" s="39">
        <v>1</v>
      </c>
      <c r="L28" s="39"/>
      <c r="M28" s="39"/>
      <c r="N28" s="39">
        <f>+PRODUCT(F28:I28)*K28</f>
        <v>198</v>
      </c>
      <c r="O28" s="37"/>
      <c r="P28" s="44"/>
    </row>
    <row r="29" spans="1:17" x14ac:dyDescent="0.25">
      <c r="A29" s="1"/>
      <c r="B29" s="46"/>
      <c r="C29" s="48"/>
      <c r="D29" s="50"/>
      <c r="E29" s="57" t="s">
        <v>95</v>
      </c>
      <c r="F29" s="39">
        <v>1</v>
      </c>
      <c r="G29" s="39">
        <v>48.19</v>
      </c>
      <c r="H29" s="59"/>
      <c r="I29" s="39"/>
      <c r="J29" s="39"/>
      <c r="K29" s="39">
        <v>1</v>
      </c>
      <c r="L29" s="39"/>
      <c r="M29" s="39"/>
      <c r="N29" s="39">
        <f>+PRODUCT(F29:I29)*K29</f>
        <v>48.19</v>
      </c>
      <c r="O29" s="37"/>
      <c r="P29" s="44"/>
    </row>
    <row r="30" spans="1:17" x14ac:dyDescent="0.25">
      <c r="A30" s="1"/>
      <c r="B30" s="47"/>
      <c r="C30" s="49"/>
      <c r="D30" s="51"/>
      <c r="E30" s="57" t="s">
        <v>89</v>
      </c>
      <c r="F30" s="39">
        <v>1</v>
      </c>
      <c r="G30" s="39">
        <v>235</v>
      </c>
      <c r="H30" s="58"/>
      <c r="I30" s="39"/>
      <c r="J30" s="39"/>
      <c r="K30" s="39">
        <v>1</v>
      </c>
      <c r="L30" s="39"/>
      <c r="M30" s="39"/>
      <c r="N30" s="39">
        <f>+PRODUCT(F30:I30)*K30</f>
        <v>235</v>
      </c>
      <c r="O30" s="37"/>
      <c r="P30" s="44"/>
    </row>
    <row r="31" spans="1:17" x14ac:dyDescent="0.25">
      <c r="A31" s="1"/>
      <c r="B31" s="46"/>
      <c r="C31" s="48"/>
      <c r="D31" s="50"/>
      <c r="E31" s="57" t="s">
        <v>90</v>
      </c>
      <c r="F31" s="39">
        <v>1</v>
      </c>
      <c r="G31" s="39">
        <v>48</v>
      </c>
      <c r="H31" s="59"/>
      <c r="I31" s="39"/>
      <c r="J31" s="39"/>
      <c r="K31" s="39">
        <v>1</v>
      </c>
      <c r="L31" s="39"/>
      <c r="M31" s="39"/>
      <c r="N31" s="39">
        <f>+PRODUCT(F31:I31)*K31</f>
        <v>48</v>
      </c>
      <c r="O31" s="37"/>
      <c r="P31" s="53"/>
    </row>
    <row r="32" spans="1:17" x14ac:dyDescent="0.25">
      <c r="A32" s="1"/>
      <c r="B32" s="46"/>
      <c r="C32" s="48"/>
      <c r="D32" s="50"/>
      <c r="E32" s="57" t="s">
        <v>91</v>
      </c>
      <c r="F32" s="39">
        <v>1</v>
      </c>
      <c r="G32" s="39">
        <v>20.49</v>
      </c>
      <c r="H32" s="58"/>
      <c r="I32" s="39"/>
      <c r="J32" s="39"/>
      <c r="K32" s="39">
        <v>1</v>
      </c>
      <c r="L32" s="39"/>
      <c r="M32" s="39"/>
      <c r="N32" s="39">
        <f>+PRODUCT(F32:I32)*K32</f>
        <v>20.49</v>
      </c>
      <c r="O32" s="37"/>
      <c r="P32" s="53"/>
    </row>
    <row r="33" spans="1:17" x14ac:dyDescent="0.25">
      <c r="A33" s="1"/>
      <c r="B33" s="46"/>
      <c r="C33" s="48"/>
      <c r="D33" s="50"/>
      <c r="E33" s="57" t="s">
        <v>92</v>
      </c>
      <c r="F33" s="39">
        <v>1</v>
      </c>
      <c r="G33" s="39">
        <v>11.45</v>
      </c>
      <c r="H33" s="59"/>
      <c r="I33" s="39"/>
      <c r="J33" s="39"/>
      <c r="K33" s="39">
        <v>1</v>
      </c>
      <c r="L33" s="39"/>
      <c r="M33" s="39"/>
      <c r="N33" s="39">
        <f>+PRODUCT(F33:I33)*K33</f>
        <v>11.45</v>
      </c>
      <c r="O33" s="37"/>
      <c r="P33" s="53"/>
    </row>
    <row r="34" spans="1:17" x14ac:dyDescent="0.25">
      <c r="A34" s="1"/>
      <c r="B34" s="46"/>
      <c r="C34" s="48"/>
      <c r="D34" s="50"/>
      <c r="E34" s="57" t="s">
        <v>93</v>
      </c>
      <c r="F34" s="39">
        <v>1</v>
      </c>
      <c r="G34" s="39">
        <v>34.85</v>
      </c>
      <c r="H34" s="39"/>
      <c r="I34" s="39"/>
      <c r="J34" s="39"/>
      <c r="K34" s="39">
        <v>1</v>
      </c>
      <c r="L34" s="39"/>
      <c r="M34" s="39"/>
      <c r="N34" s="39">
        <f>+PRODUCT(F34:I34)*K34</f>
        <v>34.85</v>
      </c>
      <c r="O34" s="37"/>
      <c r="P34" s="53"/>
    </row>
    <row r="35" spans="1:17" x14ac:dyDescent="0.25">
      <c r="A35" s="1"/>
      <c r="B35" s="46"/>
      <c r="C35" s="48"/>
      <c r="D35" s="50"/>
      <c r="E35" s="57" t="s">
        <v>96</v>
      </c>
      <c r="F35" s="39">
        <v>1</v>
      </c>
      <c r="G35" s="39">
        <v>35</v>
      </c>
      <c r="H35" s="39"/>
      <c r="I35" s="39"/>
      <c r="J35" s="39"/>
      <c r="K35" s="39">
        <v>1</v>
      </c>
      <c r="L35" s="39"/>
      <c r="M35" s="39"/>
      <c r="N35" s="39">
        <f>+PRODUCT(F35:I35)*K35</f>
        <v>35</v>
      </c>
      <c r="O35" s="37"/>
      <c r="P35" s="53"/>
    </row>
    <row r="36" spans="1:17" x14ac:dyDescent="0.25">
      <c r="A36" s="1"/>
      <c r="B36" s="46"/>
      <c r="C36" s="48"/>
      <c r="D36" s="50"/>
      <c r="E36" s="57" t="s">
        <v>97</v>
      </c>
      <c r="F36" s="39">
        <v>1</v>
      </c>
      <c r="G36" s="39">
        <v>35</v>
      </c>
      <c r="H36" s="59"/>
      <c r="I36" s="39"/>
      <c r="J36" s="39"/>
      <c r="K36" s="39">
        <v>1</v>
      </c>
      <c r="L36" s="39"/>
      <c r="M36" s="39"/>
      <c r="N36" s="39">
        <f>+PRODUCT(F36:I36)*K36</f>
        <v>35</v>
      </c>
      <c r="O36" s="37"/>
      <c r="P36" s="53"/>
    </row>
    <row r="37" spans="1:17" x14ac:dyDescent="0.25">
      <c r="A37" s="1"/>
      <c r="B37" s="47"/>
      <c r="C37" s="49"/>
      <c r="D37" s="51"/>
      <c r="E37" s="57" t="s">
        <v>98</v>
      </c>
      <c r="F37" s="39">
        <v>1</v>
      </c>
      <c r="G37" s="39">
        <v>35</v>
      </c>
      <c r="H37" s="58"/>
      <c r="I37" s="39"/>
      <c r="J37" s="39"/>
      <c r="K37" s="39">
        <v>1</v>
      </c>
      <c r="L37" s="39"/>
      <c r="M37" s="39"/>
      <c r="N37" s="39">
        <f>+PRODUCT(F37:I37)*K37</f>
        <v>35</v>
      </c>
      <c r="O37" s="37"/>
      <c r="P37" s="54"/>
    </row>
    <row r="38" spans="1:17" s="55" customFormat="1" x14ac:dyDescent="0.25">
      <c r="A38" s="29"/>
      <c r="B38" s="40"/>
      <c r="C38" s="22"/>
      <c r="D38" s="23" t="s">
        <v>44</v>
      </c>
      <c r="E38" s="24" t="s">
        <v>45</v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43"/>
      <c r="Q38" s="56"/>
    </row>
    <row r="39" spans="1:17" x14ac:dyDescent="0.25">
      <c r="A39" s="1"/>
      <c r="B39" s="41"/>
      <c r="C39" s="30"/>
      <c r="D39" s="34" t="s">
        <v>46</v>
      </c>
      <c r="E39" s="35" t="s">
        <v>68</v>
      </c>
      <c r="F39" s="36"/>
      <c r="G39" s="37"/>
      <c r="H39" s="37"/>
      <c r="I39" s="37"/>
      <c r="J39" s="37"/>
      <c r="K39" s="37"/>
      <c r="L39" s="37"/>
      <c r="M39" s="37"/>
      <c r="N39" s="37"/>
      <c r="O39" s="37">
        <f>+SUM(N40:N46)</f>
        <v>440</v>
      </c>
      <c r="P39" s="43" t="s">
        <v>15</v>
      </c>
      <c r="Q39" s="56">
        <v>434</v>
      </c>
    </row>
    <row r="40" spans="1:17" x14ac:dyDescent="0.25">
      <c r="A40" s="1"/>
      <c r="B40" s="46"/>
      <c r="C40" s="48"/>
      <c r="D40" s="50"/>
      <c r="E40" s="57" t="s">
        <v>97</v>
      </c>
      <c r="F40" s="39">
        <f>24</f>
        <v>24</v>
      </c>
      <c r="G40" s="39"/>
      <c r="H40" s="59"/>
      <c r="I40" s="39"/>
      <c r="J40" s="39"/>
      <c r="K40" s="39">
        <v>1</v>
      </c>
      <c r="L40" s="39"/>
      <c r="M40" s="39"/>
      <c r="N40" s="39">
        <f>+PRODUCT(F40:I40)*K40</f>
        <v>24</v>
      </c>
      <c r="O40" s="37"/>
      <c r="P40" s="44"/>
    </row>
    <row r="41" spans="1:17" x14ac:dyDescent="0.25">
      <c r="A41" s="1"/>
      <c r="B41" s="47"/>
      <c r="C41" s="49"/>
      <c r="D41" s="51"/>
      <c r="E41" s="57" t="s">
        <v>98</v>
      </c>
      <c r="F41" s="39">
        <f>32</f>
        <v>32</v>
      </c>
      <c r="G41" s="39"/>
      <c r="H41" s="39"/>
      <c r="I41" s="39"/>
      <c r="J41" s="39"/>
      <c r="K41" s="39">
        <v>1</v>
      </c>
      <c r="L41" s="39"/>
      <c r="M41" s="39"/>
      <c r="N41" s="39">
        <f>+PRODUCT(F41:I41)*K41</f>
        <v>32</v>
      </c>
      <c r="O41" s="37"/>
      <c r="P41" s="44"/>
    </row>
    <row r="42" spans="1:17" x14ac:dyDescent="0.25">
      <c r="A42" s="1"/>
      <c r="B42" s="46"/>
      <c r="C42" s="48"/>
      <c r="D42" s="50"/>
      <c r="E42" s="57" t="s">
        <v>91</v>
      </c>
      <c r="F42" s="39">
        <f>24*4</f>
        <v>96</v>
      </c>
      <c r="G42" s="39"/>
      <c r="H42" s="58"/>
      <c r="I42" s="39"/>
      <c r="J42" s="39"/>
      <c r="K42" s="39">
        <v>2</v>
      </c>
      <c r="L42" s="39"/>
      <c r="M42" s="39"/>
      <c r="N42" s="39">
        <f>+PRODUCT(F42:I42)*K42</f>
        <v>192</v>
      </c>
      <c r="O42" s="37"/>
      <c r="P42" s="53"/>
    </row>
    <row r="43" spans="1:17" x14ac:dyDescent="0.25">
      <c r="A43" s="1"/>
      <c r="B43" s="46"/>
      <c r="C43" s="48"/>
      <c r="D43" s="50"/>
      <c r="E43" s="57" t="s">
        <v>100</v>
      </c>
      <c r="F43" s="39">
        <f>7*4</f>
        <v>28</v>
      </c>
      <c r="G43" s="39"/>
      <c r="H43" s="59"/>
      <c r="I43" s="39"/>
      <c r="J43" s="39"/>
      <c r="K43" s="39">
        <v>2</v>
      </c>
      <c r="L43" s="39"/>
      <c r="M43" s="39"/>
      <c r="N43" s="39">
        <f>+PRODUCT(F43:I43)*K43</f>
        <v>56</v>
      </c>
      <c r="O43" s="37"/>
      <c r="P43" s="53"/>
    </row>
    <row r="44" spans="1:17" x14ac:dyDescent="0.25">
      <c r="A44" s="1"/>
      <c r="B44" s="46"/>
      <c r="C44" s="48"/>
      <c r="D44" s="50"/>
      <c r="E44" s="57" t="s">
        <v>101</v>
      </c>
      <c r="F44" s="39">
        <f>8*4</f>
        <v>32</v>
      </c>
      <c r="G44" s="39"/>
      <c r="H44" s="39"/>
      <c r="I44" s="39"/>
      <c r="J44" s="39"/>
      <c r="K44" s="39">
        <v>2</v>
      </c>
      <c r="L44" s="39"/>
      <c r="M44" s="39"/>
      <c r="N44" s="39">
        <f>+PRODUCT(F44:I44)*K44</f>
        <v>64</v>
      </c>
      <c r="O44" s="37"/>
      <c r="P44" s="53"/>
    </row>
    <row r="45" spans="1:17" x14ac:dyDescent="0.25">
      <c r="A45" s="1"/>
      <c r="B45" s="46"/>
      <c r="C45" s="48"/>
      <c r="D45" s="50"/>
      <c r="E45" s="57" t="s">
        <v>99</v>
      </c>
      <c r="F45" s="39">
        <f>32</f>
        <v>32</v>
      </c>
      <c r="G45" s="39"/>
      <c r="H45" s="58"/>
      <c r="I45" s="39"/>
      <c r="J45" s="39"/>
      <c r="K45" s="39">
        <v>2</v>
      </c>
      <c r="L45" s="39"/>
      <c r="M45" s="39"/>
      <c r="N45" s="39">
        <f>+PRODUCT(F45:I45)*K45</f>
        <v>64</v>
      </c>
      <c r="O45" s="37"/>
      <c r="P45" s="53"/>
    </row>
    <row r="46" spans="1:17" x14ac:dyDescent="0.25">
      <c r="A46" s="1"/>
      <c r="B46" s="47"/>
      <c r="C46" s="49"/>
      <c r="D46" s="51"/>
      <c r="E46" s="57" t="s">
        <v>102</v>
      </c>
      <c r="F46" s="39">
        <v>8</v>
      </c>
      <c r="G46" s="39"/>
      <c r="H46" s="59"/>
      <c r="I46" s="39"/>
      <c r="J46" s="39"/>
      <c r="K46" s="39">
        <v>1</v>
      </c>
      <c r="L46" s="39"/>
      <c r="M46" s="39"/>
      <c r="N46" s="39">
        <f>+PRODUCT(F46:I46)*K46</f>
        <v>8</v>
      </c>
      <c r="O46" s="37"/>
      <c r="P46" s="54"/>
    </row>
    <row r="47" spans="1:17" x14ac:dyDescent="0.25">
      <c r="A47" s="1"/>
      <c r="B47" s="41"/>
      <c r="C47" s="30"/>
      <c r="D47" s="34" t="s">
        <v>47</v>
      </c>
      <c r="E47" s="35" t="s">
        <v>48</v>
      </c>
      <c r="F47" s="36"/>
      <c r="G47" s="37"/>
      <c r="H47" s="37"/>
      <c r="I47" s="37"/>
      <c r="J47" s="37"/>
      <c r="K47" s="37"/>
      <c r="L47" s="37"/>
      <c r="M47" s="37"/>
      <c r="N47" s="37"/>
      <c r="O47" s="37">
        <f>+SUM(N48:N48)</f>
        <v>74.97</v>
      </c>
      <c r="P47" s="43" t="s">
        <v>72</v>
      </c>
      <c r="Q47" s="56">
        <v>74</v>
      </c>
    </row>
    <row r="48" spans="1:17" x14ac:dyDescent="0.25">
      <c r="A48" s="1"/>
      <c r="B48" s="46"/>
      <c r="C48" s="48"/>
      <c r="D48" s="50"/>
      <c r="E48" s="52"/>
      <c r="F48" s="39">
        <v>1</v>
      </c>
      <c r="G48" s="39">
        <v>21</v>
      </c>
      <c r="H48" s="39">
        <v>3.57</v>
      </c>
      <c r="I48" s="39"/>
      <c r="J48" s="39"/>
      <c r="K48" s="39">
        <v>1</v>
      </c>
      <c r="L48" s="39"/>
      <c r="M48" s="39">
        <v>5.5433333333333303</v>
      </c>
      <c r="N48" s="39">
        <f>+PRODUCT(F48:I48)*K48</f>
        <v>74.97</v>
      </c>
      <c r="O48" s="37"/>
      <c r="P48" s="44"/>
    </row>
    <row r="49" spans="1:17" s="55" customFormat="1" x14ac:dyDescent="0.25">
      <c r="A49" s="29"/>
      <c r="B49" s="40"/>
      <c r="C49" s="22"/>
      <c r="D49" s="23" t="s">
        <v>49</v>
      </c>
      <c r="E49" s="24" t="s">
        <v>50</v>
      </c>
      <c r="F49" s="36"/>
      <c r="G49" s="37"/>
      <c r="H49" s="37"/>
      <c r="I49" s="37"/>
      <c r="J49" s="37"/>
      <c r="K49" s="37"/>
      <c r="L49" s="37"/>
      <c r="M49" s="37"/>
      <c r="N49" s="37"/>
      <c r="O49" s="37"/>
      <c r="P49" s="43"/>
      <c r="Q49" s="56"/>
    </row>
    <row r="50" spans="1:17" s="55" customFormat="1" x14ac:dyDescent="0.25">
      <c r="A50" s="29"/>
      <c r="B50" s="40"/>
      <c r="C50" s="22"/>
      <c r="D50" s="23" t="s">
        <v>51</v>
      </c>
      <c r="E50" s="24" t="s">
        <v>52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43"/>
      <c r="Q50" s="56"/>
    </row>
    <row r="51" spans="1:17" x14ac:dyDescent="0.25">
      <c r="A51" s="1"/>
      <c r="B51" s="41"/>
      <c r="C51" s="30"/>
      <c r="D51" s="34" t="s">
        <v>53</v>
      </c>
      <c r="E51" s="35" t="s">
        <v>54</v>
      </c>
      <c r="F51" s="36"/>
      <c r="G51" s="37"/>
      <c r="H51" s="37"/>
      <c r="I51" s="37"/>
      <c r="J51" s="37"/>
      <c r="K51" s="37"/>
      <c r="L51" s="37"/>
      <c r="M51" s="37"/>
      <c r="N51" s="37"/>
      <c r="O51" s="37">
        <f>+SUM(N52:N52)</f>
        <v>270</v>
      </c>
      <c r="P51" s="43" t="s">
        <v>73</v>
      </c>
    </row>
    <row r="52" spans="1:17" x14ac:dyDescent="0.25">
      <c r="A52" s="1"/>
      <c r="B52" s="46"/>
      <c r="C52" s="48"/>
      <c r="D52" s="50"/>
      <c r="E52" s="57" t="s">
        <v>103</v>
      </c>
      <c r="F52" s="39">
        <v>270</v>
      </c>
      <c r="G52" s="39"/>
      <c r="H52" s="39"/>
      <c r="I52" s="39"/>
      <c r="J52" s="39"/>
      <c r="K52" s="39">
        <v>1</v>
      </c>
      <c r="L52" s="39"/>
      <c r="M52" s="39"/>
      <c r="N52" s="39">
        <f>+PRODUCT(F52:I52)*K52</f>
        <v>270</v>
      </c>
      <c r="O52" s="37"/>
      <c r="P52" s="44"/>
    </row>
    <row r="53" spans="1:17" s="55" customFormat="1" x14ac:dyDescent="0.25">
      <c r="A53" s="29"/>
      <c r="B53" s="40"/>
      <c r="C53" s="22"/>
      <c r="D53" s="23" t="s">
        <v>55</v>
      </c>
      <c r="E53" s="24" t="s">
        <v>56</v>
      </c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43"/>
      <c r="Q53" s="56"/>
    </row>
    <row r="54" spans="1:17" x14ac:dyDescent="0.25">
      <c r="A54" s="1"/>
      <c r="B54" s="41"/>
      <c r="C54" s="30"/>
      <c r="D54" s="34" t="s">
        <v>57</v>
      </c>
      <c r="E54" s="35" t="s">
        <v>58</v>
      </c>
      <c r="F54" s="36"/>
      <c r="G54" s="37"/>
      <c r="H54" s="37"/>
      <c r="I54" s="37"/>
      <c r="J54" s="37"/>
      <c r="K54" s="37"/>
      <c r="L54" s="37"/>
      <c r="M54" s="37"/>
      <c r="N54" s="37"/>
      <c r="O54" s="37">
        <f>+SUM(N55:N56)</f>
        <v>500</v>
      </c>
      <c r="P54" s="43" t="s">
        <v>72</v>
      </c>
      <c r="Q54" s="56">
        <v>500</v>
      </c>
    </row>
    <row r="55" spans="1:17" x14ac:dyDescent="0.25">
      <c r="A55" s="1"/>
      <c r="B55" s="46"/>
      <c r="C55" s="48"/>
      <c r="D55" s="50"/>
      <c r="E55" s="57" t="s">
        <v>109</v>
      </c>
      <c r="F55" s="39">
        <v>1</v>
      </c>
      <c r="G55" s="39">
        <v>300</v>
      </c>
      <c r="H55" s="39"/>
      <c r="I55" s="39"/>
      <c r="J55" s="39"/>
      <c r="K55" s="39">
        <v>1</v>
      </c>
      <c r="L55" s="39"/>
      <c r="M55" s="39"/>
      <c r="N55" s="39">
        <f>+PRODUCT(F55:I55)*K55</f>
        <v>300</v>
      </c>
      <c r="O55" s="37"/>
      <c r="P55" s="44"/>
    </row>
    <row r="56" spans="1:17" x14ac:dyDescent="0.25">
      <c r="A56" s="1"/>
      <c r="B56" s="46"/>
      <c r="C56" s="48"/>
      <c r="D56" s="50"/>
      <c r="E56" s="57" t="s">
        <v>110</v>
      </c>
      <c r="F56" s="39">
        <v>1</v>
      </c>
      <c r="G56" s="39">
        <v>200</v>
      </c>
      <c r="H56" s="39"/>
      <c r="I56" s="39"/>
      <c r="J56" s="31"/>
      <c r="K56" s="39">
        <v>1</v>
      </c>
      <c r="L56" s="39"/>
      <c r="M56" s="39"/>
      <c r="N56" s="39">
        <f>+PRODUCT(F56:I56)*K56</f>
        <v>200</v>
      </c>
      <c r="O56" s="37"/>
      <c r="P56" s="44"/>
    </row>
    <row r="57" spans="1:17" x14ac:dyDescent="0.25">
      <c r="A57" s="1"/>
      <c r="B57" s="41"/>
      <c r="C57" s="30"/>
      <c r="D57" s="34" t="s">
        <v>59</v>
      </c>
      <c r="E57" s="35" t="s">
        <v>69</v>
      </c>
      <c r="F57" s="36"/>
      <c r="G57" s="37"/>
      <c r="H57" s="37"/>
      <c r="I57" s="37"/>
      <c r="J57" s="37"/>
      <c r="K57" s="37"/>
      <c r="L57" s="37"/>
      <c r="M57" s="37"/>
      <c r="N57" s="37"/>
      <c r="O57" s="37">
        <f>+SUM(N58:N58)</f>
        <v>10</v>
      </c>
      <c r="P57" s="43" t="s">
        <v>74</v>
      </c>
      <c r="Q57" s="56">
        <v>10</v>
      </c>
    </row>
    <row r="58" spans="1:17" x14ac:dyDescent="0.25">
      <c r="A58" s="1"/>
      <c r="B58" s="46"/>
      <c r="C58" s="48"/>
      <c r="D58" s="50"/>
      <c r="E58" s="57" t="s">
        <v>104</v>
      </c>
      <c r="F58" s="39">
        <v>1</v>
      </c>
      <c r="G58" s="39"/>
      <c r="H58" s="39"/>
      <c r="I58" s="39"/>
      <c r="J58" s="39"/>
      <c r="K58" s="39">
        <v>10</v>
      </c>
      <c r="L58" s="39"/>
      <c r="M58" s="39"/>
      <c r="N58" s="39">
        <f>+PRODUCT(F58:I58)*K58</f>
        <v>10</v>
      </c>
      <c r="O58" s="37"/>
      <c r="P58" s="44"/>
    </row>
    <row r="59" spans="1:17" s="55" customFormat="1" x14ac:dyDescent="0.25">
      <c r="A59" s="29"/>
      <c r="B59" s="40"/>
      <c r="C59" s="22"/>
      <c r="D59" s="23" t="s">
        <v>60</v>
      </c>
      <c r="E59" s="24" t="s">
        <v>61</v>
      </c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43"/>
      <c r="Q59" s="56"/>
    </row>
    <row r="60" spans="1:17" x14ac:dyDescent="0.25">
      <c r="A60" s="1"/>
      <c r="B60" s="41"/>
      <c r="C60" s="30"/>
      <c r="D60" s="34" t="s">
        <v>62</v>
      </c>
      <c r="E60" s="35" t="s">
        <v>63</v>
      </c>
      <c r="F60" s="36"/>
      <c r="G60" s="37"/>
      <c r="H60" s="37"/>
      <c r="I60" s="37"/>
      <c r="J60" s="37"/>
      <c r="K60" s="37"/>
      <c r="L60" s="37"/>
      <c r="M60" s="37"/>
      <c r="N60" s="37"/>
      <c r="O60" s="37">
        <f>+SUM(N61:N61)</f>
        <v>3</v>
      </c>
      <c r="P60" s="43" t="s">
        <v>15</v>
      </c>
      <c r="Q60" s="56">
        <v>3</v>
      </c>
    </row>
    <row r="61" spans="1:17" x14ac:dyDescent="0.25">
      <c r="A61" s="1"/>
      <c r="B61" s="46"/>
      <c r="C61" s="48"/>
      <c r="D61" s="50"/>
      <c r="E61" s="57" t="s">
        <v>105</v>
      </c>
      <c r="F61" s="39">
        <v>3</v>
      </c>
      <c r="G61" s="39"/>
      <c r="H61" s="39"/>
      <c r="I61" s="39"/>
      <c r="J61" s="39"/>
      <c r="K61" s="39">
        <v>1</v>
      </c>
      <c r="L61" s="39"/>
      <c r="M61" s="39"/>
      <c r="N61" s="39">
        <f>+PRODUCT(F61:I61)*K61</f>
        <v>3</v>
      </c>
      <c r="O61" s="37"/>
      <c r="P61" s="44"/>
    </row>
    <row r="62" spans="1:17" x14ac:dyDescent="0.25">
      <c r="A62" s="1"/>
      <c r="B62" s="41"/>
      <c r="C62" s="30"/>
      <c r="D62" s="34" t="s">
        <v>64</v>
      </c>
      <c r="E62" s="35" t="s">
        <v>65</v>
      </c>
      <c r="F62" s="36"/>
      <c r="G62" s="37"/>
      <c r="H62" s="37"/>
      <c r="I62" s="37"/>
      <c r="J62" s="37"/>
      <c r="K62" s="37"/>
      <c r="L62" s="37"/>
      <c r="M62" s="37"/>
      <c r="N62" s="37"/>
      <c r="O62" s="37">
        <f>+SUM(N64:N105)</f>
        <v>22921.630705333333</v>
      </c>
      <c r="P62" s="43" t="s">
        <v>70</v>
      </c>
      <c r="Q62" s="56">
        <v>6400</v>
      </c>
    </row>
    <row r="63" spans="1:17" x14ac:dyDescent="0.25">
      <c r="A63" s="1"/>
      <c r="B63" s="46"/>
      <c r="C63" s="48"/>
      <c r="D63" s="50"/>
      <c r="E63" s="65" t="s">
        <v>106</v>
      </c>
      <c r="F63" s="39"/>
      <c r="G63" s="39"/>
      <c r="H63" s="39"/>
      <c r="I63" s="39"/>
      <c r="J63" s="31"/>
      <c r="K63" s="39"/>
      <c r="L63" s="39"/>
      <c r="M63" s="64" t="s">
        <v>84</v>
      </c>
      <c r="N63" s="39"/>
      <c r="O63" s="37"/>
      <c r="P63" s="53"/>
    </row>
    <row r="64" spans="1:17" x14ac:dyDescent="0.25">
      <c r="A64" s="1"/>
      <c r="B64" s="46"/>
      <c r="C64" s="48"/>
      <c r="D64" s="50"/>
      <c r="E64" s="38" t="s">
        <v>24</v>
      </c>
      <c r="F64" s="39">
        <v>12</v>
      </c>
      <c r="G64" s="39">
        <v>3.0550000000000002</v>
      </c>
      <c r="H64" s="39"/>
      <c r="I64" s="39"/>
      <c r="J64" s="39"/>
      <c r="K64" s="39">
        <v>2</v>
      </c>
      <c r="L64" s="39"/>
      <c r="M64" s="39">
        <v>5.5433333333333303</v>
      </c>
      <c r="N64" s="39">
        <f>Tabla1[[#This Row],[CANTIDAD]]*Tabla1[[#This Row],[LONGITUD]]*Tabla1[[#This Row],[N° VECES]]*Tabla1[[#This Row],[PESO]]</f>
        <v>406.43719999999985</v>
      </c>
      <c r="O64" s="37"/>
      <c r="P64" s="53"/>
    </row>
    <row r="65" spans="1:16" x14ac:dyDescent="0.25">
      <c r="A65" s="1"/>
      <c r="B65" s="46"/>
      <c r="C65" s="48"/>
      <c r="D65" s="50"/>
      <c r="E65" s="38" t="s">
        <v>24</v>
      </c>
      <c r="F65" s="39">
        <v>16</v>
      </c>
      <c r="G65" s="39">
        <v>1.2</v>
      </c>
      <c r="H65" s="39"/>
      <c r="I65" s="39"/>
      <c r="J65" s="31"/>
      <c r="K65" s="39">
        <v>2</v>
      </c>
      <c r="L65" s="39"/>
      <c r="M65" s="39">
        <v>5.5433333333333303</v>
      </c>
      <c r="N65" s="39">
        <f>Tabla1[[#This Row],[CANTIDAD]]*Tabla1[[#This Row],[LONGITUD]]*Tabla1[[#This Row],[N° VECES]]*Tabla1[[#This Row],[PESO]]</f>
        <v>212.86399999999989</v>
      </c>
      <c r="O65" s="37"/>
      <c r="P65" s="53"/>
    </row>
    <row r="66" spans="1:16" x14ac:dyDescent="0.25">
      <c r="A66" s="1"/>
      <c r="B66" s="46"/>
      <c r="C66" s="48"/>
      <c r="D66" s="50"/>
      <c r="E66" s="38" t="s">
        <v>24</v>
      </c>
      <c r="F66" s="39">
        <v>8</v>
      </c>
      <c r="G66" s="39">
        <v>1.2</v>
      </c>
      <c r="H66" s="39"/>
      <c r="I66" s="39"/>
      <c r="J66" s="31"/>
      <c r="K66" s="39">
        <v>2</v>
      </c>
      <c r="L66" s="39"/>
      <c r="M66" s="39">
        <v>5.5433333333333303</v>
      </c>
      <c r="N66" s="39">
        <f>Tabla1[[#This Row],[CANTIDAD]]*Tabla1[[#This Row],[LONGITUD]]*Tabla1[[#This Row],[N° VECES]]*Tabla1[[#This Row],[PESO]]</f>
        <v>106.43199999999995</v>
      </c>
      <c r="O66" s="37"/>
      <c r="P66" s="53"/>
    </row>
    <row r="67" spans="1:16" x14ac:dyDescent="0.25">
      <c r="A67" s="1"/>
      <c r="B67" s="46"/>
      <c r="C67" s="48"/>
      <c r="D67" s="50"/>
      <c r="E67" s="38" t="s">
        <v>25</v>
      </c>
      <c r="F67" s="39">
        <v>40</v>
      </c>
      <c r="G67" s="39">
        <v>1.2</v>
      </c>
      <c r="H67" s="39"/>
      <c r="I67" s="39"/>
      <c r="J67" s="31"/>
      <c r="K67" s="39">
        <v>2</v>
      </c>
      <c r="L67" s="39"/>
      <c r="M67" s="39">
        <v>4.4166666666666696</v>
      </c>
      <c r="N67" s="39">
        <f>Tabla1[[#This Row],[CANTIDAD]]*Tabla1[[#This Row],[LONGITUD]]*Tabla1[[#This Row],[N° VECES]]*Tabla1[[#This Row],[PESO]]</f>
        <v>424.00000000000028</v>
      </c>
      <c r="O67" s="37"/>
      <c r="P67" s="53"/>
    </row>
    <row r="68" spans="1:16" x14ac:dyDescent="0.25">
      <c r="A68" s="1"/>
      <c r="B68" s="46"/>
      <c r="C68" s="48"/>
      <c r="D68" s="50"/>
      <c r="E68" s="38" t="s">
        <v>26</v>
      </c>
      <c r="F68" s="39">
        <v>16</v>
      </c>
      <c r="G68" s="39">
        <v>3.0550000000000002</v>
      </c>
      <c r="H68" s="39"/>
      <c r="I68" s="39"/>
      <c r="J68" s="31"/>
      <c r="K68" s="39">
        <v>2</v>
      </c>
      <c r="L68" s="39"/>
      <c r="M68" s="39">
        <v>6.06</v>
      </c>
      <c r="N68" s="39">
        <f>Tabla1[[#This Row],[CANTIDAD]]*Tabla1[[#This Row],[LONGITUD]]*Tabla1[[#This Row],[N° VECES]]*Tabla1[[#This Row],[PESO]]</f>
        <v>592.42560000000003</v>
      </c>
      <c r="O68" s="37"/>
      <c r="P68" s="53"/>
    </row>
    <row r="69" spans="1:16" x14ac:dyDescent="0.25">
      <c r="A69" s="1"/>
      <c r="B69" s="46"/>
      <c r="C69" s="48"/>
      <c r="D69" s="50"/>
      <c r="E69" s="38" t="s">
        <v>25</v>
      </c>
      <c r="F69" s="39">
        <v>4</v>
      </c>
      <c r="G69" s="39">
        <v>1.532</v>
      </c>
      <c r="H69" s="39"/>
      <c r="I69" s="39"/>
      <c r="J69" s="31"/>
      <c r="K69" s="39">
        <v>2</v>
      </c>
      <c r="L69" s="39"/>
      <c r="M69" s="39">
        <v>4.4166666666666696</v>
      </c>
      <c r="N69" s="39">
        <f>Tabla1[[#This Row],[CANTIDAD]]*Tabla1[[#This Row],[LONGITUD]]*Tabla1[[#This Row],[N° VECES]]*Tabla1[[#This Row],[PESO]]</f>
        <v>54.130666666666706</v>
      </c>
      <c r="O69" s="37"/>
      <c r="P69" s="53"/>
    </row>
    <row r="70" spans="1:16" x14ac:dyDescent="0.25">
      <c r="A70" s="1"/>
      <c r="B70" s="46"/>
      <c r="C70" s="48"/>
      <c r="D70" s="50"/>
      <c r="E70" s="38" t="s">
        <v>25</v>
      </c>
      <c r="F70" s="39">
        <v>4</v>
      </c>
      <c r="G70" s="39">
        <v>1.3009999999999999</v>
      </c>
      <c r="H70" s="39"/>
      <c r="I70" s="39"/>
      <c r="J70" s="31"/>
      <c r="K70" s="39">
        <v>2</v>
      </c>
      <c r="L70" s="39"/>
      <c r="M70" s="39">
        <v>4.4166666666666696</v>
      </c>
      <c r="N70" s="39">
        <f>Tabla1[[#This Row],[CANTIDAD]]*Tabla1[[#This Row],[LONGITUD]]*Tabla1[[#This Row],[N° VECES]]*Tabla1[[#This Row],[PESO]]</f>
        <v>45.968666666666692</v>
      </c>
      <c r="O70" s="37"/>
      <c r="P70" s="53"/>
    </row>
    <row r="71" spans="1:16" x14ac:dyDescent="0.25">
      <c r="A71" s="1"/>
      <c r="B71" s="46"/>
      <c r="C71" s="48"/>
      <c r="D71" s="50"/>
      <c r="E71" s="38" t="s">
        <v>25</v>
      </c>
      <c r="F71" s="39">
        <v>8</v>
      </c>
      <c r="G71" s="39">
        <v>1.36</v>
      </c>
      <c r="H71" s="39"/>
      <c r="I71" s="39"/>
      <c r="J71" s="31"/>
      <c r="K71" s="39">
        <v>2</v>
      </c>
      <c r="L71" s="39"/>
      <c r="M71" s="39">
        <v>4.4166666666666696</v>
      </c>
      <c r="N71" s="39">
        <f>Tabla1[[#This Row],[CANTIDAD]]*Tabla1[[#This Row],[LONGITUD]]*Tabla1[[#This Row],[N° VECES]]*Tabla1[[#This Row],[PESO]]</f>
        <v>96.10666666666674</v>
      </c>
      <c r="O71" s="37"/>
      <c r="P71" s="53"/>
    </row>
    <row r="72" spans="1:16" x14ac:dyDescent="0.25">
      <c r="A72" s="1"/>
      <c r="B72" s="46"/>
      <c r="C72" s="48"/>
      <c r="D72" s="50"/>
      <c r="E72" s="38" t="s">
        <v>26</v>
      </c>
      <c r="F72" s="39">
        <v>24</v>
      </c>
      <c r="G72" s="39">
        <v>2.3650000000000002</v>
      </c>
      <c r="H72" s="39"/>
      <c r="I72" s="39"/>
      <c r="J72" s="31"/>
      <c r="K72" s="39">
        <v>2</v>
      </c>
      <c r="L72" s="39"/>
      <c r="M72" s="39">
        <v>6.06</v>
      </c>
      <c r="N72" s="39">
        <f>Tabla1[[#This Row],[CANTIDAD]]*Tabla1[[#This Row],[LONGITUD]]*Tabla1[[#This Row],[N° VECES]]*Tabla1[[#This Row],[PESO]]</f>
        <v>687.93119999999999</v>
      </c>
      <c r="O72" s="37"/>
      <c r="P72" s="53"/>
    </row>
    <row r="73" spans="1:16" x14ac:dyDescent="0.25">
      <c r="A73" s="1"/>
      <c r="B73" s="46"/>
      <c r="C73" s="48"/>
      <c r="D73" s="50"/>
      <c r="E73" s="38" t="s">
        <v>26</v>
      </c>
      <c r="F73" s="39">
        <v>24</v>
      </c>
      <c r="G73" s="39">
        <v>1.885</v>
      </c>
      <c r="H73" s="39"/>
      <c r="I73" s="39"/>
      <c r="J73" s="31"/>
      <c r="K73" s="39">
        <v>2</v>
      </c>
      <c r="L73" s="39"/>
      <c r="M73" s="39">
        <v>6.06</v>
      </c>
      <c r="N73" s="39">
        <f>Tabla1[[#This Row],[CANTIDAD]]*Tabla1[[#This Row],[LONGITUD]]*Tabla1[[#This Row],[N° VECES]]*Tabla1[[#This Row],[PESO]]</f>
        <v>548.30880000000002</v>
      </c>
      <c r="O73" s="37"/>
      <c r="P73" s="53"/>
    </row>
    <row r="74" spans="1:16" x14ac:dyDescent="0.25">
      <c r="A74" s="1"/>
      <c r="B74" s="46"/>
      <c r="C74" s="48"/>
      <c r="D74" s="50"/>
      <c r="E74" s="38" t="s">
        <v>26</v>
      </c>
      <c r="F74" s="39">
        <v>8</v>
      </c>
      <c r="G74" s="39">
        <v>2.7109999999999999</v>
      </c>
      <c r="H74" s="39"/>
      <c r="I74" s="39"/>
      <c r="J74" s="31"/>
      <c r="K74" s="39">
        <v>2</v>
      </c>
      <c r="L74" s="39"/>
      <c r="M74" s="39">
        <v>6.06</v>
      </c>
      <c r="N74" s="39">
        <f>Tabla1[[#This Row],[CANTIDAD]]*Tabla1[[#This Row],[LONGITUD]]*Tabla1[[#This Row],[N° VECES]]*Tabla1[[#This Row],[PESO]]</f>
        <v>262.85855999999995</v>
      </c>
      <c r="O74" s="37"/>
      <c r="P74" s="53"/>
    </row>
    <row r="75" spans="1:16" x14ac:dyDescent="0.25">
      <c r="A75" s="1"/>
      <c r="B75" s="46"/>
      <c r="C75" s="48"/>
      <c r="D75" s="50"/>
      <c r="E75" s="38" t="s">
        <v>26</v>
      </c>
      <c r="F75" s="39">
        <v>8</v>
      </c>
      <c r="G75" s="39">
        <v>2.8149999999999999</v>
      </c>
      <c r="H75" s="39"/>
      <c r="I75" s="39"/>
      <c r="J75" s="31"/>
      <c r="K75" s="39">
        <v>2</v>
      </c>
      <c r="L75" s="39"/>
      <c r="M75" s="39">
        <v>6.06</v>
      </c>
      <c r="N75" s="39">
        <f>Tabla1[[#This Row],[CANTIDAD]]*Tabla1[[#This Row],[LONGITUD]]*Tabla1[[#This Row],[N° VECES]]*Tabla1[[#This Row],[PESO]]</f>
        <v>272.94239999999996</v>
      </c>
      <c r="O75" s="37"/>
      <c r="P75" s="53"/>
    </row>
    <row r="76" spans="1:16" x14ac:dyDescent="0.25">
      <c r="A76" s="1"/>
      <c r="B76" s="46"/>
      <c r="C76" s="48"/>
      <c r="D76" s="50"/>
      <c r="E76" s="38" t="s">
        <v>26</v>
      </c>
      <c r="F76" s="39">
        <v>12</v>
      </c>
      <c r="G76" s="39">
        <v>3.0550000000000002</v>
      </c>
      <c r="H76" s="39"/>
      <c r="I76" s="39"/>
      <c r="J76" s="31"/>
      <c r="K76" s="39">
        <v>2</v>
      </c>
      <c r="L76" s="39"/>
      <c r="M76" s="39">
        <v>6.06</v>
      </c>
      <c r="N76" s="39">
        <f>Tabla1[[#This Row],[CANTIDAD]]*Tabla1[[#This Row],[LONGITUD]]*Tabla1[[#This Row],[N° VECES]]*Tabla1[[#This Row],[PESO]]</f>
        <v>444.31920000000002</v>
      </c>
      <c r="O76" s="37"/>
      <c r="P76" s="53"/>
    </row>
    <row r="77" spans="1:16" x14ac:dyDescent="0.25">
      <c r="A77" s="1"/>
      <c r="B77" s="46"/>
      <c r="C77" s="48"/>
      <c r="D77" s="50"/>
      <c r="E77" s="38" t="s">
        <v>26</v>
      </c>
      <c r="F77" s="39">
        <v>6</v>
      </c>
      <c r="G77" s="39">
        <v>1</v>
      </c>
      <c r="H77" s="39"/>
      <c r="I77" s="39"/>
      <c r="J77" s="31"/>
      <c r="K77" s="39">
        <v>2</v>
      </c>
      <c r="L77" s="39"/>
      <c r="M77" s="39">
        <v>6.06</v>
      </c>
      <c r="N77" s="39">
        <f>Tabla1[[#This Row],[CANTIDAD]]*Tabla1[[#This Row],[LONGITUD]]*Tabla1[[#This Row],[N° VECES]]*Tabla1[[#This Row],[PESO]]</f>
        <v>72.72</v>
      </c>
      <c r="O77" s="37"/>
      <c r="P77" s="53"/>
    </row>
    <row r="78" spans="1:16" x14ac:dyDescent="0.25">
      <c r="A78" s="1"/>
      <c r="B78" s="46"/>
      <c r="C78" s="48"/>
      <c r="D78" s="50"/>
      <c r="E78" s="38" t="s">
        <v>26</v>
      </c>
      <c r="F78" s="39">
        <v>6</v>
      </c>
      <c r="G78" s="39">
        <v>0.3</v>
      </c>
      <c r="H78" s="39"/>
      <c r="I78" s="39"/>
      <c r="J78" s="31"/>
      <c r="K78" s="39">
        <v>2</v>
      </c>
      <c r="L78" s="39"/>
      <c r="M78" s="39">
        <v>6.06</v>
      </c>
      <c r="N78" s="39">
        <f>Tabla1[[#This Row],[CANTIDAD]]*Tabla1[[#This Row],[LONGITUD]]*Tabla1[[#This Row],[N° VECES]]*Tabla1[[#This Row],[PESO]]</f>
        <v>21.815999999999995</v>
      </c>
      <c r="O78" s="37"/>
      <c r="P78" s="53"/>
    </row>
    <row r="79" spans="1:16" x14ac:dyDescent="0.25">
      <c r="A79" s="1"/>
      <c r="B79" s="46"/>
      <c r="C79" s="48"/>
      <c r="D79" s="50"/>
      <c r="E79" s="38" t="s">
        <v>27</v>
      </c>
      <c r="F79" s="39">
        <v>80</v>
      </c>
      <c r="G79" s="39">
        <v>2.82</v>
      </c>
      <c r="H79" s="39"/>
      <c r="I79" s="39"/>
      <c r="J79" s="31"/>
      <c r="K79" s="39">
        <v>2</v>
      </c>
      <c r="L79" s="39"/>
      <c r="M79" s="39">
        <v>3.63</v>
      </c>
      <c r="N79" s="39">
        <f>Tabla1[[#This Row],[CANTIDAD]]*Tabla1[[#This Row],[LONGITUD]]*Tabla1[[#This Row],[N° VECES]]*Tabla1[[#This Row],[PESO]]</f>
        <v>1637.856</v>
      </c>
      <c r="O79" s="37"/>
      <c r="P79" s="53"/>
    </row>
    <row r="80" spans="1:16" x14ac:dyDescent="0.25">
      <c r="A80" s="1"/>
      <c r="B80" s="46"/>
      <c r="C80" s="48"/>
      <c r="D80" s="50"/>
      <c r="E80" s="38" t="s">
        <v>27</v>
      </c>
      <c r="F80" s="39">
        <v>8</v>
      </c>
      <c r="G80" s="39">
        <v>4.8</v>
      </c>
      <c r="H80" s="39"/>
      <c r="I80" s="39"/>
      <c r="J80" s="31"/>
      <c r="K80" s="39">
        <v>2</v>
      </c>
      <c r="L80" s="39"/>
      <c r="M80" s="39">
        <v>3.63</v>
      </c>
      <c r="N80" s="39">
        <f>Tabla1[[#This Row],[CANTIDAD]]*Tabla1[[#This Row],[LONGITUD]]*Tabla1[[#This Row],[N° VECES]]*Tabla1[[#This Row],[PESO]]</f>
        <v>278.78399999999999</v>
      </c>
      <c r="O80" s="37"/>
      <c r="P80" s="53"/>
    </row>
    <row r="81" spans="1:16" x14ac:dyDescent="0.25">
      <c r="A81" s="1"/>
      <c r="B81" s="46"/>
      <c r="C81" s="48"/>
      <c r="D81" s="50"/>
      <c r="E81" s="38" t="s">
        <v>28</v>
      </c>
      <c r="F81" s="39">
        <v>6</v>
      </c>
      <c r="G81" s="39">
        <v>0.2</v>
      </c>
      <c r="H81" s="39">
        <v>0.25</v>
      </c>
      <c r="I81" s="39"/>
      <c r="J81" s="31"/>
      <c r="K81" s="39">
        <v>2</v>
      </c>
      <c r="L81" s="39"/>
      <c r="M81" s="39">
        <v>149.14999999999998</v>
      </c>
      <c r="N81" s="39">
        <f>Tabla1[[#This Row],[CANTIDAD]]*(Tabla1[[#This Row],[LONGITUD]]+Tabla1[[#This Row],[ANCHO / EMPALME]])*Tabla1[[#This Row],[N° VECES]]*Tabla1[[#This Row],[PESO]]</f>
        <v>805.41</v>
      </c>
      <c r="O81" s="37"/>
      <c r="P81" s="53"/>
    </row>
    <row r="82" spans="1:16" x14ac:dyDescent="0.25">
      <c r="A82" s="1"/>
      <c r="B82" s="46"/>
      <c r="C82" s="48"/>
      <c r="D82" s="50"/>
      <c r="E82" s="38" t="s">
        <v>29</v>
      </c>
      <c r="F82" s="39">
        <v>44</v>
      </c>
      <c r="G82" s="39">
        <v>0.46</v>
      </c>
      <c r="H82" s="39">
        <v>0.2</v>
      </c>
      <c r="I82" s="39"/>
      <c r="J82" s="31"/>
      <c r="K82" s="39">
        <v>2</v>
      </c>
      <c r="L82" s="39"/>
      <c r="M82" s="39">
        <v>46.315972222222221</v>
      </c>
      <c r="N82" s="39">
        <f>Tabla1[[#This Row],[CANTIDAD]]*(Tabla1[[#This Row],[LONGITUD]]+Tabla1[[#This Row],[ANCHO / EMPALME]])*Tabla1[[#This Row],[N° VECES]]*Tabla1[[#This Row],[PESO]]</f>
        <v>2690.0316666666668</v>
      </c>
      <c r="O82" s="37"/>
      <c r="P82" s="53"/>
    </row>
    <row r="83" spans="1:16" x14ac:dyDescent="0.25">
      <c r="A83" s="1"/>
      <c r="B83" s="46"/>
      <c r="C83" s="48"/>
      <c r="D83" s="50"/>
      <c r="E83" s="38" t="s">
        <v>29</v>
      </c>
      <c r="F83" s="39">
        <v>50</v>
      </c>
      <c r="G83" s="39">
        <v>0.25</v>
      </c>
      <c r="H83" s="39">
        <v>0.05</v>
      </c>
      <c r="I83" s="39"/>
      <c r="J83" s="31"/>
      <c r="K83" s="39">
        <v>2</v>
      </c>
      <c r="L83" s="39"/>
      <c r="M83" s="39">
        <v>46.315972222222221</v>
      </c>
      <c r="N83" s="39">
        <f>Tabla1[[#This Row],[CANTIDAD]]*(Tabla1[[#This Row],[LONGITUD]]+Tabla1[[#This Row],[ANCHO / EMPALME]])*Tabla1[[#This Row],[N° VECES]]*Tabla1[[#This Row],[PESO]]</f>
        <v>1389.4791666666667</v>
      </c>
      <c r="O83" s="37"/>
      <c r="P83" s="53"/>
    </row>
    <row r="84" spans="1:16" x14ac:dyDescent="0.25">
      <c r="A84" s="1"/>
      <c r="B84" s="46"/>
      <c r="C84" s="48"/>
      <c r="D84" s="50"/>
      <c r="E84" s="38" t="s">
        <v>30</v>
      </c>
      <c r="F84" s="39">
        <v>32</v>
      </c>
      <c r="G84" s="39">
        <v>2.0099999999999998</v>
      </c>
      <c r="H84" s="39"/>
      <c r="I84" s="39"/>
      <c r="J84" s="31"/>
      <c r="K84" s="39">
        <v>2</v>
      </c>
      <c r="L84" s="39"/>
      <c r="M84" s="39">
        <v>3.97</v>
      </c>
      <c r="N84" s="39">
        <f>Tabla1[[#This Row],[CANTIDAD]]*Tabla1[[#This Row],[LONGITUD]]*Tabla1[[#This Row],[N° VECES]]*Tabla1[[#This Row],[PESO]]</f>
        <v>510.70079999999996</v>
      </c>
      <c r="O84" s="37"/>
      <c r="P84" s="53"/>
    </row>
    <row r="85" spans="1:16" x14ac:dyDescent="0.25">
      <c r="A85" s="1"/>
      <c r="B85" s="46"/>
      <c r="C85" s="48"/>
      <c r="D85" s="50"/>
      <c r="E85" s="38" t="s">
        <v>30</v>
      </c>
      <c r="F85" s="39">
        <v>32</v>
      </c>
      <c r="G85" s="39">
        <v>3.76</v>
      </c>
      <c r="H85" s="39"/>
      <c r="I85" s="39"/>
      <c r="J85" s="31"/>
      <c r="K85" s="39">
        <v>2</v>
      </c>
      <c r="L85" s="39"/>
      <c r="M85" s="39">
        <v>3.97</v>
      </c>
      <c r="N85" s="39">
        <f>Tabla1[[#This Row],[CANTIDAD]]*Tabla1[[#This Row],[LONGITUD]]*Tabla1[[#This Row],[N° VECES]]*Tabla1[[#This Row],[PESO]]</f>
        <v>955.34079999999994</v>
      </c>
      <c r="O85" s="37"/>
      <c r="P85" s="53"/>
    </row>
    <row r="86" spans="1:16" x14ac:dyDescent="0.25">
      <c r="A86" s="1"/>
      <c r="B86" s="46"/>
      <c r="C86" s="48"/>
      <c r="D86" s="50"/>
      <c r="E86" s="38" t="s">
        <v>30</v>
      </c>
      <c r="F86" s="39">
        <v>32</v>
      </c>
      <c r="G86" s="39">
        <v>2.77</v>
      </c>
      <c r="H86" s="39"/>
      <c r="I86" s="39"/>
      <c r="J86" s="31"/>
      <c r="K86" s="39">
        <v>2</v>
      </c>
      <c r="L86" s="39"/>
      <c r="M86" s="39">
        <v>3.97</v>
      </c>
      <c r="N86" s="39">
        <f>Tabla1[[#This Row],[CANTIDAD]]*Tabla1[[#This Row],[LONGITUD]]*Tabla1[[#This Row],[N° VECES]]*Tabla1[[#This Row],[PESO]]</f>
        <v>703.80160000000001</v>
      </c>
      <c r="O86" s="37"/>
      <c r="P86" s="53"/>
    </row>
    <row r="87" spans="1:16" x14ac:dyDescent="0.25">
      <c r="A87" s="1"/>
      <c r="B87" s="46"/>
      <c r="C87" s="48"/>
      <c r="D87" s="50"/>
      <c r="E87" s="38" t="s">
        <v>31</v>
      </c>
      <c r="F87" s="39">
        <v>40</v>
      </c>
      <c r="G87" s="39">
        <v>1.1000000000000001</v>
      </c>
      <c r="H87" s="39"/>
      <c r="I87" s="39"/>
      <c r="J87" s="31"/>
      <c r="K87" s="39">
        <v>2</v>
      </c>
      <c r="L87" s="39"/>
      <c r="M87" s="39">
        <v>2.2400000000000002</v>
      </c>
      <c r="N87" s="39">
        <f>Tabla1[[#This Row],[CANTIDAD]]*Tabla1[[#This Row],[LONGITUD]]*Tabla1[[#This Row],[N° VECES]]*Tabla1[[#This Row],[PESO]]</f>
        <v>197.12</v>
      </c>
      <c r="O87" s="37"/>
      <c r="P87" s="53"/>
    </row>
    <row r="88" spans="1:16" x14ac:dyDescent="0.25">
      <c r="A88" s="1"/>
      <c r="B88" s="46"/>
      <c r="C88" s="48"/>
      <c r="D88" s="50"/>
      <c r="E88" s="38" t="s">
        <v>31</v>
      </c>
      <c r="F88" s="39">
        <v>16</v>
      </c>
      <c r="G88" s="39">
        <v>1.2399</v>
      </c>
      <c r="H88" s="39"/>
      <c r="I88" s="39"/>
      <c r="J88" s="31"/>
      <c r="K88" s="39">
        <v>2</v>
      </c>
      <c r="L88" s="39"/>
      <c r="M88" s="39">
        <v>2.2400000000000002</v>
      </c>
      <c r="N88" s="39">
        <f>Tabla1[[#This Row],[CANTIDAD]]*Tabla1[[#This Row],[LONGITUD]]*Tabla1[[#This Row],[N° VECES]]*Tabla1[[#This Row],[PESO]]</f>
        <v>88.876032000000009</v>
      </c>
      <c r="O88" s="37"/>
      <c r="P88" s="53"/>
    </row>
    <row r="89" spans="1:16" x14ac:dyDescent="0.25">
      <c r="A89" s="1"/>
      <c r="B89" s="46"/>
      <c r="C89" s="48"/>
      <c r="D89" s="50"/>
      <c r="E89" s="38" t="s">
        <v>30</v>
      </c>
      <c r="F89" s="39">
        <v>16</v>
      </c>
      <c r="G89" s="39">
        <v>2.5299999999999998</v>
      </c>
      <c r="H89" s="39"/>
      <c r="I89" s="39"/>
      <c r="J89" s="31"/>
      <c r="K89" s="39">
        <v>2</v>
      </c>
      <c r="L89" s="39"/>
      <c r="M89" s="39">
        <v>3.97</v>
      </c>
      <c r="N89" s="39">
        <f>Tabla1[[#This Row],[CANTIDAD]]*Tabla1[[#This Row],[LONGITUD]]*Tabla1[[#This Row],[N° VECES]]*Tabla1[[#This Row],[PESO]]</f>
        <v>321.41120000000001</v>
      </c>
      <c r="O89" s="37"/>
      <c r="P89" s="53"/>
    </row>
    <row r="90" spans="1:16" x14ac:dyDescent="0.25">
      <c r="A90" s="1"/>
      <c r="B90" s="46"/>
      <c r="C90" s="48"/>
      <c r="D90" s="50"/>
      <c r="E90" s="65" t="s">
        <v>107</v>
      </c>
      <c r="F90" s="39"/>
      <c r="G90" s="39"/>
      <c r="H90" s="39"/>
      <c r="I90" s="39"/>
      <c r="J90" s="31"/>
      <c r="K90" s="39"/>
      <c r="L90" s="39"/>
      <c r="M90" s="39"/>
      <c r="N90" s="39"/>
      <c r="O90" s="37"/>
      <c r="P90" s="53"/>
    </row>
    <row r="91" spans="1:16" x14ac:dyDescent="0.25">
      <c r="A91" s="1"/>
      <c r="B91" s="46"/>
      <c r="C91" s="48"/>
      <c r="D91" s="50"/>
      <c r="E91" s="38" t="s">
        <v>32</v>
      </c>
      <c r="F91" s="39">
        <v>21</v>
      </c>
      <c r="G91" s="39">
        <v>1.091</v>
      </c>
      <c r="H91" s="39"/>
      <c r="I91" s="39"/>
      <c r="J91" s="31"/>
      <c r="K91" s="39">
        <v>2</v>
      </c>
      <c r="L91" s="39"/>
      <c r="M91" s="39">
        <v>5.18</v>
      </c>
      <c r="N91" s="39">
        <f>Tabla1[[#This Row],[CANTIDAD]]*Tabla1[[#This Row],[LONGITUD]]*Tabla1[[#This Row],[N° VECES]]*Tabla1[[#This Row],[PESO]]</f>
        <v>237.35795999999996</v>
      </c>
      <c r="O91" s="37"/>
      <c r="P91" s="53"/>
    </row>
    <row r="92" spans="1:16" x14ac:dyDescent="0.25">
      <c r="A92" s="1"/>
      <c r="B92" s="46"/>
      <c r="C92" s="48"/>
      <c r="D92" s="50"/>
      <c r="E92" s="38" t="s">
        <v>32</v>
      </c>
      <c r="F92" s="39">
        <v>6</v>
      </c>
      <c r="G92" s="39">
        <v>1</v>
      </c>
      <c r="H92" s="39"/>
      <c r="I92" s="39"/>
      <c r="J92" s="31"/>
      <c r="K92" s="39">
        <v>2</v>
      </c>
      <c r="L92" s="39"/>
      <c r="M92" s="39">
        <v>5.18</v>
      </c>
      <c r="N92" s="39">
        <f>Tabla1[[#This Row],[CANTIDAD]]*Tabla1[[#This Row],[LONGITUD]]*Tabla1[[#This Row],[N° VECES]]*Tabla1[[#This Row],[PESO]]</f>
        <v>62.16</v>
      </c>
      <c r="O92" s="37"/>
      <c r="P92" s="53"/>
    </row>
    <row r="93" spans="1:16" x14ac:dyDescent="0.25">
      <c r="A93" s="1"/>
      <c r="B93" s="46"/>
      <c r="C93" s="48"/>
      <c r="D93" s="50"/>
      <c r="E93" s="38" t="s">
        <v>32</v>
      </c>
      <c r="F93" s="39">
        <v>6</v>
      </c>
      <c r="G93" s="39">
        <v>1.08</v>
      </c>
      <c r="H93" s="39"/>
      <c r="I93" s="39"/>
      <c r="J93" s="31"/>
      <c r="K93" s="39">
        <v>2</v>
      </c>
      <c r="L93" s="39"/>
      <c r="M93" s="39">
        <v>5.18</v>
      </c>
      <c r="N93" s="39">
        <f>Tabla1[[#This Row],[CANTIDAD]]*Tabla1[[#This Row],[LONGITUD]]*Tabla1[[#This Row],[N° VECES]]*Tabla1[[#This Row],[PESO]]</f>
        <v>67.132800000000003</v>
      </c>
      <c r="O93" s="37"/>
      <c r="P93" s="53"/>
    </row>
    <row r="94" spans="1:16" x14ac:dyDescent="0.25">
      <c r="A94" s="1"/>
      <c r="B94" s="46"/>
      <c r="C94" s="48"/>
      <c r="D94" s="50"/>
      <c r="E94" s="38" t="s">
        <v>26</v>
      </c>
      <c r="F94" s="39">
        <v>12</v>
      </c>
      <c r="G94" s="39">
        <v>2.42</v>
      </c>
      <c r="H94" s="39"/>
      <c r="I94" s="39"/>
      <c r="J94" s="31"/>
      <c r="K94" s="39">
        <v>2</v>
      </c>
      <c r="L94" s="39"/>
      <c r="M94" s="39">
        <v>6.06</v>
      </c>
      <c r="N94" s="39">
        <f>Tabla1[[#This Row],[CANTIDAD]]*Tabla1[[#This Row],[LONGITUD]]*Tabla1[[#This Row],[N° VECES]]*Tabla1[[#This Row],[PESO]]</f>
        <v>351.96479999999997</v>
      </c>
      <c r="O94" s="37"/>
      <c r="P94" s="53"/>
    </row>
    <row r="95" spans="1:16" x14ac:dyDescent="0.25">
      <c r="A95" s="1"/>
      <c r="B95" s="46"/>
      <c r="C95" s="48"/>
      <c r="D95" s="50"/>
      <c r="E95" s="38" t="s">
        <v>26</v>
      </c>
      <c r="F95" s="39">
        <v>2</v>
      </c>
      <c r="G95" s="39">
        <v>3.33</v>
      </c>
      <c r="H95" s="39"/>
      <c r="I95" s="39"/>
      <c r="J95" s="31"/>
      <c r="K95" s="39">
        <v>2</v>
      </c>
      <c r="L95" s="39"/>
      <c r="M95" s="39">
        <v>6.06</v>
      </c>
      <c r="N95" s="39">
        <f>Tabla1[[#This Row],[CANTIDAD]]*Tabla1[[#This Row],[LONGITUD]]*Tabla1[[#This Row],[N° VECES]]*Tabla1[[#This Row],[PESO]]</f>
        <v>80.719200000000001</v>
      </c>
      <c r="O95" s="37"/>
      <c r="P95" s="53"/>
    </row>
    <row r="96" spans="1:16" x14ac:dyDescent="0.25">
      <c r="A96" s="1"/>
      <c r="B96" s="46"/>
      <c r="C96" s="48"/>
      <c r="D96" s="50"/>
      <c r="E96" s="38" t="s">
        <v>26</v>
      </c>
      <c r="F96" s="39">
        <v>4</v>
      </c>
      <c r="G96" s="39">
        <v>3.028</v>
      </c>
      <c r="H96" s="39"/>
      <c r="I96" s="39"/>
      <c r="J96" s="31"/>
      <c r="K96" s="39">
        <v>2</v>
      </c>
      <c r="L96" s="39"/>
      <c r="M96" s="39">
        <v>6.06</v>
      </c>
      <c r="N96" s="39">
        <f>Tabla1[[#This Row],[CANTIDAD]]*Tabla1[[#This Row],[LONGITUD]]*Tabla1[[#This Row],[N° VECES]]*Tabla1[[#This Row],[PESO]]</f>
        <v>146.79743999999999</v>
      </c>
      <c r="O96" s="37"/>
      <c r="P96" s="53"/>
    </row>
    <row r="97" spans="1:16" x14ac:dyDescent="0.25">
      <c r="A97" s="1"/>
      <c r="B97" s="46"/>
      <c r="C97" s="48"/>
      <c r="D97" s="50"/>
      <c r="E97" s="38" t="s">
        <v>27</v>
      </c>
      <c r="F97" s="39">
        <v>30</v>
      </c>
      <c r="G97" s="39">
        <v>2.4</v>
      </c>
      <c r="H97" s="39"/>
      <c r="I97" s="39"/>
      <c r="J97" s="31"/>
      <c r="K97" s="39">
        <v>2</v>
      </c>
      <c r="L97" s="39"/>
      <c r="M97" s="39">
        <v>3.6255500000000001</v>
      </c>
      <c r="N97" s="39">
        <f>Tabla1[[#This Row],[CANTIDAD]]*Tabla1[[#This Row],[LONGITUD]]*Tabla1[[#This Row],[N° VECES]]*Tabla1[[#This Row],[PESO]]</f>
        <v>522.07920000000001</v>
      </c>
      <c r="O97" s="37"/>
      <c r="P97" s="53"/>
    </row>
    <row r="98" spans="1:16" x14ac:dyDescent="0.25">
      <c r="A98" s="1"/>
      <c r="B98" s="46"/>
      <c r="C98" s="48"/>
      <c r="D98" s="50"/>
      <c r="E98" s="38" t="s">
        <v>27</v>
      </c>
      <c r="F98" s="39">
        <v>3</v>
      </c>
      <c r="G98" s="39">
        <v>4</v>
      </c>
      <c r="H98" s="39"/>
      <c r="I98" s="39"/>
      <c r="J98" s="31"/>
      <c r="K98" s="39">
        <v>2</v>
      </c>
      <c r="L98" s="39"/>
      <c r="M98" s="39">
        <v>3.6255500000000001</v>
      </c>
      <c r="N98" s="39">
        <f>Tabla1[[#This Row],[CANTIDAD]]*Tabla1[[#This Row],[LONGITUD]]*Tabla1[[#This Row],[N° VECES]]*Tabla1[[#This Row],[PESO]]</f>
        <v>87.013199999999998</v>
      </c>
      <c r="O98" s="37"/>
      <c r="P98" s="53"/>
    </row>
    <row r="99" spans="1:16" x14ac:dyDescent="0.25">
      <c r="A99" s="1"/>
      <c r="B99" s="47"/>
      <c r="C99" s="49"/>
      <c r="D99" s="51"/>
      <c r="E99" s="38" t="s">
        <v>31</v>
      </c>
      <c r="F99" s="39">
        <v>12</v>
      </c>
      <c r="G99" s="39">
        <v>3.028</v>
      </c>
      <c r="H99" s="39"/>
      <c r="I99" s="39"/>
      <c r="J99" s="31"/>
      <c r="K99" s="39">
        <v>2</v>
      </c>
      <c r="L99" s="39"/>
      <c r="M99" s="39">
        <v>2.2349999999999999</v>
      </c>
      <c r="N99" s="39">
        <f>Tabla1[[#This Row],[CANTIDAD]]*Tabla1[[#This Row],[LONGITUD]]*Tabla1[[#This Row],[N° VECES]]*Tabla1[[#This Row],[PESO]]</f>
        <v>162.42191999999997</v>
      </c>
      <c r="O99" s="37"/>
      <c r="P99" s="54"/>
    </row>
    <row r="100" spans="1:16" x14ac:dyDescent="0.25">
      <c r="A100" s="1"/>
      <c r="B100" s="46"/>
      <c r="C100" s="48"/>
      <c r="D100" s="50"/>
      <c r="E100" s="38" t="s">
        <v>31</v>
      </c>
      <c r="F100" s="39">
        <v>12</v>
      </c>
      <c r="G100" s="39">
        <v>1.0389999999999999</v>
      </c>
      <c r="H100" s="39"/>
      <c r="I100" s="39"/>
      <c r="J100" s="31"/>
      <c r="K100" s="39">
        <v>2</v>
      </c>
      <c r="L100" s="39"/>
      <c r="M100" s="39">
        <v>2.2349999999999999</v>
      </c>
      <c r="N100" s="39">
        <f>Tabla1[[#This Row],[CANTIDAD]]*Tabla1[[#This Row],[LONGITUD]]*Tabla1[[#This Row],[N° VECES]]*Tabla1[[#This Row],[PESO]]</f>
        <v>55.731959999999994</v>
      </c>
      <c r="O100" s="37"/>
      <c r="P100" s="44"/>
    </row>
    <row r="101" spans="1:16" x14ac:dyDescent="0.25">
      <c r="A101" s="1"/>
      <c r="B101" s="46"/>
      <c r="C101" s="48"/>
      <c r="D101" s="50"/>
      <c r="E101" s="65" t="s">
        <v>108</v>
      </c>
      <c r="F101" s="36"/>
      <c r="G101" s="64"/>
      <c r="H101" s="37"/>
      <c r="I101" s="37"/>
      <c r="J101" s="37"/>
      <c r="K101" s="37"/>
      <c r="L101" s="37"/>
      <c r="M101" s="37"/>
      <c r="N101" s="37"/>
      <c r="O101" s="37"/>
      <c r="P101" s="43"/>
    </row>
    <row r="102" spans="1:16" x14ac:dyDescent="0.25">
      <c r="A102" s="1"/>
      <c r="B102" s="46"/>
      <c r="C102" s="48"/>
      <c r="D102" s="50"/>
      <c r="E102" s="57" t="s">
        <v>86</v>
      </c>
      <c r="F102" s="39">
        <v>33</v>
      </c>
      <c r="G102" s="39">
        <v>6</v>
      </c>
      <c r="H102" s="39"/>
      <c r="I102" s="39"/>
      <c r="J102" s="39"/>
      <c r="K102" s="39">
        <v>1</v>
      </c>
      <c r="L102" s="39"/>
      <c r="M102" s="39">
        <f>31.14/6</f>
        <v>5.19</v>
      </c>
      <c r="N102" s="39">
        <f>+PRODUCT(F102:I102)*K102*Tabla1[[#This Row],[PESO]]</f>
        <v>1027.6200000000001</v>
      </c>
      <c r="O102" s="37"/>
      <c r="P102" s="44"/>
    </row>
    <row r="103" spans="1:16" x14ac:dyDescent="0.25">
      <c r="A103" s="1"/>
      <c r="B103" s="46"/>
      <c r="C103" s="48"/>
      <c r="D103" s="50"/>
      <c r="E103" s="57" t="s">
        <v>87</v>
      </c>
      <c r="F103" s="39">
        <v>88</v>
      </c>
      <c r="G103" s="39">
        <v>6</v>
      </c>
      <c r="H103" s="39"/>
      <c r="I103" s="39"/>
      <c r="J103" s="31"/>
      <c r="K103" s="39">
        <v>1</v>
      </c>
      <c r="L103" s="39"/>
      <c r="M103" s="39">
        <f>36.43/6</f>
        <v>6.0716666666666663</v>
      </c>
      <c r="N103" s="39">
        <f>+PRODUCT(F103:I103)*K103*Tabla1[[#This Row],[PESO]]</f>
        <v>3205.8399999999997</v>
      </c>
      <c r="O103" s="37"/>
      <c r="P103" s="44"/>
    </row>
    <row r="104" spans="1:16" x14ac:dyDescent="0.25">
      <c r="A104" s="1"/>
      <c r="B104" s="46"/>
      <c r="C104" s="48"/>
      <c r="D104" s="50"/>
      <c r="E104" s="57" t="s">
        <v>88</v>
      </c>
      <c r="F104" s="39">
        <v>42</v>
      </c>
      <c r="G104" s="39">
        <v>6</v>
      </c>
      <c r="H104" s="39"/>
      <c r="I104" s="39"/>
      <c r="J104" s="31"/>
      <c r="K104" s="39">
        <v>1</v>
      </c>
      <c r="L104" s="39"/>
      <c r="M104" s="39">
        <f>20.16/6</f>
        <v>3.36</v>
      </c>
      <c r="N104" s="39">
        <f>+PRODUCT(F104:I104)*K104*Tabla1[[#This Row],[PESO]]</f>
        <v>846.71999999999991</v>
      </c>
      <c r="O104" s="37"/>
      <c r="P104" s="44"/>
    </row>
    <row r="105" spans="1:16" x14ac:dyDescent="0.25">
      <c r="A105" s="1"/>
      <c r="B105" s="46"/>
      <c r="C105" s="48"/>
      <c r="D105" s="50"/>
      <c r="E105" s="57" t="s">
        <v>75</v>
      </c>
      <c r="F105" s="39">
        <v>56</v>
      </c>
      <c r="G105" s="39">
        <v>1</v>
      </c>
      <c r="H105" s="39"/>
      <c r="I105" s="39"/>
      <c r="J105" s="31"/>
      <c r="K105" s="39">
        <v>1</v>
      </c>
      <c r="L105" s="39"/>
      <c r="M105" s="39">
        <v>40</v>
      </c>
      <c r="N105" s="39">
        <f>+PRODUCT(F105:I105)*K105*Tabla1[[#This Row],[PESO]]</f>
        <v>2240</v>
      </c>
      <c r="O105" s="37"/>
      <c r="P105" s="53"/>
    </row>
    <row r="106" spans="1:16" x14ac:dyDescent="0.25">
      <c r="A106" s="1"/>
      <c r="B106" s="41"/>
      <c r="C106" s="30"/>
      <c r="D106" s="34" t="s">
        <v>66</v>
      </c>
      <c r="E106" s="35" t="s">
        <v>67</v>
      </c>
      <c r="F106" s="36"/>
      <c r="G106" s="37"/>
      <c r="H106" s="37"/>
      <c r="I106" s="37"/>
      <c r="J106" s="37"/>
      <c r="K106" s="37"/>
      <c r="L106" s="37"/>
      <c r="M106" s="37"/>
      <c r="N106" s="37"/>
      <c r="O106" s="37">
        <f>+SUM(N107:N109)</f>
        <v>404</v>
      </c>
      <c r="P106" s="43" t="s">
        <v>15</v>
      </c>
    </row>
    <row r="107" spans="1:16" x14ac:dyDescent="0.25">
      <c r="A107" s="1"/>
      <c r="B107" s="46"/>
      <c r="C107" s="48"/>
      <c r="D107" s="50"/>
      <c r="E107" s="57" t="s">
        <v>111</v>
      </c>
      <c r="F107" s="39">
        <v>140</v>
      </c>
      <c r="G107" s="39"/>
      <c r="H107" s="39"/>
      <c r="I107" s="39"/>
      <c r="J107" s="31"/>
      <c r="K107" s="39">
        <v>1</v>
      </c>
      <c r="L107" s="39"/>
      <c r="M107" s="39"/>
      <c r="N107" s="39">
        <f>+PRODUCT(F107:I107)*K107</f>
        <v>140</v>
      </c>
      <c r="O107" s="37"/>
      <c r="P107" s="44"/>
    </row>
    <row r="108" spans="1:16" x14ac:dyDescent="0.25">
      <c r="A108" s="1"/>
      <c r="B108" s="46"/>
      <c r="C108" s="48"/>
      <c r="D108" s="50"/>
      <c r="E108" s="57" t="s">
        <v>112</v>
      </c>
      <c r="F108" s="39">
        <v>140</v>
      </c>
      <c r="G108" s="39"/>
      <c r="H108" s="39"/>
      <c r="I108" s="39"/>
      <c r="J108" s="31"/>
      <c r="K108" s="39">
        <v>1</v>
      </c>
      <c r="L108" s="39"/>
      <c r="M108" s="39"/>
      <c r="N108" s="39">
        <f>+PRODUCT(F108:I108)*K108</f>
        <v>140</v>
      </c>
      <c r="O108" s="37"/>
      <c r="P108" s="44"/>
    </row>
    <row r="109" spans="1:16" x14ac:dyDescent="0.25">
      <c r="A109" s="1"/>
      <c r="B109" s="47"/>
      <c r="C109" s="49"/>
      <c r="D109" s="51"/>
      <c r="E109" s="57" t="s">
        <v>113</v>
      </c>
      <c r="F109" s="39">
        <v>124</v>
      </c>
      <c r="G109" s="39"/>
      <c r="H109" s="39"/>
      <c r="I109" s="39"/>
      <c r="J109" s="39"/>
      <c r="K109" s="39">
        <v>1</v>
      </c>
      <c r="L109" s="39"/>
      <c r="M109" s="39"/>
      <c r="N109" s="39">
        <f>+PRODUCT(F109:I109)*K109</f>
        <v>124</v>
      </c>
      <c r="O109" s="37"/>
      <c r="P109" s="54"/>
    </row>
  </sheetData>
  <phoneticPr fontId="11" type="noConversion"/>
  <pageMargins left="0.23622047244094491" right="0.23622047244094491" top="0.23622047244094491" bottom="0.74803149606299213" header="0.15748031496062992" footer="0.31496062992125984"/>
  <pageSetup scale="54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Jonathan Espinoza Caballero</dc:creator>
  <cp:lastModifiedBy>Guido Jonathan Espinoza Caballero</cp:lastModifiedBy>
  <cp:lastPrinted>2025-11-20T12:31:46Z</cp:lastPrinted>
  <dcterms:created xsi:type="dcterms:W3CDTF">2025-11-20T12:21:35Z</dcterms:created>
  <dcterms:modified xsi:type="dcterms:W3CDTF">2025-11-20T16:17:49Z</dcterms:modified>
</cp:coreProperties>
</file>