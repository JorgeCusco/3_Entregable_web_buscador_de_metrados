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sumen Metrado" sheetId="1" r:id="rId5"/>
    <sheet state="hidden" name="Metrado Estructuras" sheetId="2" r:id="rId6"/>
    <sheet state="visible" name="METRADO" sheetId="3" r:id="rId7"/>
    <sheet state="hidden" name="Hoja1" sheetId="4" r:id="rId8"/>
  </sheets>
  <definedNames>
    <definedName name="hhghghghgggggg">#REF!</definedName>
    <definedName name="TRTRETERTRTERTRTE">#REF!</definedName>
    <definedName name="CAR">#REF!</definedName>
    <definedName name="qa">#REF!</definedName>
    <definedName name="INI_CEMENTO">#REF!</definedName>
    <definedName name="Valor_Contrato">#REF!</definedName>
    <definedName name="PROPIO">#REF!</definedName>
    <definedName name="dfggf">#REF!</definedName>
    <definedName name="_ABANCAY">#REF!</definedName>
    <definedName name="RFDG">#REF!</definedName>
    <definedName name="ASIST.PERSONALS4">#REF!</definedName>
    <definedName name="ZZZZZZZZZZZZZZZZZZZZZZZZ">#REF!</definedName>
    <definedName name="podnfgrtevdeovifmchdgftr123546sc">#REF!</definedName>
    <definedName name="PAT_3_M">#REF!</definedName>
    <definedName name="mmdiciembre">#REF!</definedName>
    <definedName name="K02_0103">#REF!</definedName>
    <definedName name="rocio">#REF!</definedName>
    <definedName name="aas">#REF!</definedName>
    <definedName name="carajo">#REF!</definedName>
    <definedName name="DFDFD">#REF!</definedName>
    <definedName name="ASDASD">#REF!</definedName>
    <definedName name="ccccc">#REF!</definedName>
    <definedName name="PIURA">#REF!</definedName>
    <definedName name="mmm">#REF!</definedName>
    <definedName name="OÑIIY">#REF!</definedName>
    <definedName name="delCINCO">#REF!</definedName>
    <definedName name="DADA">#REF!</definedName>
    <definedName name="AS142HJNDR">#REF!</definedName>
    <definedName name="fnvkdnklgtrmtrlñ">#REF!</definedName>
    <definedName name="QAQAQA">#REF!</definedName>
    <definedName name="SENATI">#REF!</definedName>
    <definedName name="PRECIO_ACEITE">#REF!</definedName>
    <definedName name="zxczxzs">#REF!</definedName>
    <definedName name="GFDFDDFGFGDFGDFGDFGFDGF">#REF!</definedName>
    <definedName name="sdfghjkcvbnrtyusldkfhgj">#REF!</definedName>
    <definedName name="_PA1">#REF!</definedName>
    <definedName name="_HOJ2">#REF!</definedName>
    <definedName name="TAREA">#REF!</definedName>
    <definedName name="zd">#REF!</definedName>
    <definedName name="vbvbvbvbgbg">#REF!</definedName>
    <definedName name="EXCAVACION">#REF!</definedName>
    <definedName name="__HOJ1">#REF!</definedName>
    <definedName name="AREA">#REF!</definedName>
    <definedName name="part519">#REF!</definedName>
    <definedName name="DC_1">#REF!</definedName>
    <definedName name="dfdsfdsfsdfsdfsd">#REF!</definedName>
    <definedName name="PR3_1NT_M">#REF!</definedName>
    <definedName name="jui">#REF!</definedName>
    <definedName name="DIS">#REF!</definedName>
    <definedName name="formato26">#REF!</definedName>
    <definedName name="HOME_OFFICE">#REF!</definedName>
    <definedName name="Prog02_01">#REF!</definedName>
    <definedName name="TH">#REF!</definedName>
    <definedName name="_PISCO">#REF!</definedName>
    <definedName name="WQREQWR">#REF!</definedName>
    <definedName name="EL_COLLAO">#REF!</definedName>
    <definedName name="JUAN1">#REF!</definedName>
    <definedName name="GGD">#REF!</definedName>
    <definedName name="Q">#REF!</definedName>
    <definedName name="SEÑALIZACIONANT">#REF!</definedName>
    <definedName name="k01_0204">#REF!</definedName>
    <definedName name="VAL03_03">#REF!</definedName>
    <definedName name="V.VENTA_1">#REF!</definedName>
    <definedName name="guido">#REF!</definedName>
    <definedName name="FWEFEW">#REF!</definedName>
    <definedName name="VB">#REF!</definedName>
    <definedName name="SDDFASFD">#REF!</definedName>
    <definedName name="RV">#REF!</definedName>
    <definedName name="____HOJ4">#REF!</definedName>
    <definedName name="_BOLIVAR">#REF!</definedName>
    <definedName name="part523.A">#REF!</definedName>
    <definedName name="A_6">#REF!</definedName>
    <definedName name="VAL03_04">#REF!</definedName>
    <definedName name="formato21">#REF!</definedName>
    <definedName name="Mu">#REF!</definedName>
    <definedName name="raf">#REF!</definedName>
    <definedName name="CALEN">#REF!</definedName>
    <definedName name="gdfgfdgdf">#REF!</definedName>
    <definedName name="aaa">#REF!</definedName>
    <definedName name="A_IMPRESI_N_IM">#REF!</definedName>
    <definedName name="fsdfsgsgs">#REF!</definedName>
    <definedName name="k02_0204">#REF!</definedName>
    <definedName name="POPO">#REF!</definedName>
    <definedName name="FER">#REF!</definedName>
    <definedName name="formato201">#REF!</definedName>
    <definedName name="OP">#REF!</definedName>
    <definedName name="CARGO1">#REF!</definedName>
    <definedName name="Excel_BuiltIn_Print_Area_1">#REF!</definedName>
    <definedName name="mmjulio">#REF!</definedName>
    <definedName name="su">#REF!</definedName>
    <definedName name="GHYJYUKGWEGERH">#REF!</definedName>
    <definedName name="mmenero">#REF!</definedName>
    <definedName name="TS_2">#REF!</definedName>
    <definedName name="DSD">#REF!</definedName>
    <definedName name="EXCAVACIONNANT1">#REF!</definedName>
    <definedName name="GGGGR">#REF!</definedName>
    <definedName name="rtyy">#REF!</definedName>
    <definedName name="_MOQUEGUA">#REF!</definedName>
    <definedName name="EFRG">#REF!</definedName>
    <definedName name="K">#REF!</definedName>
    <definedName name="Inicio59">#REF!</definedName>
    <definedName name="AssZ_A">#REF!</definedName>
    <definedName name="Capt">#REF!</definedName>
    <definedName name="DFCS">#REF!</definedName>
    <definedName name="milestone">#REF!</definedName>
    <definedName name="WWW">#REF!</definedName>
    <definedName name="PROY">#REF!</definedName>
    <definedName name="_HUALGAYOC">#REF!</definedName>
    <definedName name="resumen1">#REF!</definedName>
    <definedName name="OPERADORES">#REF!</definedName>
    <definedName name="Clase">#REF!</definedName>
    <definedName name="PA3_1N_M">#REF!</definedName>
    <definedName name="MACII">#REF!</definedName>
    <definedName name="_CAJAMARCA">#REF!</definedName>
    <definedName name="OP_1">#REF!</definedName>
    <definedName name="CONCHAN">#REF!</definedName>
    <definedName name="INCID">#REF!</definedName>
    <definedName name="reto">#REF!</definedName>
    <definedName name="FInicio">#REF!</definedName>
    <definedName name="Mov_Faena">#REF!</definedName>
    <definedName name="xGraph11">#REF!</definedName>
    <definedName name="PRECIO_COMB_1">#REF!</definedName>
    <definedName name="DIAMETROS">#REF!</definedName>
    <definedName name="SSSS">#REF!</definedName>
    <definedName name="_____A1">#REF!</definedName>
    <definedName name="DSDSDSDSDS">#REF!</definedName>
    <definedName name="DGDFGDDDD">#REF!</definedName>
    <definedName name="SMM_1P">#REF!</definedName>
    <definedName name="CONSTRUCTOR">#REF!</definedName>
    <definedName name="DAILY">#REF!</definedName>
    <definedName name="TOMAS">#REF!</definedName>
    <definedName name="A_16">#REF!</definedName>
    <definedName name="IUJKHNMJTGFLPO90">#REF!</definedName>
    <definedName name="TASKS">#REF!</definedName>
    <definedName name="NRO">#REF!</definedName>
    <definedName name="zxzzxxzxzxzxz">#REF!</definedName>
    <definedName name="graph0">#REF!</definedName>
    <definedName name="METR">#REF!</definedName>
    <definedName name="TRAMPA">#REF!</definedName>
    <definedName name="_____________PAG1">#REF!</definedName>
    <definedName name="CANCURS">#REF!</definedName>
    <definedName name="B">#REF!</definedName>
    <definedName name="trttt">#REF!</definedName>
    <definedName name="CXCX">#REF!</definedName>
    <definedName name="ncmvnfhgrtsudpgkvmd">#REF!</definedName>
    <definedName name="_TALARA">#REF!</definedName>
    <definedName name="_LIMA_">#REF!</definedName>
    <definedName name="GGR">#REF!</definedName>
    <definedName name="hghggggggggggg">#REF!</definedName>
    <definedName name="PAB_C_AES">#REF!</definedName>
    <definedName name="OFICINA_TOPOGRAFIA">#REF!</definedName>
    <definedName name="cndhfgvnlfpwbsjvkv12584665122">#REF!</definedName>
    <definedName name="BO_OTROS">#REF!</definedName>
    <definedName name="_SANTA">#REF!</definedName>
    <definedName name="_LP02">#REF!</definedName>
    <definedName name="_HUANCANE">#REF!</definedName>
    <definedName name="_kjdkw7">#REF!</definedName>
    <definedName name="HGGHGHG">#REF!</definedName>
    <definedName name="_CAO4">#REF!</definedName>
    <definedName name="PPTOANAL">#REF!</definedName>
    <definedName name="n">#REF!</definedName>
    <definedName name="VIO">#REF!</definedName>
    <definedName name="CDATE">#REF!</definedName>
    <definedName name="PLANCHA">#REF!</definedName>
    <definedName name="SMM_2P">#REF!</definedName>
    <definedName name="MMUL">#REF!</definedName>
    <definedName name="TF">#REF!</definedName>
    <definedName name="EXPORT">#REF!</definedName>
    <definedName name="ESEST">#REF!</definedName>
    <definedName name="InvInc_Equ">#REF!</definedName>
    <definedName name="COSTO_GENERAL_STEP_04">#REF!</definedName>
    <definedName name="adyt">#REF!</definedName>
    <definedName name="HJHJHJHJH">#REF!</definedName>
    <definedName name="almacen">#REF!</definedName>
    <definedName name="WEWE">#REF!</definedName>
    <definedName name="SAS">#REF!</definedName>
    <definedName name="AQWEDS">#REF!</definedName>
    <definedName name="_Ago1">#REF!</definedName>
    <definedName name="_AZANGARO">#REF!</definedName>
    <definedName name="_ACOMAYO">#REF!</definedName>
    <definedName name="_fs">#REF!</definedName>
    <definedName name="adsdfas">#REF!</definedName>
    <definedName name="Maestro_Mayor_Estructuras">#REF!</definedName>
    <definedName name="crooooo">#REF!</definedName>
    <definedName name="plazo">#REF!</definedName>
    <definedName name="amer">#REF!</definedName>
    <definedName name="hghghghghgh">#REF!</definedName>
    <definedName name="PA3_1N">#REF!</definedName>
    <definedName name="_Regression_Y">#REF!</definedName>
    <definedName name="CURVA">#REF!</definedName>
    <definedName name="JJ">#REF!</definedName>
    <definedName name="part525">#REF!</definedName>
    <definedName name="marco">#REF!</definedName>
    <definedName name="DFSDS">#REF!</definedName>
    <definedName name="PSEC_3NP">#REF!</definedName>
    <definedName name="GAMK">#REF!</definedName>
    <definedName name="vcvxcvcxv">#REF!</definedName>
    <definedName name="dolar">#REF!</definedName>
    <definedName name="JJJ">#REF!</definedName>
    <definedName name="_Regression_Out">#REF!</definedName>
    <definedName name="patah">#REF!</definedName>
    <definedName name="NOMRS">#REF!</definedName>
    <definedName name="T">#REF!</definedName>
    <definedName name="DAILY4">#REF!</definedName>
    <definedName name="GGG">#REF!</definedName>
    <definedName name="C_A1">#REF!</definedName>
    <definedName name="MILE">#REF!</definedName>
    <definedName name="_MAY94">#REF!</definedName>
    <definedName name="ASDASDAS">#REF!</definedName>
    <definedName name="INSUMOS">#REF!</definedName>
    <definedName name="VAL03_01">#REF!</definedName>
    <definedName name="fgfdgdfd">#REF!</definedName>
    <definedName name="NE">#REF!</definedName>
    <definedName name="_SANCHEZ_CARRION">#REF!</definedName>
    <definedName name="Choca">#REF!</definedName>
    <definedName name="_HUANCAVELICA">#REF!</definedName>
    <definedName name="part_101">#REF!</definedName>
    <definedName name="vcxvxcvxc">#REF!</definedName>
    <definedName name="PAB_B_AES">#REF!</definedName>
    <definedName name="HHHHHHHHHHHHHHHHHHH">#REF!</definedName>
    <definedName name="SCERFR">#REF!</definedName>
    <definedName name="InvInc_Mat">#REF!</definedName>
    <definedName name="CURVASSSSXX">#REF!</definedName>
    <definedName name="mmmmm">#REF!</definedName>
    <definedName name="COMPROVANTES">#REF!</definedName>
    <definedName name="gh">#REF!</definedName>
    <definedName name="__del9">#REF!</definedName>
    <definedName name="_INS2">#REF!</definedName>
    <definedName name="RV_S">#REF!</definedName>
    <definedName name="_SAN_ANTONIO_DE_PUTINA">#REF!</definedName>
    <definedName name="_SANDIA">#REF!</definedName>
    <definedName name="mes">#REF!</definedName>
    <definedName name="JJJJJJJJJJJJJJJJJJJ">#REF!</definedName>
    <definedName name="AG">#REF!</definedName>
    <definedName name="IS">#REF!</definedName>
    <definedName name="SEM">#REF!</definedName>
    <definedName name="LEVEL">#REF!</definedName>
    <definedName name="K03_0998">#REF!</definedName>
    <definedName name="weswedgikolp">#REF!</definedName>
    <definedName name="fasdfasaw">#REF!</definedName>
    <definedName name="P.VENTA">#REF!</definedName>
    <definedName name="abcdef">#REF!</definedName>
    <definedName name="AFP">#REF!</definedName>
    <definedName name="_UCAYALI">#REF!</definedName>
    <definedName name="msm">#REF!</definedName>
    <definedName name="P_FORPU">#REF!</definedName>
    <definedName name="ppopopopopo">#REF!</definedName>
    <definedName name="FINAL">#REF!</definedName>
    <definedName name="J">#REF!</definedName>
    <definedName name="TAREOOCTUBRE">#REF!</definedName>
    <definedName name="CANCURP">#REF!</definedName>
    <definedName name="ASFA">#REF!</definedName>
    <definedName name="DAILY5">#REF!</definedName>
    <definedName name="mm">#REF!</definedName>
    <definedName name="ASASASD">#REF!</definedName>
    <definedName name="LUGAR">#REF!</definedName>
    <definedName name="bxfsd">#REF!</definedName>
    <definedName name="metramm">#REF!</definedName>
    <definedName name="fsfsfwf">#REF!</definedName>
    <definedName name="LlegaB2">#REF!</definedName>
    <definedName name="ASDFGHHJUBJKLLPOI">#REF!</definedName>
    <definedName name="K01_0303">#REF!</definedName>
    <definedName name="PA3_2">#REF!</definedName>
    <definedName name="COSTO_POSESION1">#REF!</definedName>
    <definedName name="__123Graph_XGraph14">#REF!</definedName>
    <definedName name="JKBCJEH">#REF!</definedName>
    <definedName name="EDSESAXZ234212222222222222222">#REF!</definedName>
    <definedName name="__del43">#REF!</definedName>
    <definedName name="DAILY7">#REF!</definedName>
    <definedName name="_MORROPON">#REF!</definedName>
    <definedName name="CERCE">#REF!</definedName>
    <definedName name="CIRO">#REF!</definedName>
    <definedName name="_SAN_MARTIN_">#REF!</definedName>
    <definedName name="AGREGADO">#REF!</definedName>
    <definedName name="xxdonmvgfv">#REF!</definedName>
    <definedName name="OPEP2">#REF!</definedName>
    <definedName name="Monto_Anticipo">#REF!</definedName>
    <definedName name="PAB_A_AES">#REF!</definedName>
    <definedName name="_CTZ1">#REF!</definedName>
    <definedName name="pileta">#REF!</definedName>
    <definedName name="OLOL">#REF!</definedName>
    <definedName name="__h1">#REF!</definedName>
    <definedName name="NOMRP">#REF!</definedName>
    <definedName name="GGF">#REF!</definedName>
    <definedName name="E">#REF!</definedName>
    <definedName name="formato29">#REF!</definedName>
    <definedName name="GTTJU">#REF!</definedName>
    <definedName name="INI_FORMALETA">#REF!</definedName>
    <definedName name="PSEC_3N">#REF!</definedName>
    <definedName name="_CONDESUYOS">#REF!</definedName>
    <definedName name="GASSEM">#REF!</definedName>
    <definedName name="CONSOLIDADOF3">#REF!</definedName>
    <definedName name="_____HOJ2">#REF!</definedName>
    <definedName name="PR3_3NT">#REF!</definedName>
    <definedName name="JKJHKJHKH">#REF!</definedName>
    <definedName name="impuestos">#REF!</definedName>
    <definedName name="CDO_03">#REF!</definedName>
    <definedName name="INFSOSEM">#REF!</definedName>
    <definedName name="Moneda">#REF!</definedName>
    <definedName name="_SANTIAGO_DE_CHUCO">#REF!</definedName>
    <definedName name="__OP1">#REF!</definedName>
    <definedName name="LL_2">#REF!</definedName>
    <definedName name="__________________PAG1">#REF!</definedName>
    <definedName name="UU">#REF!</definedName>
    <definedName name="PSEC_3P">#REF!</definedName>
    <definedName name="monitor">#REF!</definedName>
    <definedName name="MF">#REF!</definedName>
    <definedName name="formato202">#REF!</definedName>
    <definedName name="_HUANUCO">#REF!</definedName>
    <definedName name="_Fill">#REF!</definedName>
    <definedName name="cxzczxcz">#REF!</definedName>
    <definedName name="OIOIOIOI">#REF!</definedName>
    <definedName name="PSEC_2">#REF!</definedName>
    <definedName name="CODIGO_2">#REF!</definedName>
    <definedName name="__CAO8">#REF!</definedName>
    <definedName name="k02_1003">#REF!</definedName>
    <definedName name="Base_datos_IM">#REF!</definedName>
    <definedName name="_Sep11">#REF!</definedName>
    <definedName name="LIMA">#REF!</definedName>
    <definedName name="Acumul03">#REF!</definedName>
    <definedName name="A_17">#REF!</definedName>
    <definedName name="__del27">#REF!</definedName>
    <definedName name="_SAN_IGNACIO">#REF!</definedName>
    <definedName name="k02_0603">#REF!</definedName>
    <definedName name="INSULATION">#REF!</definedName>
    <definedName name="______HOJ3">#REF!</definedName>
    <definedName name="VAL03_07">#REF!</definedName>
    <definedName name="vbbbvv">#REF!</definedName>
    <definedName name="es">#REF!</definedName>
    <definedName name="pa">#REF!</definedName>
    <definedName name="_LEONCIO_PRADO">#REF!</definedName>
    <definedName name="vcxvcx">#REF!</definedName>
    <definedName name="nuevo1">#REF!</definedName>
    <definedName name="__h2">#REF!</definedName>
    <definedName name="MNBNKM">#REF!</definedName>
    <definedName name="CXZCCXCXCZCZX">#REF!</definedName>
    <definedName name="A">#REF!</definedName>
    <definedName name="vcvcvcvcvc">#REF!</definedName>
    <definedName name="jhgk">#REF!</definedName>
    <definedName name="PAB_D_EST">#REF!</definedName>
    <definedName name="______PAG1">#REF!</definedName>
    <definedName name="Criteria">#REF!</definedName>
    <definedName name="VALORIZACION">#REF!</definedName>
    <definedName name="PTV_3N">#REF!</definedName>
    <definedName name="fgfgfgfg">#REF!</definedName>
    <definedName name="_PATAZ">#REF!</definedName>
    <definedName name="REY">#REF!</definedName>
    <definedName name="CONCL">#REF!</definedName>
    <definedName name="vbvbvbvbvbvbb">#REF!</definedName>
    <definedName name="gdfgfdgd">#REF!</definedName>
    <definedName name="POSTES">#REF!</definedName>
    <definedName name="QTYFCT">#REF!</definedName>
    <definedName name="mloljlj">#REF!</definedName>
    <definedName name="MECHANICAL">#REF!</definedName>
    <definedName name="ram">#REF!</definedName>
    <definedName name="ASA">#REF!</definedName>
    <definedName name="OK">#REF!</definedName>
    <definedName name="PR3_2N">#REF!</definedName>
    <definedName name="MAFG">#REF!</definedName>
    <definedName name="SADFASEFDSDFSDFSDFSDFSDF">#REF!</definedName>
    <definedName name="_MOYOBAMBA">#REF!</definedName>
    <definedName name="hgfhgfhfgh">#REF!</definedName>
    <definedName name="COSTO_GENERAL_STEP_04B">#REF!</definedName>
    <definedName name="alDIECIOCHO">#REF!</definedName>
    <definedName name="__123Graph_XGraph13">#REF!</definedName>
    <definedName name="FCXCXCXCX">#REF!</definedName>
    <definedName name="P_G_2">#REF!</definedName>
    <definedName name="hghghghghghghg">#REF!</definedName>
    <definedName name="PR3_2">#REF!</definedName>
    <definedName name="_________HOJ2">#REF!</definedName>
    <definedName name="E_3_1">#REF!</definedName>
    <definedName name="pat_3">#REF!</definedName>
    <definedName name="YYYYY">#REF!</definedName>
    <definedName name="AGUA">#REF!</definedName>
    <definedName name="TAREOZ">#REF!</definedName>
    <definedName name="SMM_2N">#REF!</definedName>
    <definedName name="sfss">#REF!</definedName>
    <definedName name="lalalala">#REF!</definedName>
    <definedName name="PROYECTO">#REF!</definedName>
    <definedName name="RATE01">#REF!</definedName>
    <definedName name="_SIHUAS">#REF!</definedName>
    <definedName name="SW">#REF!</definedName>
    <definedName name="_52132">#REF!</definedName>
    <definedName name="CABEC_2">#REF!</definedName>
    <definedName name="Orden_Perfil">#REF!</definedName>
    <definedName name="nbnbnb">#REF!</definedName>
    <definedName name="alVEINTITRES">#REF!</definedName>
    <definedName name="MA">#REF!</definedName>
    <definedName name="Descuento_Especial_Anticipo">#REF!</definedName>
    <definedName name="___HOJ2">#REF!</definedName>
    <definedName name="PAT_2E">#REF!</definedName>
    <definedName name="gfcgc">#REF!</definedName>
    <definedName name="FR">#REF!</definedName>
    <definedName name="QQQQQQQQQQQQ">#REF!</definedName>
    <definedName name="FDB">#REF!</definedName>
    <definedName name="RRTT">#REF!</definedName>
    <definedName name="aaaaaaaaaaaaaaaa">#REF!</definedName>
    <definedName name="EE">#REF!</definedName>
    <definedName name="KLK">#REF!</definedName>
    <definedName name="Operador_Maquinaria_Liviana">#REF!</definedName>
    <definedName name="_PASCO_">#REF!</definedName>
    <definedName name="K01_0203">#REF!</definedName>
    <definedName name="Extracción_IM">#REF!</definedName>
    <definedName name="hcsjdhibhv">#REF!</definedName>
    <definedName name="JGHJGHJ">#REF!</definedName>
    <definedName name="AQAQAQAQAQ">#REF!</definedName>
    <definedName name="__PAG1">#REF!</definedName>
    <definedName name="_YAULI">#REF!</definedName>
    <definedName name="________HOJ1">#REF!</definedName>
    <definedName name="Llega21">#REF!</definedName>
    <definedName name="fafdas">#REF!</definedName>
    <definedName name="PA3_2N">#REF!</definedName>
    <definedName name="PR3_0_M">#REF!</definedName>
    <definedName name="hghgggggggggggggggggggggggg">#REF!</definedName>
    <definedName name="ABRIEL">#REF!</definedName>
    <definedName name="hty76878uyth">#REF!</definedName>
    <definedName name="part534.A">#REF!</definedName>
    <definedName name="costo_directo">#REF!</definedName>
    <definedName name="Plan.met">#REF!</definedName>
    <definedName name="META">#REF!</definedName>
    <definedName name="__123Graph_XGraph16">#REF!</definedName>
    <definedName name="REAJUSTE">#REF!</definedName>
    <definedName name="TP">#REF!</definedName>
    <definedName name="xcvcvc">#REF!</definedName>
    <definedName name="_RP02">#REF!</definedName>
    <definedName name="PRECIOS_A">#REF!</definedName>
    <definedName name="_PAG2">#REF!</definedName>
    <definedName name="PS1_1N_M">#REF!</definedName>
    <definedName name="K01_0199">#REF!</definedName>
    <definedName name="PSV_3">#REF!</definedName>
    <definedName name="bloque2">#REF!</definedName>
    <definedName name="Orden_Fierro">#REF!</definedName>
    <definedName name="lista2">#REF!</definedName>
    <definedName name="_PASCO">#REF!</definedName>
    <definedName name="GHHGHGHG">#REF!</definedName>
    <definedName name="CALENDARIO">#REF!</definedName>
    <definedName name="Inicio62">#REF!</definedName>
    <definedName name="_CORONGO">#REF!</definedName>
    <definedName name="PAT_1">#REF!</definedName>
    <definedName name="TTH">#REF!</definedName>
    <definedName name="PAST_M">#REF!</definedName>
    <definedName name="GGHGGGGGG">#REF!</definedName>
    <definedName name="sxsxsx">#REF!</definedName>
    <definedName name="K03_1198">#REF!</definedName>
    <definedName name="SI">#REF!</definedName>
    <definedName name="kkkkksdsdsds">#REF!</definedName>
    <definedName name="PTV_1NT">#REF!</definedName>
    <definedName name="HJUYYYYY">#REF!</definedName>
    <definedName name="OPOIOI">#REF!</definedName>
    <definedName name="mmmayo">#REF!</definedName>
    <definedName name="PRECIO">#REF!</definedName>
    <definedName name="li">#REF!</definedName>
    <definedName name="sfsd">#REF!</definedName>
    <definedName name="PTV_1N">#REF!</definedName>
    <definedName name="XASXAS">#REF!</definedName>
    <definedName name="k02_0104">#REF!</definedName>
    <definedName name="Llega28">#REF!</definedName>
    <definedName name="_HOJ1">#REF!</definedName>
    <definedName name="_OXAPAMPA">#REF!</definedName>
    <definedName name="LLEGA8">#REF!</definedName>
    <definedName name="kjkjkjkjkjkjkkkkkk">#REF!</definedName>
    <definedName name="nuevasfebrero">#REF!</definedName>
    <definedName name="NHBNHG">#REF!</definedName>
    <definedName name="JHJHJHJHJHJ">#REF!</definedName>
    <definedName name="STB">#REF!</definedName>
    <definedName name="control">#REF!</definedName>
    <definedName name="formato31">#REF!</definedName>
    <definedName name="_CAO8">#REF!</definedName>
    <definedName name="formato03">#REF!</definedName>
    <definedName name="IIII">#REF!</definedName>
    <definedName name="__123Graph_AGraph11">#REF!</definedName>
    <definedName name="DIRECTO">#REF!</definedName>
    <definedName name="_CHEPEN">#REF!</definedName>
    <definedName name="sdfnhgnfgnfgbsdvsdcax">#REF!</definedName>
    <definedName name="Altreintaicuatro">#REF!</definedName>
    <definedName name="CONSUMO_ACEITE">#REF!</definedName>
    <definedName name="ASDAS">#REF!</definedName>
    <definedName name="_FERREÑAFE">#REF!</definedName>
    <definedName name="OPVO3">#REF!</definedName>
    <definedName name="LKILK">#REF!</definedName>
    <definedName name="sssssssssss">#REF!</definedName>
    <definedName name="Tabla_Tareas">#REF!</definedName>
    <definedName name="_CHOTA">#REF!</definedName>
    <definedName name="HOLYDAYS">#REF!</definedName>
    <definedName name="AMBIENTEANT">#REF!</definedName>
    <definedName name="KKIIKH">#REF!</definedName>
    <definedName name="P_RESUMEN">#REF!</definedName>
    <definedName name="FGD">#REF!</definedName>
    <definedName name="BJ">#REF!</definedName>
    <definedName name="ESTAADO">#REF!</definedName>
    <definedName name="week1">#REF!</definedName>
    <definedName name="iuiuiuiuiuiu">#REF!</definedName>
    <definedName name="EXC">#REF!</definedName>
    <definedName name="MONTAJE">#REF!</definedName>
    <definedName name="COLUM">#REF!</definedName>
    <definedName name="_APURIMAC">#REF!</definedName>
    <definedName name="Inicio21">#REF!</definedName>
    <definedName name="dsdsdsds">#REF!</definedName>
    <definedName name="FHGH">#REF!</definedName>
    <definedName name="DRA_PIURA___3">#REF!</definedName>
    <definedName name="_PUERTO_INCA">#REF!</definedName>
    <definedName name="TTYRTRTRTR">#REF!</definedName>
    <definedName name="_PUNO">#REF!</definedName>
    <definedName name="AZU">#REF!</definedName>
    <definedName name="UIUUIUIU">#REF!</definedName>
    <definedName name="REPORTE">#REF!</definedName>
    <definedName name="grtret">#REF!</definedName>
    <definedName name="_CORONEL_PORTILLO">#REF!</definedName>
    <definedName name="cu_fam">#REF!</definedName>
    <definedName name="ASUS">#REF!</definedName>
    <definedName name="Equipos">#REF!</definedName>
    <definedName name="PORCC">#REF!</definedName>
    <definedName name="dcfvgbhnjutykop">#REF!</definedName>
    <definedName name="xzxzxzxzxzxz">#REF!</definedName>
    <definedName name="SAAas">#REF!</definedName>
    <definedName name="IÑOÑIOÑ">#REF!</definedName>
    <definedName name="OBRA">#REF!</definedName>
    <definedName name="ghy">#REF!</definedName>
    <definedName name="_CHANCHAMAYO">#REF!</definedName>
    <definedName name="SEGF">#REF!</definedName>
    <definedName name="HHT">#REF!</definedName>
    <definedName name="Prog01_03">#REF!</definedName>
    <definedName name="señora_k">#REF!</definedName>
    <definedName name="WWWWQ">#REF!</definedName>
    <definedName name="GFGFDGFDGFD">#REF!</definedName>
    <definedName name="DOCUMENTO">#REF!</definedName>
    <definedName name="_Parse_Out">#REF!</definedName>
    <definedName name="Prog01_01">#REF!</definedName>
    <definedName name="OZ">#REF!</definedName>
    <definedName name="Maestro_Obra_Gruesa">#REF!</definedName>
    <definedName name="_AMAZONAS">#REF!</definedName>
    <definedName name="_CARABAYA">#REF!</definedName>
    <definedName name="VALORI">#REF!</definedName>
    <definedName name="K03_0399">#REF!</definedName>
    <definedName name="_CHURCAMPA">#REF!</definedName>
    <definedName name="k01_0304">#REF!</definedName>
    <definedName name="INICIAL">#REF!</definedName>
    <definedName name="hgjhg">#REF!</definedName>
    <definedName name="A_5">#REF!</definedName>
    <definedName name="____PAG1">#REF!</definedName>
    <definedName name="dsf">#REF!</definedName>
    <definedName name="CONTRATISTA">#REF!</definedName>
    <definedName name="_OTUZCO">#REF!</definedName>
    <definedName name="_LORETO_">#REF!</definedName>
    <definedName name="k02_0304">#REF!</definedName>
    <definedName name="TOTO">#REF!</definedName>
    <definedName name="E_4">#REF!</definedName>
    <definedName name="CT_CAM">#REF!</definedName>
    <definedName name="________HOJ2">#REF!</definedName>
    <definedName name="bnvbchdgftrudmjfhgtt">#REF!</definedName>
    <definedName name="sdzsdzs">#REF!</definedName>
    <definedName name="Orden_Cemento">#REF!</definedName>
    <definedName name="LUM_70">#REF!</definedName>
    <definedName name="aD">#REF!</definedName>
    <definedName name="Orden_Concreto">#REF!</definedName>
    <definedName name="PAST_M_MT">#REF!</definedName>
    <definedName name="dfghjklpoiuyybnm">#REF!</definedName>
    <definedName name="_HOJ32">#REF!</definedName>
    <definedName name="Botaderos1">#REF!</definedName>
    <definedName name="viuda">#REF!</definedName>
    <definedName name="PTV_0_M">#REF!</definedName>
    <definedName name="fg.5">#REF!</definedName>
    <definedName name="JGHJHGJHGJGHJGHHGJGH">#REF!</definedName>
    <definedName name="Prog03_05">#REF!</definedName>
    <definedName name="_MET2">#REF!</definedName>
    <definedName name="SUMMARY">#REF!</definedName>
    <definedName name="_CANDARAVE">#REF!</definedName>
    <definedName name="__PAG2">#REF!</definedName>
    <definedName name="Z2W">#REF!</definedName>
    <definedName name="Graficos">#REF!</definedName>
    <definedName name="jhhjghjhg">#REF!</definedName>
    <definedName name="K02_0599">#REF!</definedName>
    <definedName name="FFFFFFFFFFFFFFFFF">#REF!</definedName>
    <definedName name="PTO">#REF!</definedName>
    <definedName name="sddddddddddddddd">#REF!</definedName>
    <definedName name="DAVID">#REF!</definedName>
    <definedName name="__123Graph_AGraph17">#REF!</definedName>
    <definedName name="__123Graph_XGraph17">#REF!</definedName>
    <definedName name="K02_1298">#REF!</definedName>
    <definedName name="_SAN_MARTIN">#REF!</definedName>
    <definedName name="alCINCO">#REF!</definedName>
    <definedName name="___h1">#REF!</definedName>
    <definedName name="INI_GRAVA">#REF!</definedName>
    <definedName name="PCV">#REF!</definedName>
    <definedName name="cesar">#REF!</definedName>
    <definedName name="mmmdesague">#REF!</definedName>
    <definedName name="_TODOS">#REF!</definedName>
    <definedName name="ydulfñiulh">#REF!</definedName>
    <definedName name="_JAEN">#REF!</definedName>
    <definedName name="CODIGO">#REF!</definedName>
    <definedName name="ANCHOS">#REF!</definedName>
    <definedName name="EEE">#REF!</definedName>
    <definedName name="METRADO">#REF!</definedName>
    <definedName name="YUO">#REF!</definedName>
    <definedName name="DIAS_EN_FAENA">#REF!</definedName>
    <definedName name="A_ENC">#REF!</definedName>
    <definedName name="LINEA23">#REF!</definedName>
    <definedName name="_SANTA_CRUZ">#REF!</definedName>
    <definedName name="________PAG1">#REF!</definedName>
    <definedName name="hhhhhhhhhhhhhhhh">#REF!</definedName>
    <definedName name="año">#REF!</definedName>
    <definedName name="__123Graph_AGraph15">#REF!</definedName>
    <definedName name="XVCVCXVC">#REF!</definedName>
    <definedName name="SA">#REF!</definedName>
    <definedName name="formato16">#REF!</definedName>
    <definedName name="IOÑIOÑ">#REF!</definedName>
    <definedName name="planilla">#REF!</definedName>
    <definedName name="NOMCURS">#REF!</definedName>
    <definedName name="_MET1">#REF!</definedName>
    <definedName name="GL">#REF!</definedName>
    <definedName name="KITENI">#REF!</definedName>
    <definedName name="E_1_1S">#REF!</definedName>
    <definedName name="_MULTIDEPARTAMENTAL">#REF!</definedName>
    <definedName name="_ANTABAMBA">#REF!</definedName>
    <definedName name="MAmbiente1">#REF!</definedName>
    <definedName name="BuiltIn_Print_Area___0">#REF!</definedName>
    <definedName name="modificado">#REF!</definedName>
    <definedName name="HHC">#REF!</definedName>
    <definedName name="DSADA">#REF!</definedName>
    <definedName name="CONCLD">#REF!</definedName>
    <definedName name="TTTT">#REF!</definedName>
    <definedName name="JGYUGKHUKGYU">#REF!</definedName>
    <definedName name="COSTO_DIRECTO_STEP_02B">#REF!</definedName>
    <definedName name="AUX">#REF!</definedName>
    <definedName name="AlQuince">#REF!</definedName>
    <definedName name="fondo_de_garantia">#REF!</definedName>
    <definedName name="ZQAXWS">#REF!</definedName>
    <definedName name="ddsdsdsds">#REF!</definedName>
    <definedName name="IKIKIKIKI">#REF!</definedName>
    <definedName name="LUG">#REF!</definedName>
    <definedName name="KKK">#REF!</definedName>
    <definedName name="ResExpTec">#REF!</definedName>
    <definedName name="clicu">#REF!</definedName>
    <definedName name="SDVSFDVSFD">#REF!</definedName>
    <definedName name="vcvvcvc">#REF!</definedName>
    <definedName name="Carlosalvarez">#REF!</definedName>
    <definedName name="AR">#REF!</definedName>
    <definedName name="Llega41">#REF!</definedName>
    <definedName name="TAREO">#REF!</definedName>
    <definedName name="QWD">#REF!</definedName>
    <definedName name="DFDGFGF">#REF!</definedName>
    <definedName name="CANMRP">#REF!</definedName>
    <definedName name="COSTO_EQUIPOS_STEP_03">#REF!</definedName>
    <definedName name="E_2">#REF!</definedName>
    <definedName name="LOLO">#REF!</definedName>
    <definedName name="CCCC">#REF!</definedName>
    <definedName name="NMVHJVJHVJHB">#REF!</definedName>
    <definedName name="KL">#REF!</definedName>
    <definedName name="SEY">#REF!</definedName>
    <definedName name="PRECIO_GRASA">#REF!</definedName>
    <definedName name="FEFE">#REF!</definedName>
    <definedName name="PR3_0">#REF!</definedName>
    <definedName name="dxp">#REF!</definedName>
    <definedName name="FFDFDFDF">#REF!</definedName>
    <definedName name="DDDDDDDDDDDD">#REF!</definedName>
    <definedName name="ased">#REF!</definedName>
    <definedName name="zxzxzxz">#REF!</definedName>
    <definedName name="QWWESDSFVXV">#REF!</definedName>
    <definedName name="_Regression_X">#REF!</definedName>
    <definedName name="Inicio25">#REF!</definedName>
    <definedName name="wew">#REF!</definedName>
    <definedName name="BO_GRAVA">#REF!</definedName>
    <definedName name="tox">#REF!</definedName>
    <definedName name="_TRUJILLO">#REF!</definedName>
    <definedName name="_CASTILLA">#REF!</definedName>
    <definedName name="_PARINACOCHAS">#REF!</definedName>
    <definedName name="qwer">#REF!</definedName>
    <definedName name="_2ACTION_REQUIRED">#REF!</definedName>
    <definedName name="LIQU">#REF!</definedName>
    <definedName name="cu_pec">#REF!</definedName>
    <definedName name="long">#REF!</definedName>
    <definedName name="HORAS1">#REF!</definedName>
    <definedName name="DAILY9">#REF!</definedName>
    <definedName name="sf">#REF!</definedName>
    <definedName name="K02_0303">#REF!</definedName>
    <definedName name="BuiltIn_Print_Area___0___0">#REF!</definedName>
    <definedName name="dasdasass">#REF!</definedName>
    <definedName name="QQQQQQQ">#REF!</definedName>
    <definedName name="AAAAAAAAA">#REF!</definedName>
    <definedName name="PED">#REF!</definedName>
    <definedName name="_ICA">#REF!</definedName>
    <definedName name="VBB">#REF!</definedName>
    <definedName name="DC_1T">#REF!</definedName>
    <definedName name="aB">#REF!</definedName>
    <definedName name="mayra">#REF!</definedName>
    <definedName name="cvb">#REF!</definedName>
    <definedName name="_ILO">#REF!</definedName>
    <definedName name="cxcxzczczzzzzz">#REF!</definedName>
    <definedName name="UT">#REF!</definedName>
    <definedName name="rango">#REF!</definedName>
    <definedName name="DRA_PIURA__5">#REF!</definedName>
    <definedName name="LISTADO">#REF!</definedName>
    <definedName name="CABEC_1">#REF!</definedName>
    <definedName name="dr">#REF!</definedName>
    <definedName name="RR">#REF!</definedName>
    <definedName name="_MAYNAS">#REF!</definedName>
    <definedName name="SEÑALIZACION">#REF!</definedName>
    <definedName name="_SD_F">#REF!</definedName>
    <definedName name="YONI">#REF!</definedName>
    <definedName name="dsadasdsada">#REF!</definedName>
    <definedName name="xxxxxxxxxx">#REF!</definedName>
    <definedName name="GUAR">#REF!</definedName>
    <definedName name="FDSGS">#REF!</definedName>
    <definedName name="formato_1">#REF!</definedName>
    <definedName name="rango2">#REF!</definedName>
    <definedName name="K02_0499">#REF!</definedName>
    <definedName name="__123Graph_XGraph7">#REF!</definedName>
    <definedName name="cnfgcbetsrdhfkevpofv4416868">#REF!</definedName>
    <definedName name="tdfyfjhol">#REF!</definedName>
    <definedName name="BO_SUMINISTRO">#REF!</definedName>
    <definedName name="kjp">#REF!</definedName>
    <definedName name="BVBVVBV">#REF!</definedName>
    <definedName name="Cr">#REF!</definedName>
    <definedName name="FGDGFDGDFGDFGFD">#REF!</definedName>
    <definedName name="CONSUMO_D2">#REF!</definedName>
    <definedName name="PA1_1N">#REF!</definedName>
    <definedName name="sobremetas">#REF!</definedName>
    <definedName name="SDSDSDDS">#REF!</definedName>
    <definedName name="QQQQQ">#REF!</definedName>
    <definedName name="ptm">#REF!</definedName>
    <definedName name="AporComu">#REF!</definedName>
    <definedName name="NJJKJH">#REF!</definedName>
    <definedName name="COSTO_DIRECTO_DE_OBRA_STEP_03">#REF!</definedName>
    <definedName name="COTI">#REF!</definedName>
    <definedName name="Prog03_03">#REF!</definedName>
    <definedName name="inftredgfcbvfgtrde">#REF!</definedName>
    <definedName name="acosta">#REF!</definedName>
    <definedName name="DAILY10">#REF!</definedName>
    <definedName name="alTREITICINCO">#REF!</definedName>
    <definedName name="alc">#REF!</definedName>
    <definedName name="cxcxvcvc">#REF!</definedName>
    <definedName name="_TACNA">#REF!</definedName>
    <definedName name="zxcxzcxzcxz">#REF!</definedName>
    <definedName name="dfdfdfdsfds">#REF!</definedName>
    <definedName name="_LORETO">#REF!</definedName>
    <definedName name="bcvb">#REF!</definedName>
    <definedName name="E_2_1">#REF!</definedName>
    <definedName name="_PALLASCA">#REF!</definedName>
    <definedName name="ESE">#REF!</definedName>
    <definedName name="_HUAROCHIRI">#REF!</definedName>
    <definedName name="cam">#REF!</definedName>
    <definedName name="señalizavion">#REF!</definedName>
    <definedName name="________HOJ3">#REF!</definedName>
    <definedName name="__123Graph_XGRA2">#REF!</definedName>
    <definedName name="INI_CONCRETOS">#REF!</definedName>
    <definedName name="DUDA">#REF!</definedName>
    <definedName name="ANCHO2">#REF!</definedName>
    <definedName name="UBICACION">#REF!</definedName>
    <definedName name="WR">#REF!</definedName>
    <definedName name="formato10">#REF!</definedName>
    <definedName name="ENTIDAD">#REF!</definedName>
    <definedName name="E_5">#REF!</definedName>
    <definedName name="bbbbb">#REF!</definedName>
    <definedName name="PS1_3NT">#REF!</definedName>
    <definedName name="EXCAVACION.">#REF!</definedName>
    <definedName name="CVXVC">#REF!</definedName>
    <definedName name="RESP">#REF!</definedName>
    <definedName name="_CAO1">#REF!</definedName>
    <definedName name="PRV_3">#REF!</definedName>
    <definedName name="_CAYLLOMA">#REF!</definedName>
    <definedName name="E_2S">#REF!</definedName>
    <definedName name="hjgfhjfghf">#REF!</definedName>
    <definedName name="DA">#REF!</definedName>
    <definedName name="MO.">#REF!</definedName>
    <definedName name="bvcb">#REF!</definedName>
    <definedName name="IP_MANO_DE_OBRA_STEP_02B">#REF!</definedName>
    <definedName name="JHGJGHJHGJHGJHGJ">#REF!</definedName>
    <definedName name="__CAO4">#REF!</definedName>
    <definedName name="hgjhgjhg">#REF!</definedName>
    <definedName name="HTHT">#REF!</definedName>
    <definedName name="qwertesd">#REF!</definedName>
    <definedName name="VALLO">#REF!</definedName>
    <definedName name="NIVEL">#REF!</definedName>
    <definedName name="_MARISCAL_NIETO">#REF!</definedName>
    <definedName name="XVCVCXVCX">#REF!</definedName>
    <definedName name="alCINCUENTA">#REF!</definedName>
    <definedName name="_CAMANA">#REF!</definedName>
    <definedName name="GRG">#REF!</definedName>
    <definedName name="nnk">#REF!</definedName>
    <definedName name="TEMPORARY_FACIL">#REF!</definedName>
    <definedName name="K01_0299">#REF!</definedName>
    <definedName name="adelanto_con_igv">#REF!</definedName>
    <definedName name="qq">#REF!</definedName>
    <definedName name="Maestro1__Cañerías_Piping">#REF!</definedName>
    <definedName name="RESIDENTE">#REF!</definedName>
    <definedName name="_UTCUBAMBA">#REF!</definedName>
    <definedName name="MAESTRO">#REF!</definedName>
    <definedName name="_HUAMANGA">#REF!</definedName>
    <definedName name="TEO">#REF!</definedName>
    <definedName name="afasdfasf">#REF!</definedName>
    <definedName name="PSER_0">#REF!</definedName>
    <definedName name="BuiltIn_Print_Titles">#REF!</definedName>
    <definedName name="BuiltIn_Print_Area">#REF!</definedName>
    <definedName name="FFDFDFD">#REF!</definedName>
    <definedName name="_ATALAYA">#REF!</definedName>
    <definedName name="ret">#REF!</definedName>
    <definedName name="GRGR">#REF!</definedName>
    <definedName name="CONCLUSI">#REF!</definedName>
    <definedName name="Imprimir_área_IM">#REF!</definedName>
    <definedName name="JGHJHGJHGJHGJHGJGHJGHJHG">#REF!</definedName>
    <definedName name="OUIOPOPOPO">#REF!</definedName>
    <definedName name="bnmnbm">#REF!</definedName>
    <definedName name="XVCVCVVV">#REF!</definedName>
    <definedName name="cmh">#REF!</definedName>
    <definedName name="FIERRO">#REF!</definedName>
    <definedName name="An">#REF!</definedName>
    <definedName name="KKKK">#REF!</definedName>
    <definedName name="NOMMRS">#REF!</definedName>
    <definedName name="SD">#REF!</definedName>
    <definedName name="alVEINTICINCO">#REF!</definedName>
    <definedName name="DS_2">#REF!</definedName>
    <definedName name="CONCLU">#REF!</definedName>
    <definedName name="alVEINTIOCHO">#REF!</definedName>
    <definedName name="ghh">#REF!</definedName>
    <definedName name="VENT">#REF!</definedName>
    <definedName name="_HUARAZ">#REF!</definedName>
    <definedName name="_21326">#REF!</definedName>
    <definedName name="Excel_BuiltIn__FilterDatabase_1">#REF!</definedName>
    <definedName name="MUNO">#REF!</definedName>
    <definedName name="INSET">#REF!</definedName>
    <definedName name="djfhrgtsferdkvlfvmnbkjf">#REF!</definedName>
    <definedName name="PA3_0">#REF!</definedName>
    <definedName name="WWWWWWW">#REF!</definedName>
    <definedName name="jytuhyjg">#REF!</definedName>
    <definedName name="PA3_3">#REF!</definedName>
    <definedName name="COSTO_SUBCONTRATOS_STEP_02">#REF!</definedName>
    <definedName name="PUERTAS">#REF!</definedName>
    <definedName name="G">#REF!</definedName>
    <definedName name="COST1">#REF!</definedName>
    <definedName name="CP">#REF!</definedName>
    <definedName name="_AMBO">#REF!</definedName>
    <definedName name="_YAUYOS">#REF!</definedName>
    <definedName name="Llega18">#REF!</definedName>
    <definedName name="TERMINO">#REF!</definedName>
    <definedName name="qwe">#REF!</definedName>
    <definedName name="_CHUMBIVILCAS">#REF!</definedName>
    <definedName name="formato07">#REF!</definedName>
    <definedName name="uf">#REF!</definedName>
    <definedName name="MT">#REF!</definedName>
    <definedName name="Cro">#REF!</definedName>
    <definedName name="SBM_1P">#REF!</definedName>
    <definedName name="FAAAAA">#REF!</definedName>
    <definedName name="K02_0998">#REF!</definedName>
    <definedName name="INSTRUMENTATION">#REF!</definedName>
    <definedName name="Milestones">#REF!</definedName>
    <definedName name="K03_0499">#REF!</definedName>
    <definedName name="yjuhgj">#REF!</definedName>
    <definedName name="dxscdxfcdvfcgbcvh">#REF!</definedName>
    <definedName name="Valor_no_Afect.">#REF!</definedName>
    <definedName name="RES">#REF!</definedName>
    <definedName name="ñlklj">#REF!</definedName>
    <definedName name="_CARLOS_FERMIN_FITZCARRALD">#REF!</definedName>
    <definedName name="OUIOUIOIUOIU">#REF!</definedName>
    <definedName name="dsadsads">#REF!</definedName>
    <definedName name="CARGO">#REF!</definedName>
    <definedName name="xcxcxcx">#REF!</definedName>
    <definedName name="An_puen">#REF!</definedName>
    <definedName name="STEP">#REF!</definedName>
    <definedName name="RENDIMIENTO_DE_EQUIPOS_STEP_08">#REF!</definedName>
    <definedName name="CZXCXZCZCZX">#REF!</definedName>
    <definedName name="swaswdefcd">#REF!</definedName>
    <definedName name="miriam">#REF!</definedName>
    <definedName name="LOLOLOL">#REF!</definedName>
    <definedName name="OPVO5">#REF!</definedName>
    <definedName name="_MANU">#REF!</definedName>
    <definedName name="FAASFAFA">#REF!</definedName>
    <definedName name="abc">#REF!</definedName>
    <definedName name="pppp">#REF!</definedName>
    <definedName name="nbnbnbnb">#REF!</definedName>
    <definedName name="FDSFSDFDSFDSFDS">#REF!</definedName>
    <definedName name="BVBCVBVC">#REF!</definedName>
    <definedName name="MAQUINA1">#REF!</definedName>
    <definedName name="ffffffff">#REF!</definedName>
    <definedName name="_AYMARAES">#REF!</definedName>
    <definedName name="KHBK">#REF!</definedName>
    <definedName name="EDADCDZFFE">#REF!</definedName>
    <definedName name="VA">#REF!</definedName>
    <definedName name="VARIOSANT.">#REF!</definedName>
    <definedName name="GRGRG">#REF!</definedName>
    <definedName name="formato17">#REF!</definedName>
    <definedName name="__123Graph_AGraph6">#REF!</definedName>
    <definedName name="PU">#REF!</definedName>
    <definedName name="SAA">#REF!</definedName>
    <definedName name="CUADERNO">#REF!</definedName>
    <definedName name="clial">#REF!</definedName>
    <definedName name="FGFBFB">#REF!</definedName>
    <definedName name="ELECTRICAL">#REF!</definedName>
    <definedName name="qqqq">#REF!</definedName>
    <definedName name="PAB_01_EST">#REF!</definedName>
    <definedName name="qwasewsdrxcdsx">#REF!</definedName>
    <definedName name="CAP">#REF!</definedName>
    <definedName name="QWQSA12SS">#REF!</definedName>
    <definedName name="art">#REF!</definedName>
    <definedName name="rep">#REF!</definedName>
    <definedName name="CVO">#REF!</definedName>
    <definedName name="fczxcz">#REF!</definedName>
    <definedName name="copia">#REF!</definedName>
    <definedName name="_ACM2">#REF!</definedName>
    <definedName name="VOL_TUB_DESC">#REF!</definedName>
    <definedName name="kj">#REF!</definedName>
    <definedName name="COSUMO_D2_2">#REF!</definedName>
    <definedName name="CERCO_EST">#REF!</definedName>
    <definedName name="sadsadsa">#REF!</definedName>
    <definedName name="PA2_1NT_M">#REF!</definedName>
    <definedName name="Inicio63">#REF!</definedName>
    <definedName name="Acarreo">#REF!</definedName>
    <definedName name="GUIAMAT">#REF!</definedName>
    <definedName name="PTV_0">#REF!</definedName>
    <definedName name="dsa">#REF!</definedName>
    <definedName name="K02_0399">#REF!</definedName>
    <definedName name="__HOJ2">#REF!</definedName>
    <definedName name="SBM_2">#REF!</definedName>
    <definedName name="CANRS">#REF!</definedName>
    <definedName name="hhhhhhhhhhh">#REF!</definedName>
    <definedName name="XXXX">#REF!</definedName>
    <definedName name="LineaInversion">#REF!</definedName>
    <definedName name="GFHGFH">#REF!</definedName>
    <definedName name="__CAO3">#REF!</definedName>
    <definedName name="alVEINTICUATRO">#REF!</definedName>
    <definedName name="Elementos_de_Seguridad">#REF!</definedName>
    <definedName name="PA1_3N">#REF!</definedName>
    <definedName name="VALOREFERENCIAL">#REF!</definedName>
    <definedName name="MET">#REF!</definedName>
    <definedName name="PAT_2M">#REF!</definedName>
    <definedName name="Z">#REF!</definedName>
    <definedName name="PA3_0_M">#REF!</definedName>
    <definedName name="fddsfdsfsd">#REF!</definedName>
    <definedName name="jjjjhjhjh">#REF!</definedName>
    <definedName name="____h1">#REF!</definedName>
    <definedName name="ÑLÑLÑLÑ">#REF!</definedName>
    <definedName name="Prog02_04">#REF!</definedName>
    <definedName name="Preminado1">#REF!</definedName>
    <definedName name="____HOJ1">#REF!</definedName>
    <definedName name="part508">#REF!</definedName>
    <definedName name="ETW">#REF!</definedName>
    <definedName name="PR3_3N">#REF!</definedName>
    <definedName name="MMMMMM">#REF!</definedName>
    <definedName name="PA1_0">#REF!</definedName>
    <definedName name="mnmjhmb">#REF!</definedName>
    <definedName name="PTV_1NT_M">#REF!</definedName>
    <definedName name="OPVO6">#REF!</definedName>
    <definedName name="fotosssss">#REF!</definedName>
    <definedName name="K01_1203">#REF!</definedName>
    <definedName name="zi">#REF!</definedName>
    <definedName name="HOKZA">#REF!</definedName>
    <definedName name="GANSEM">#REF!</definedName>
    <definedName name="NOMNRP">#REF!</definedName>
    <definedName name="vdsdsvds">#REF!</definedName>
    <definedName name="DAILY8">#REF!</definedName>
    <definedName name="almcen">#REF!</definedName>
    <definedName name="dsdss">#REF!</definedName>
    <definedName name="__HOJ3">#REF!</definedName>
    <definedName name="DCV">#REF!</definedName>
    <definedName name="czczzc">#REF!</definedName>
    <definedName name="zcxzcxzc">#REF!</definedName>
    <definedName name="_Parse_In">#REF!</definedName>
    <definedName name="_HUANCAVELICA_">#REF!</definedName>
    <definedName name="__123Graph_XGraph8">#REF!</definedName>
    <definedName name="cba">#REF!</definedName>
    <definedName name="__CAO7">#REF!</definedName>
    <definedName name="JY">#REF!</definedName>
    <definedName name="GTG">#REF!</definedName>
    <definedName name="_RP01">#REF!</definedName>
    <definedName name="_TUMBES">#REF!</definedName>
    <definedName name="HGHGHG">#REF!</definedName>
    <definedName name="QTYBASE">#REF!</definedName>
    <definedName name="MEDIA">#REF!</definedName>
    <definedName name="DC_2">#REF!</definedName>
    <definedName name="arreglo">#REF!</definedName>
    <definedName name="GUIAAG">#REF!</definedName>
    <definedName name="VALORIZADO">#REF!</definedName>
    <definedName name="_RODRIGUEZ_DE_MENDOZA">#REF!</definedName>
    <definedName name="VBNTJHNN">#REF!</definedName>
    <definedName name="SHARED_FORMULA_1">#REF!</definedName>
    <definedName name="BGFDBDF">#REF!</definedName>
    <definedName name="dssdfsdc">#REF!</definedName>
    <definedName name="CONCQTY">#REF!</definedName>
    <definedName name="part521">#REF!</definedName>
    <definedName name="LOCT">#REF!</definedName>
    <definedName name="TGH">#REF!</definedName>
    <definedName name="SWS">#REF!</definedName>
    <definedName name="SC">#REF!</definedName>
    <definedName name="k02_0803">#REF!</definedName>
    <definedName name="qqqqqq">#REF!</definedName>
    <definedName name="Capataz_Montaje">#REF!</definedName>
    <definedName name="REBECA">#REF!</definedName>
    <definedName name="_MELGAR">#REF!</definedName>
    <definedName name="EDGAR">#REF!</definedName>
    <definedName name="k02_0903">#REF!</definedName>
    <definedName name="SSSSSSSSSSSSSS">#REF!</definedName>
    <definedName name="hbokoklkl">#REF!</definedName>
    <definedName name="FEWFEWF">#REF!</definedName>
    <definedName name="OPVO4">#REF!</definedName>
    <definedName name="AZAZAZAZ">#REF!</definedName>
    <definedName name="COND">#REF!</definedName>
    <definedName name="Cmd">#REF!</definedName>
    <definedName name="IP_MANO_DE_OBRA_STEP_02">#REF!</definedName>
    <definedName name="FREIGHT">#REF!</definedName>
    <definedName name="jhjujkjkkkk">#REF!</definedName>
    <definedName name="SHARED_FORMULA_4">#REF!</definedName>
    <definedName name="Periodos">#REF!</definedName>
    <definedName name="alOCHO">#REF!</definedName>
    <definedName name="RGRAL">#REF!</definedName>
    <definedName name="MN">#REF!</definedName>
    <definedName name="__123Graph_XGraph18">#REF!</definedName>
    <definedName name="PSEC_2N">#REF!</definedName>
    <definedName name="E_6_1S">#REF!</definedName>
    <definedName name="VGFGDFSFDSF">#REF!</definedName>
    <definedName name="__123Graph_AGraph5">#REF!</definedName>
    <definedName name="tn">#REF!</definedName>
    <definedName name="jhjhhjj">#REF!</definedName>
    <definedName name="_________HOJ1">#REF!</definedName>
    <definedName name="lklkjlj">#REF!</definedName>
    <definedName name="_TARMA">#REF!</definedName>
    <definedName name="__123Graph_AGraph9">#REF!</definedName>
    <definedName name="JUJU">#REF!</definedName>
    <definedName name="clige">#REF!</definedName>
    <definedName name="DT_0">#REF!</definedName>
    <definedName name="ZAPAT">#REF!</definedName>
    <definedName name="LKLKKKKKKKKK">#REF!</definedName>
    <definedName name="formato11">#REF!</definedName>
    <definedName name="_PIURA_">#REF!</definedName>
    <definedName name="NOMMRP">#REF!</definedName>
    <definedName name="valmes">#REF!</definedName>
    <definedName name="YDHH">#REF!</definedName>
    <definedName name="FFRF">#REF!</definedName>
    <definedName name="al24izq">#REF!</definedName>
    <definedName name="K02_0403">#REF!</definedName>
    <definedName name="ccxcxxcxcxcx">#REF!</definedName>
    <definedName name="COSTO_DIRECTO_DE_OBRA_STEP_03B">#REF!</definedName>
    <definedName name="_Dist_Bin">#REF!</definedName>
    <definedName name="___HOJ1">#REF!</definedName>
    <definedName name="_SATIPO">#REF!</definedName>
    <definedName name="ECHARATI">#REF!</definedName>
    <definedName name="A_14">#REF!</definedName>
    <definedName name="jhjhj">#REF!</definedName>
    <definedName name="INTERRUPTORES">#REF!</definedName>
    <definedName name="A_15">#REF!</definedName>
    <definedName name="ITEM">#REF!</definedName>
    <definedName name="PAST_C_MT">#REF!</definedName>
    <definedName name="PR3_1NT">#REF!</definedName>
    <definedName name="PA2_1NT">#REF!</definedName>
    <definedName name="dsdsdsadsaxzxs">#REF!</definedName>
    <definedName name="CVCXVXVC">#REF!</definedName>
    <definedName name="Soldador_Calificado_6G">#REF!</definedName>
    <definedName name="nalaitioc">#REF!</definedName>
    <definedName name="_E1">#REF!</definedName>
    <definedName name="_____PAG1">#REF!</definedName>
    <definedName name="PA2_0_M">#REF!</definedName>
    <definedName name="GG">#REF!</definedName>
    <definedName name="P_MACRO">#REF!</definedName>
    <definedName name="k01_0703">#REF!</definedName>
    <definedName name="KJHJH">#REF!</definedName>
    <definedName name="GTTY">#REF!</definedName>
    <definedName name="Print_Titles">#REF!</definedName>
    <definedName name="hgfhf">#REF!</definedName>
    <definedName name="_____n1">#REF!</definedName>
    <definedName name="GFDGFDDDDDFGDFGDFGDFGFD">#REF!</definedName>
    <definedName name="Valorización">#REF!</definedName>
    <definedName name="ABCD">#REF!</definedName>
    <definedName name="SDSDSD">#REF!</definedName>
    <definedName name="FRGR">#REF!</definedName>
    <definedName name="PAT">#REF!</definedName>
    <definedName name="DATO">#REF!</definedName>
    <definedName name="CODIGO_1">#REF!</definedName>
    <definedName name="peon">#REF!</definedName>
    <definedName name="A_11">#REF!</definedName>
    <definedName name="cvcxvxcv">#REF!</definedName>
    <definedName name="nbnbnbnbnbnbnbn">#REF!</definedName>
    <definedName name="GGGGGGG">#REF!</definedName>
    <definedName name="oper">#REF!</definedName>
    <definedName name="adsAAAAA">#REF!</definedName>
    <definedName name="XCCXZC">#REF!</definedName>
    <definedName name="cxcxcxc">#REF!</definedName>
    <definedName name="nuevasmayo">#REF!</definedName>
    <definedName name="eeeeee">#REF!</definedName>
    <definedName name="DESGGHUKKOPLKJHH">#REF!</definedName>
    <definedName name="_jkfdsnf">#REF!</definedName>
    <definedName name="EX">#REF!</definedName>
    <definedName name="__123Graph_AGraph18">#REF!</definedName>
    <definedName name="__MET1">#REF!</definedName>
    <definedName name="CXZCXZCXZC">#REF!</definedName>
    <definedName name="DAILY6">#REF!</definedName>
    <definedName name="PS1_0">#REF!</definedName>
    <definedName name="ARTEANT">#REF!</definedName>
    <definedName name="Criterio">#REF!</definedName>
    <definedName name="BO_ARENA">#REF!</definedName>
    <definedName name="Descuento_Movim.Tierras">#REF!</definedName>
    <definedName name="ACT">#REF!</definedName>
    <definedName name="__del29">#REF!</definedName>
    <definedName name="GLIQ">#REF!</definedName>
    <definedName name="ppp">#REF!</definedName>
    <definedName name="PSVE_3">#REF!</definedName>
    <definedName name="cmuse">#REF!</definedName>
    <definedName name="ASASAS">#REF!</definedName>
    <definedName name="_POMABAMBA">#REF!</definedName>
    <definedName name="__123Graph_AGraph8">#REF!</definedName>
    <definedName name="mvnfghcbdfrtfgyug">#REF!</definedName>
    <definedName name="_CANGALLO">#REF!</definedName>
    <definedName name="CT">#REF!</definedName>
    <definedName name="PAST_M_BT">#REF!</definedName>
    <definedName name="aC">#REF!</definedName>
    <definedName name="tfrdefgyuio9l">#REF!</definedName>
    <definedName name="OEI_03_GARANTIZAR_LA_CALIDAD_Y_COBERTURA_DE_LOS_SERVICIOS_EDUCATIVOS_CON_ENFOQUE_INCLUSIVO_PARA_LA_FORMACION_INTEGRAL_DE_LOS_ESTUDIANTES_DE_LA_REGION_DEL_CUSCO">#REF!</definedName>
    <definedName name="Cucharón">#REF!</definedName>
    <definedName name="PS1_2">#REF!</definedName>
    <definedName name="PPPPP">#REF!</definedName>
    <definedName name="ere">#REF!</definedName>
    <definedName name="hshfdhdhhdf">#REF!</definedName>
    <definedName name="CANNRS">#REF!</definedName>
    <definedName name="ASDSD">#REF!</definedName>
    <definedName name="COSTO_GENERAL_STEP_04_2">#REF!</definedName>
    <definedName name="_CAJAMARCA_">#REF!</definedName>
    <definedName name="czcxczc">#REF!</definedName>
    <definedName name="A_9">#REF!</definedName>
    <definedName name="ACERO">#REF!</definedName>
    <definedName name="_SAN_ROMAN">#REF!</definedName>
    <definedName name="part506">#REF!</definedName>
    <definedName name="sasasa">#REF!</definedName>
    <definedName name="tpor">#REF!</definedName>
    <definedName name="COSTO_EQUIPOS_STEP_03B">#REF!</definedName>
    <definedName name="ASDASDASDA">#REF!</definedName>
    <definedName name="an_sar">#REF!</definedName>
    <definedName name="FFFFFFFFFFFFFFFFFFFFF">#REF!</definedName>
    <definedName name="_______HOJ4">#REF!</definedName>
    <definedName name="__123Graph_XGraph6">#REF!</definedName>
    <definedName name="ML">#REF!</definedName>
    <definedName name="_rc">#REF!</definedName>
    <definedName name="FORMALETA">#REF!</definedName>
    <definedName name="QAAASAQASQW">#REF!</definedName>
    <definedName name="dsdssssssssss">#REF!</definedName>
    <definedName name="YTY">#REF!</definedName>
    <definedName name="alTRECE">#REF!</definedName>
    <definedName name="EDGAR1">#REF!</definedName>
    <definedName name="ÑP">#REF!</definedName>
    <definedName name="VV">#REF!</definedName>
    <definedName name="ACE">#REF!</definedName>
    <definedName name="WW">#REF!</definedName>
    <definedName name="INSU">#REF!</definedName>
    <definedName name="escaleras2">#REF!</definedName>
    <definedName name="BuiltIn_Print_Titles___0">#REF!</definedName>
    <definedName name="BFBF">#REF!</definedName>
    <definedName name="KKKKKK">#REF!</definedName>
    <definedName name="_Sep2">#REF!</definedName>
    <definedName name="jghj">#REF!</definedName>
    <definedName name="JHYUHY">#REF!</definedName>
    <definedName name="_________PAG1">#REF!</definedName>
    <definedName name="KARLA">#REF!</definedName>
    <definedName name="DRA_PIURA___5">#REF!</definedName>
    <definedName name="_ACM1">#REF!</definedName>
    <definedName name="A_19">#REF!</definedName>
    <definedName name="DP">#REF!</definedName>
    <definedName name="MOTOB_">#REF!</definedName>
    <definedName name="Descuento_Especial">#REF!</definedName>
    <definedName name="GRAVA">#REF!</definedName>
    <definedName name="Clasificación">#REF!</definedName>
    <definedName name="ALMUERZO_FAENA">#REF!</definedName>
    <definedName name="SOSEMA">#REF!</definedName>
    <definedName name="Ayudante_Obras_Civiles">#REF!</definedName>
    <definedName name="ya">#REF!</definedName>
    <definedName name="P_A_1">#REF!</definedName>
    <definedName name="SSS">#REF!</definedName>
    <definedName name="dsdsdsdsd">#REF!</definedName>
    <definedName name="gcvbb">#REF!</definedName>
    <definedName name="fdsfsfsd">#REF!</definedName>
    <definedName name="IP_EQUIPOS_STEP_01">#REF!</definedName>
    <definedName name="ARTE">#REF!</definedName>
    <definedName name="rryrt">#REF!</definedName>
    <definedName name="rgrg">#REF!</definedName>
    <definedName name="_plpk">#REF!</definedName>
    <definedName name="JUNIO">#REF!</definedName>
    <definedName name="kjtrt">#REF!</definedName>
    <definedName name="DFD">#REF!</definedName>
    <definedName name="bebe">#REF!</definedName>
    <definedName name="CANMONCRS">#REF!</definedName>
    <definedName name="_SAN_MIGUEL">#REF!</definedName>
    <definedName name="FGF">#REF!</definedName>
    <definedName name="TOTAL_ELEMENTOS_SEGURIDAD">#REF!</definedName>
    <definedName name="KES">#REF!</definedName>
    <definedName name="_BOLOGNESI">#REF!</definedName>
    <definedName name="______________PAG1">#REF!</definedName>
    <definedName name="FFFF">#REF!</definedName>
    <definedName name="_CONCEPCION">#REF!</definedName>
    <definedName name="fac">#REF!</definedName>
    <definedName name="aaaaaaaaaaaaaaaaaaa">#REF!</definedName>
    <definedName name="VALO">#REF!</definedName>
    <definedName name="PSEC_0P">#REF!</definedName>
    <definedName name="PV">#REF!</definedName>
    <definedName name="SEF">#REF!</definedName>
    <definedName name="V.VENTA">#REF!</definedName>
    <definedName name="_HUARAL">#REF!</definedName>
    <definedName name="FASFAS_CCV">#REF!</definedName>
    <definedName name="KJKKJKJ">#REF!</definedName>
    <definedName name="k01_1003">#REF!</definedName>
    <definedName name="JH">#REF!</definedName>
    <definedName name="CANMRS">#REF!</definedName>
    <definedName name="Prog01_02">#REF!</definedName>
    <definedName name="asadsfsdfs">#REF!</definedName>
    <definedName name="RENDIMIENTO_DE_EQUIPOS_STEP_16B">#REF!</definedName>
    <definedName name="_MARISCAL_CACERES">#REF!</definedName>
    <definedName name="usd">#REF!</definedName>
    <definedName name="de">#REF!</definedName>
    <definedName name="mmagosto">#REF!</definedName>
    <definedName name="DRA_PIURA___2">#REF!</definedName>
    <definedName name="PS1_1NT_M">#REF!</definedName>
    <definedName name="Llega16">#REF!</definedName>
    <definedName name="TARAY">#REF!</definedName>
    <definedName name="K02_1098">#REF!</definedName>
    <definedName name="PA1_1N_M">#REF!</definedName>
    <definedName name="AASDFASDFASD">#REF!</definedName>
    <definedName name="part526">#REF!</definedName>
    <definedName name="ddcdz">#REF!</definedName>
    <definedName name="Prog03_04">#REF!</definedName>
    <definedName name="cu_agr">#REF!</definedName>
    <definedName name="llll">#REF!</definedName>
    <definedName name="E_1S">#REF!</definedName>
    <definedName name="xxxxxxxxxxxxxx">#REF!</definedName>
    <definedName name="ren">#REF!</definedName>
    <definedName name="____HOJ3">#REF!</definedName>
    <definedName name="OIOIOIOIOIOIOI">#REF!</definedName>
    <definedName name="_HOJ3">#REF!</definedName>
    <definedName name="_INS07">#REF!</definedName>
    <definedName name="PA1_2N">#REF!</definedName>
    <definedName name="_CHACHAPOYAS">#REF!</definedName>
    <definedName name="MAQUINA_3">#REF!</definedName>
    <definedName name="SXASXX">#REF!</definedName>
    <definedName name="JHJHJHJHHHHHHH">#REF!</definedName>
    <definedName name="A_3">#REF!</definedName>
    <definedName name="bvcvcxvcc">#REF!</definedName>
    <definedName name="formato12A">#REF!</definedName>
    <definedName name="FICHA">#REF!</definedName>
    <definedName name="Graph1">#REF!</definedName>
    <definedName name="PSEC_2NP">#REF!</definedName>
    <definedName name="Tabla_Recursos">#REF!</definedName>
    <definedName name="C_A_1">#REF!</definedName>
    <definedName name="__CAO5">#REF!</definedName>
    <definedName name="_LUYA">#REF!</definedName>
    <definedName name="FECHA">#REF!</definedName>
    <definedName name="yjghjhg">#REF!</definedName>
    <definedName name="SERDEFT45">#REF!</definedName>
    <definedName name="GFDGFDGDGFGFGFGFGFG">#REF!</definedName>
    <definedName name="_MARAÑON">#REF!</definedName>
    <definedName name="LKLKLKL">#REF!</definedName>
    <definedName name="NUEVO">#REF!</definedName>
    <definedName name="PSEC_2P">#REF!</definedName>
    <definedName name="PSV_2">#REF!</definedName>
    <definedName name="XCBCZVWAEDWEWERDCVCXVBCVBNAAAAXX">#REF!</definedName>
    <definedName name="_ANDAHUAYLAS">#REF!</definedName>
    <definedName name="HYH">#REF!</definedName>
    <definedName name="__123Graph_AGraph16">#REF!</definedName>
    <definedName name="EEEEEEEEEEEEEEEEEEEEEEEEE">#REF!</definedName>
    <definedName name="KIKI">#REF!</definedName>
    <definedName name="SBM">#REF!</definedName>
    <definedName name="jkhjkhj">#REF!</definedName>
    <definedName name="CACHORRO">#REF!</definedName>
    <definedName name="xcvxcvcvcx">#REF!</definedName>
    <definedName name="SO">#REF!</definedName>
    <definedName name="__123Graph_A">#REF!</definedName>
    <definedName name="k02_1103">#REF!</definedName>
    <definedName name="_Key2">#REF!</definedName>
    <definedName name="ASXASX">#REF!</definedName>
    <definedName name="for_2">#REF!</definedName>
    <definedName name="_GRAN_CHIMU">#REF!</definedName>
    <definedName name="_JUNIN">#REF!</definedName>
    <definedName name="Llega26">#REF!</definedName>
    <definedName name="HHME">#REF!</definedName>
    <definedName name="Llega5150">#REF!</definedName>
    <definedName name="fdsfdsf">#REF!</definedName>
    <definedName name="fdgfdgfgfd">#REF!</definedName>
    <definedName name="SOSEM">#REF!</definedName>
    <definedName name="OPVO">#REF!</definedName>
    <definedName name="DT_2">#REF!</definedName>
    <definedName name="ngndfjg">#REF!</definedName>
    <definedName name="DFGG">#REF!</definedName>
    <definedName name="Jornalero">#REF!</definedName>
    <definedName name="ANEXO">#REF!</definedName>
    <definedName name="DRA_PIURA__2">#REF!</definedName>
    <definedName name="CRONOGRAMALINEAL">#REF!</definedName>
    <definedName name="_ACM3">#REF!</definedName>
    <definedName name="rem">#REF!</definedName>
    <definedName name="VAL03_06">#REF!</definedName>
    <definedName name="_VIRU">#REF!</definedName>
    <definedName name="fdzg">#REF!</definedName>
    <definedName name="igv">#REF!</definedName>
    <definedName name="aportes">#REF!</definedName>
    <definedName name="_ASCOPE">#REF!</definedName>
    <definedName name="__del42">#REF!</definedName>
    <definedName name="DDD">#REF!</definedName>
    <definedName name="E_6_1">#REF!</definedName>
    <definedName name="CRONOGRAMA">#REF!</definedName>
    <definedName name="COLEGIO">#REF!</definedName>
    <definedName name="PAT_M">#REF!</definedName>
    <definedName name="DSFSDF">#REF!</definedName>
    <definedName name="MENU">#REF!</definedName>
    <definedName name="dsadasdasd">#REF!</definedName>
    <definedName name="dedewdew">#REF!</definedName>
    <definedName name="dsadas">#REF!</definedName>
    <definedName name="SDSDS">#REF!</definedName>
    <definedName name="fsdfd">#REF!</definedName>
    <definedName name="nuevasjunio">#REF!</definedName>
    <definedName name="BAJO_URUBAMBA">#REF!</definedName>
    <definedName name="MARCA">#REF!</definedName>
    <definedName name="jhg">#REF!</definedName>
    <definedName name="OBRASSSS">#REF!</definedName>
    <definedName name="Maestro_1__Estructuras">#REF!</definedName>
    <definedName name="LISTA">#REF!</definedName>
    <definedName name="___HOJ4">#REF!</definedName>
    <definedName name="_h1">#REF!</definedName>
    <definedName name="azxsdc">#REF!</definedName>
    <definedName name="qqqqqqqqqqqqq">#REF!</definedName>
    <definedName name="bloq1">#REF!</definedName>
    <definedName name="alTREINTITRES">#REF!</definedName>
    <definedName name="ferrrrrrr">#REF!</definedName>
    <definedName name="FGYGYH">#REF!</definedName>
    <definedName name="OPEP5">#REF!</definedName>
    <definedName name="cxv">#REF!</definedName>
    <definedName name="FINANCIERO">#REF!</definedName>
    <definedName name="fgrgf">#REF!</definedName>
    <definedName name="formato30">#REF!</definedName>
    <definedName name="_Key1">#REF!</definedName>
    <definedName name="fasdfsadfsd">#REF!</definedName>
    <definedName name="PRESU1">#REF!</definedName>
    <definedName name="PRESUPUESTOS">#REF!</definedName>
    <definedName name="A_10">#REF!</definedName>
    <definedName name="E_1">#REF!</definedName>
    <definedName name="_JAUJA">#REF!</definedName>
    <definedName name="part504">#REF!</definedName>
    <definedName name="Print_Area">#REF!</definedName>
    <definedName name="part539">#REF!</definedName>
    <definedName name="kljkjkjkjkjkjkjjjj">#REF!</definedName>
    <definedName name="Tabla_asignación">#REF!</definedName>
    <definedName name="LILIL">#REF!</definedName>
    <definedName name="PR3_1N">#REF!</definedName>
    <definedName name="yryrtytry">#REF!</definedName>
    <definedName name="_CAO6">#REF!</definedName>
    <definedName name="AAAAAAAAAA">#REF!</definedName>
    <definedName name="FXCXCDD">#REF!</definedName>
    <definedName name="____HOJ2">#REF!</definedName>
    <definedName name="VINCAR">#REF!</definedName>
    <definedName name="RGR">#REF!</definedName>
    <definedName name="_ESPINAR">#REF!</definedName>
    <definedName name="dasdafdas">#REF!</definedName>
    <definedName name="_AREQUIPA_">#REF!</definedName>
    <definedName name="ESA">#REF!</definedName>
    <definedName name="part510">#REF!</definedName>
    <definedName name="CANRP">#REF!</definedName>
    <definedName name="H">#REF!</definedName>
    <definedName name="GenDetail">#REF!</definedName>
    <definedName name="cabezalsalida">#REF!</definedName>
    <definedName name="UJ">#REF!</definedName>
    <definedName name="_TUMBES_">#REF!</definedName>
    <definedName name="XX">#REF!</definedName>
    <definedName name="abril">#REF!</definedName>
    <definedName name="IOIIOÑ">#REF!</definedName>
    <definedName name="jhgjhgj">#REF!</definedName>
    <definedName name="ASAS">#REF!</definedName>
    <definedName name="JUAN">#REF!</definedName>
    <definedName name="PR3_1N_M">#REF!</definedName>
    <definedName name="CANMONCRP">#REF!</definedName>
    <definedName name="TITULO">#REF!</definedName>
    <definedName name="K03_0199">#REF!</definedName>
    <definedName name="INI_OTROS">#REF!</definedName>
    <definedName name="DFSDF">#REF!</definedName>
    <definedName name="_reyryr">#REF!</definedName>
    <definedName name="Extract">#REF!</definedName>
    <definedName name="_COTABAMBAS">#REF!</definedName>
    <definedName name="K01_0998">#REF!</definedName>
    <definedName name="AA">#REF!</definedName>
    <definedName name="PRO">#REF!</definedName>
    <definedName name="Graf">#REF!</definedName>
    <definedName name="JTJGHJGHJHGJGHJHGJHGHJGHJ">#REF!</definedName>
    <definedName name="NOVIEMBRE">#REF!</definedName>
    <definedName name="cnfiedformginswplasdeicndfghrplkhdgfjgkh">#REF!</definedName>
    <definedName name="hoja2">#REF!</definedName>
    <definedName name="RMV">#REF!</definedName>
    <definedName name="vcvcvcvccc">#REF!</definedName>
    <definedName name="Inicio57">#REF!</definedName>
    <definedName name="TAS">#REF!</definedName>
    <definedName name="K02_0199">#REF!</definedName>
    <definedName name="_CONTRALMIRANTE_VILLAR">#REF!</definedName>
    <definedName name="HHH">#REF!</definedName>
    <definedName name="k01_0803">#REF!</definedName>
    <definedName name="ARASCELLY">#REF!</definedName>
    <definedName name="PAB_A_EST">#REF!</definedName>
    <definedName name="werwewaer">#REF!</definedName>
    <definedName name="UG">#REF!</definedName>
    <definedName name="PTV_2N">#REF!</definedName>
    <definedName name="fdfdsfdsfdsfd">#REF!</definedName>
    <definedName name="lecassda">#REF!</definedName>
    <definedName name="MODEO">#REF!</definedName>
    <definedName name="LKJLKLKLK">#REF!</definedName>
    <definedName name="X">#REF!</definedName>
    <definedName name="PRESUP">#REF!</definedName>
    <definedName name="WFWEF">#REF!</definedName>
    <definedName name="ERET">#REF!</definedName>
    <definedName name="sadsaddaaa">#REF!</definedName>
    <definedName name="_CAJABAMBA">#REF!</definedName>
    <definedName name="PERSONAL">#REF!</definedName>
    <definedName name="DWDW">#REF!</definedName>
    <definedName name="ACOM_SC">#REF!</definedName>
    <definedName name="_CTZ3">#REF!</definedName>
    <definedName name="_PUNO_">#REF!</definedName>
    <definedName name="_UCAYALI_">#REF!</definedName>
    <definedName name="PSV_2N">#REF!</definedName>
    <definedName name="alTREINTIDOS">#REF!</definedName>
    <definedName name="PA2_0">#REF!</definedName>
    <definedName name="ssi_marzo_2019">#REF!</definedName>
    <definedName name="_CSC1">#REF!</definedName>
    <definedName name="METRE">#REF!</definedName>
    <definedName name="m">#REF!</definedName>
    <definedName name="cALS">#REF!</definedName>
    <definedName name="hoja4">#REF!</definedName>
    <definedName name="DAS">#REF!</definedName>
    <definedName name="JHJHJHJHJHH">#REF!</definedName>
    <definedName name="TRANSPOR">#REF!</definedName>
    <definedName name="OPEP1">#REF!</definedName>
    <definedName name="czxv">#REF!</definedName>
    <definedName name="K02_0503">#REF!</definedName>
    <definedName name="GS">#REF!</definedName>
    <definedName name="Reformulado">#REF!</definedName>
    <definedName name="cccccc">#REF!</definedName>
    <definedName name="formato14">#REF!</definedName>
    <definedName name="Inicio40">#REF!</definedName>
    <definedName name="ELEMENTS">#REF!</definedName>
    <definedName name="fdg">#REF!</definedName>
    <definedName name="AFA">#REF!</definedName>
    <definedName name="BASE03">#REF!</definedName>
    <definedName name="CODIGO_3">#REF!</definedName>
    <definedName name="_____S1">#REF!</definedName>
    <definedName name="Maestro_Terminación">#REF!</definedName>
    <definedName name="__HOJ4">#REF!</definedName>
    <definedName name="OPVO2">#REF!</definedName>
    <definedName name="SHARED_FORMULA_0">#REF!</definedName>
    <definedName name="delDIEZ">#REF!</definedName>
    <definedName name="_INS06">#REF!</definedName>
    <definedName name="gfdg">#REF!</definedName>
    <definedName name="cxcxzczxczc">#REF!</definedName>
    <definedName name="DTO">#REF!</definedName>
    <definedName name="PAT_2_M">#REF!</definedName>
    <definedName name="E_4S">#REF!</definedName>
    <definedName name="penetracion">#REF!</definedName>
    <definedName name="AMBIENTE">#REF!</definedName>
    <definedName name="SCAFFOLDING">#REF!</definedName>
    <definedName name="gfdgfd">#REF!</definedName>
    <definedName name="YUYUYU">#REF!</definedName>
    <definedName name="nb">#REF!</definedName>
    <definedName name="yhyhyhyhyhy">#REF!</definedName>
    <definedName name="_PARURO">#REF!</definedName>
    <definedName name="l">#REF!</definedName>
    <definedName name="_DANIEL_ALCIDES_CARRION">#REF!</definedName>
    <definedName name="Inicio58">#REF!</definedName>
    <definedName name="_MARISCAL_RAMON_CASTILLA">#REF!</definedName>
    <definedName name="RELL_UNI_CAB">#REF!</definedName>
    <definedName name="exca">#REF!</definedName>
    <definedName name="PA1_1NT">#REF!</definedName>
    <definedName name="HOJA1">#REF!</definedName>
    <definedName name="iiuiuiuiuiuiu">#REF!</definedName>
    <definedName name="PAG">#REF!</definedName>
    <definedName name="DQWDQ">#REF!</definedName>
    <definedName name="RAYADDD">#REF!</definedName>
    <definedName name="FOTOSS">#REF!</definedName>
    <definedName name="bloque1">#REF!</definedName>
    <definedName name="GGT">#REF!</definedName>
    <definedName name="GDFGFDGDFFDGFDGFD">#REF!</definedName>
    <definedName name="ROCA">#REF!</definedName>
    <definedName name="LISTA01">#REF!</definedName>
    <definedName name="DUDAS">#REF!</definedName>
    <definedName name="PTH_3">#REF!</definedName>
    <definedName name="GPP">#REF!</definedName>
    <definedName name="UTILIDAD">#REF!</definedName>
    <definedName name="OBRASS">#REF!</definedName>
    <definedName name="CVHE">#REF!</definedName>
    <definedName name="Inicio61">#REF!</definedName>
    <definedName name="qqqqqqqqqqqqqqqq">#REF!</definedName>
    <definedName name="SECTOR">#REF!</definedName>
    <definedName name="JUNIP">#REF!</definedName>
    <definedName name="asadsfdgfhgjhkl">#REF!</definedName>
    <definedName name="_Ago2">#REF!</definedName>
    <definedName name="HERNAN">#REF!</definedName>
    <definedName name="QWWQ">#REF!</definedName>
    <definedName name="RTRETERTDGFDGFDGFD">#REF!</definedName>
    <definedName name="OF">#REF!</definedName>
    <definedName name="KJKJKJKJKJ">#REF!</definedName>
    <definedName name="fsdfsdsd">#REF!</definedName>
    <definedName name="FE">#REF!</definedName>
    <definedName name="PA3_1NT">#REF!</definedName>
    <definedName name="lnjlk">#REF!</definedName>
    <definedName name="hhhhhhhhhh">#REF!</definedName>
    <definedName name="longitudmuro">#REF!</definedName>
    <definedName name="_PACHITEA">#REF!</definedName>
    <definedName name="abrilllll">#REF!</definedName>
    <definedName name="zxczxczxczczxcz">#REF!</definedName>
    <definedName name="OPEP4">#REF!</definedName>
    <definedName name="NOMBRE">#REF!</definedName>
    <definedName name="P_EQUIP">#REF!</definedName>
    <definedName name="K02_0203">#REF!</definedName>
    <definedName name="_HUARMEY">#REF!</definedName>
    <definedName name="formato06">#REF!</definedName>
    <definedName name="PA3_3N">#REF!</definedName>
    <definedName name="u">#REF!</definedName>
    <definedName name="_C0001">#REF!</definedName>
    <definedName name="ZCVXXC">#REF!</definedName>
    <definedName name="ARMADO">#REF!</definedName>
    <definedName name="CIMENT">#REF!</definedName>
    <definedName name="OPVO7">#REF!</definedName>
    <definedName name="AAAAAAAAAAAA">#REF!</definedName>
    <definedName name="V.VENTA_2">#REF!</definedName>
    <definedName name="AXEL">#REF!</definedName>
    <definedName name="PSV_3N">#REF!</definedName>
    <definedName name="gfh">#REF!</definedName>
    <definedName name="Maestro_2">#REF!</definedName>
    <definedName name="formato05">#REF!</definedName>
    <definedName name="mnn">#REF!</definedName>
    <definedName name="excavacio">#REF!</definedName>
    <definedName name="PAB_C_EST">#REF!</definedName>
    <definedName name="MODELO">#REF!</definedName>
    <definedName name="_TOCACHE">#REF!</definedName>
    <definedName name="GDGFDGFDGFGFGFDGF">#REF!</definedName>
    <definedName name="mb">#REF!</definedName>
    <definedName name="part507">#REF!</definedName>
    <definedName name="CCH">#REF!</definedName>
    <definedName name="C_A">#REF!</definedName>
    <definedName name="JVYFLLGJ">#REF!</definedName>
    <definedName name="__123Graph_XGraph9">#REF!</definedName>
    <definedName name="wserdesfgtvd">#REF!</definedName>
    <definedName name="_ALTO_AMAZONAS">#REF!</definedName>
    <definedName name="alCUATRO">#REF!</definedName>
    <definedName name="hghfghgfhgf">#REF!</definedName>
    <definedName name="FDGDFGFDGFDG">#REF!</definedName>
    <definedName name="PA2_2N">#REF!</definedName>
    <definedName name="C_A_2">#REF!</definedName>
    <definedName name="PTV_3NT">#REF!</definedName>
    <definedName name="_LP01">#REF!</definedName>
    <definedName name="xczczxczxcxzc">#REF!</definedName>
    <definedName name="GAM">#REF!</definedName>
    <definedName name="QWQW">#REF!</definedName>
    <definedName name="COSTO_OP_H">#REF!</definedName>
    <definedName name="__123Graph_XGraph10">#REF!</definedName>
    <definedName name="KJKJKJKJ">#REF!</definedName>
    <definedName name="ABR">#REF!</definedName>
    <definedName name="EFADF">#REF!</definedName>
    <definedName name="Llega11">#REF!</definedName>
    <definedName name="__123Graph_XGraph3">#REF!</definedName>
    <definedName name="_AREQUIPA">#REF!</definedName>
    <definedName name="FH">#REF!</definedName>
    <definedName name="dsdsadsdsa">#REF!</definedName>
    <definedName name="_CANAS">#REF!</definedName>
    <definedName name="TOT">#REF!</definedName>
    <definedName name="_CASMA">#REF!</definedName>
    <definedName name="_OYON">#REF!</definedName>
    <definedName name="alCATORCE">#REF!</definedName>
    <definedName name="kjghjhgjhg">#REF!</definedName>
    <definedName name="___h2">#REF!</definedName>
    <definedName name="cara">#REF!</definedName>
    <definedName name="EGV">#REF!</definedName>
    <definedName name="sedrfgthyjuki">#REF!</definedName>
    <definedName name="adg">#REF!</definedName>
    <definedName name="VAL03_05">#REF!</definedName>
    <definedName name="LILILIL">#REF!</definedName>
    <definedName name="dfgfdg">#REF!</definedName>
    <definedName name="_PIURA">#REF!</definedName>
    <definedName name="_BAGUA">#REF!</definedName>
    <definedName name="MAQUINAQ">#REF!</definedName>
    <definedName name="NOMB">#REF!</definedName>
    <definedName name="FFFFF">#REF!</definedName>
    <definedName name="_PURUS">#REF!</definedName>
    <definedName name="escaleras">#REF!</definedName>
    <definedName name="COSTO_COMBUSTIBLE_STEP_02">#REF!</definedName>
    <definedName name="Tasa">#REF!</definedName>
    <definedName name="ytyt">#REF!</definedName>
    <definedName name="__CAO2">#REF!</definedName>
    <definedName name="_Dist_Values">#REF!</definedName>
    <definedName name="IIIO">#REF!</definedName>
    <definedName name="Saldo_de_ENERO">#REF!</definedName>
    <definedName name="GFG">#REF!</definedName>
    <definedName name="MHMGHMHJ">#REF!</definedName>
    <definedName name="_MARISCAL_LUZURIAGA">#REF!</definedName>
    <definedName name="ZSXD">#REF!</definedName>
    <definedName name="PTH_3N">#REF!</definedName>
    <definedName name="WFEFWE">#REF!</definedName>
    <definedName name="___________PAG1">#REF!</definedName>
    <definedName name="__123Graph_AGraph7">#REF!</definedName>
    <definedName name="part502">#REF!</definedName>
    <definedName name="SDD">#REF!</definedName>
    <definedName name="__123Graph_AGraph10">#REF!</definedName>
    <definedName name="DFSD">#REF!</definedName>
    <definedName name="bbbbbbb">#REF!</definedName>
    <definedName name="NOVIE">#REF!</definedName>
    <definedName name="Llega22a24">#REF!</definedName>
    <definedName name="PSER_0_M">#REF!</definedName>
    <definedName name="RI">#REF!</definedName>
    <definedName name="Vías1">#REF!</definedName>
    <definedName name="EQ">#REF!</definedName>
    <definedName name="Sale4">#REF!</definedName>
    <definedName name="mantilla">#REF!</definedName>
    <definedName name="jkhgjhgjg">#REF!</definedName>
    <definedName name="EQQ">#REF!</definedName>
    <definedName name="AASASAS">#REF!</definedName>
    <definedName name="bloq2">#REF!</definedName>
    <definedName name="PAT_2">#REF!</definedName>
    <definedName name="INFmes">#REF!</definedName>
    <definedName name="sddsds">#REF!</definedName>
    <definedName name="puente">#REF!</definedName>
    <definedName name="_h2">#REF!</definedName>
    <definedName name="___PAG1">#REF!</definedName>
    <definedName name="_CASTROVIRREYNA">#REF!</definedName>
    <definedName name="SMM_1N">#REF!</definedName>
    <definedName name="_TAHUAMANU">#REF!</definedName>
    <definedName name="aaaaaaa">#REF!</definedName>
    <definedName name="_QUISPICANCHI">#REF!</definedName>
    <definedName name="PA1_2">#REF!</definedName>
    <definedName name="SCXADSX1111111111111111111">#REF!</definedName>
    <definedName name="AAAAA">#REF!</definedName>
    <definedName name="FRFR">#REF!</definedName>
    <definedName name="__123Graph_AGraph14">#REF!</definedName>
    <definedName name="VAR">#REF!</definedName>
    <definedName name="ASS">#REF!</definedName>
    <definedName name="ASDDSD">#REF!</definedName>
    <definedName name="_JUNIN_">#REF!</definedName>
    <definedName name="TTT">#REF!</definedName>
    <definedName name="POTENCIA">#REF!</definedName>
    <definedName name="__CAO6">#REF!</definedName>
    <definedName name="part536">#REF!</definedName>
    <definedName name="_CARAVELI">#REF!</definedName>
    <definedName name="o">#REF!</definedName>
    <definedName name="gfdgfdgfdg">#REF!</definedName>
    <definedName name="zxzxzxzxzxzx">#REF!</definedName>
    <definedName name="MOCHE">#REF!</definedName>
    <definedName name="mmmmmmmmm">#REF!</definedName>
    <definedName name="xxzxzxzxz">#REF!</definedName>
    <definedName name="YYYY">#REF!</definedName>
    <definedName name="SSSSS">#REF!</definedName>
    <definedName name="_AYABACA">#REF!</definedName>
    <definedName name="metmes">#REF!</definedName>
    <definedName name="WQWQWQW">#REF!</definedName>
    <definedName name="EDW">#REF!</definedName>
    <definedName name="JGHJHGJGHJHGJHGJHG">#REF!</definedName>
    <definedName name="DZ">#REF!</definedName>
    <definedName name="cndhfbfgctrpb21654cvvv">#REF!</definedName>
    <definedName name="PSEC_0">#REF!</definedName>
    <definedName name="_PAUCARTAMBO">#REF!</definedName>
    <definedName name="smcndgfritopf23584df4g51h2f">#REF!</definedName>
    <definedName name="formato28">#REF!</definedName>
    <definedName name="Corte">#REF!</definedName>
    <definedName name="GANADAS">#REF!</definedName>
    <definedName name="lega16">#REF!</definedName>
    <definedName name="RED">#REF!</definedName>
    <definedName name="ASDDDD">#REF!</definedName>
    <definedName name="__123Graph_XGraph12">#REF!</definedName>
    <definedName name="_e.g">#REF!</definedName>
    <definedName name="WWWWWW">#REF!</definedName>
    <definedName name="_ACM4">#REF!</definedName>
    <definedName name="xxxxx">#REF!</definedName>
    <definedName name="VIGAS">#REF!</definedName>
    <definedName name="FIELD_STAFF">#REF!</definedName>
    <definedName name="_PAG1">#REF!</definedName>
    <definedName name="K02_1198">#REF!</definedName>
    <definedName name="WWWWWWWWWWWWWW">#REF!</definedName>
    <definedName name="HJUJUJUJU">#REF!</definedName>
    <definedName name="PAT_1_M">#REF!</definedName>
    <definedName name="__123Graph_XGraph15">#REF!</definedName>
    <definedName name="vc">#REF!</definedName>
    <definedName name="FRR">#REF!</definedName>
    <definedName name="_1_3_WEEK_SCHEDULE">#REF!</definedName>
    <definedName name="CEMENTO">#REF!</definedName>
    <definedName name="k01_1202">#REF!</definedName>
    <definedName name="part518">#REF!</definedName>
    <definedName name="SASAASA">#REF!</definedName>
    <definedName name="FEF">#REF!</definedName>
    <definedName name="WDQW">#REF!</definedName>
    <definedName name="LOCO">#REF!</definedName>
    <definedName name="ZZZZ">#REF!</definedName>
    <definedName name="rt">#REF!</definedName>
    <definedName name="PSEC_1NP">#REF!</definedName>
    <definedName name="rte">#REF!</definedName>
    <definedName name="_LUCANAS">#REF!</definedName>
    <definedName name="RELLENO">#REF!</definedName>
    <definedName name="PTH_2N">#REF!</definedName>
    <definedName name="PA2_1N_M">#REF!</definedName>
    <definedName name="eedsfervfr">#REF!</definedName>
    <definedName name="jhjhjhjhjhjhj">#REF!</definedName>
    <definedName name="VAL">#REF!</definedName>
    <definedName name="he">#REF!</definedName>
    <definedName name="llklklklklklk">#REF!</definedName>
    <definedName name="part509">#REF!</definedName>
    <definedName name="rrrrr">#REF!</definedName>
    <definedName name="FAAAA">#REF!</definedName>
    <definedName name="formato12">#REF!</definedName>
    <definedName name="Prog02_02">#REF!</definedName>
    <definedName name="RO">#REF!</definedName>
    <definedName name="ASBFHAS">#REF!</definedName>
    <definedName name="PROY_INTERNO">#REF!</definedName>
    <definedName name="EWQ">#REF!</definedName>
    <definedName name="PAVI">#REF!</definedName>
    <definedName name="part540">#REF!</definedName>
    <definedName name="ss">#REF!</definedName>
    <definedName name="MAQUINA_1">#REF!</definedName>
    <definedName name="dfdfdfdfdfdfdfdfd">#REF!</definedName>
    <definedName name="cxxcxcx">#REF!</definedName>
    <definedName name="DFDFDDF">#REF!</definedName>
    <definedName name="EW">#REF!</definedName>
    <definedName name="PARET">#REF!</definedName>
    <definedName name="salsa">#REF!</definedName>
    <definedName name="Valor_afecto">#REF!</definedName>
    <definedName name="Costos">#REF!</definedName>
    <definedName name="Prog03_01">#REF!</definedName>
    <definedName name="_CARHUAZ">#REF!</definedName>
    <definedName name="BO_FORMALETA">#REF!</definedName>
    <definedName name="mcjrnfhgipacneki">#REF!</definedName>
    <definedName name="_ISLAY">#REF!</definedName>
    <definedName name="qqqqqqqqqqqqqq">#REF!</definedName>
    <definedName name="T7879EE">#REF!</definedName>
    <definedName name="gggg">#REF!</definedName>
    <definedName name="part521.A">#REF!</definedName>
    <definedName name="DATOS">#REF!</definedName>
    <definedName name="_CHINCHA">#REF!</definedName>
    <definedName name="P_G_1">#REF!</definedName>
    <definedName name="SE">#REF!</definedName>
    <definedName name="ajk">#REF!</definedName>
    <definedName name="JJHFDSD">#REF!</definedName>
    <definedName name="INSPECTOR">#REF!</definedName>
    <definedName name="xvvxcfcx">#REF!</definedName>
    <definedName name="loiñlololio">#REF!</definedName>
    <definedName name="vcvc">#REF!</definedName>
    <definedName name="rf">#REF!</definedName>
    <definedName name="VCXVCXVCXV">#REF!</definedName>
    <definedName name="CONNY">#REF!</definedName>
    <definedName name="DAILY2">#REF!</definedName>
    <definedName name="LOCN">#REF!</definedName>
    <definedName name="PERIODO">#REF!</definedName>
    <definedName name="rrrrrrr">#REF!</definedName>
    <definedName name="FSDF">#REF!</definedName>
    <definedName name="SDFSDFDS">#REF!</definedName>
    <definedName name="OPVO1">#REF!</definedName>
    <definedName name="FSDFASDFS">#REF!</definedName>
    <definedName name="paat_1">#REF!</definedName>
    <definedName name="lklkllk">#REF!</definedName>
    <definedName name="PROG">#REF!</definedName>
    <definedName name="K01_0603">#REF!</definedName>
    <definedName name="cx">#REF!</definedName>
    <definedName name="VCVXCVCVCXVX">#REF!</definedName>
    <definedName name="Forma_Pago">#REF!</definedName>
    <definedName name="REGRESION">#REF!</definedName>
    <definedName name="FRF">#REF!</definedName>
    <definedName name="E_3_1S">#REF!</definedName>
    <definedName name="C_">#REF!</definedName>
    <definedName name="hjh">#REF!</definedName>
    <definedName name="IUUUU">#REF!</definedName>
    <definedName name="PAVV">#REF!</definedName>
    <definedName name="FFFFFF">#REF!</definedName>
    <definedName name="ererer">#REF!</definedName>
    <definedName name="ANGH">#REF!</definedName>
    <definedName name="PSER_0P_M">#REF!</definedName>
    <definedName name="UÑAS">#REF!</definedName>
    <definedName name="CUADRO">#REF!</definedName>
    <definedName name="_ACOBAMBA">#REF!</definedName>
    <definedName name="CUCHILLAS">#REF!</definedName>
    <definedName name="kjj">#REF!</definedName>
    <definedName name="________HOJ4">#REF!</definedName>
    <definedName name="cu_pilet">#REF!</definedName>
    <definedName name="ADS">#REF!</definedName>
    <definedName name="freddy">#REF!</definedName>
    <definedName name="hjghj">#REF!</definedName>
    <definedName name="DISTRITO">#REF!</definedName>
    <definedName name="ALBER">#REF!</definedName>
    <definedName name="CANTIDADES">#REF!</definedName>
    <definedName name="UIUOIUOIU">#REF!</definedName>
    <definedName name="k01_0903">#REF!</definedName>
    <definedName name="fffffffffff">#REF!</definedName>
    <definedName name="_CALLAO">#REF!</definedName>
    <definedName name="AFASDFASD">#REF!</definedName>
    <definedName name="PA1_3">#REF!</definedName>
    <definedName name="fgfdgrfdg">#REF!</definedName>
    <definedName name="FACTRELACION">#REF!</definedName>
    <definedName name="gtt">#REF!</definedName>
    <definedName name="WSCDXA12">#REF!</definedName>
    <definedName name="SUSTMETRADOS">#REF!</definedName>
    <definedName name="xzxzxzxz">#REF!</definedName>
    <definedName name="hn">#REF!</definedName>
    <definedName name="k02_1202">#REF!</definedName>
    <definedName name="TRANSPORTEANT">#REF!</definedName>
    <definedName name="aaaaaa">#REF!</definedName>
    <definedName name="formato01">#REF!</definedName>
    <definedName name="A_1">#REF!</definedName>
    <definedName name="LL_1">#REF!</definedName>
    <definedName name="k02_1203">#REF!</definedName>
    <definedName name="__123Graph_XGRA1">#REF!</definedName>
    <definedName name="_CHICLAYO">#REF!</definedName>
    <definedName name="FDFDFDFDF">#REF!</definedName>
    <definedName name="sdsdsdsds">#REF!</definedName>
    <definedName name="PTH_2">#REF!</definedName>
    <definedName name="_URUBAMBA">#REF!</definedName>
    <definedName name="VALORIZACION03">#REF!</definedName>
    <definedName name="_LA_LIBERTAD">#REF!</definedName>
    <definedName name="mmmm">#REF!</definedName>
    <definedName name="REEEEE">#REF!</definedName>
    <definedName name="Capataz_Obras_Civiles">#REF!</definedName>
    <definedName name="Milestones1">#REF!</definedName>
    <definedName name="GABINETE">#REF!</definedName>
    <definedName name="hjhh">#REF!</definedName>
    <definedName name="xczxczczccc">#REF!</definedName>
    <definedName name="_YUNGUYO">#REF!</definedName>
    <definedName name="VOLVO">#REF!</definedName>
    <definedName name="_OP1">#REF!</definedName>
    <definedName name="Operador_Maquinaria_Pesada">#REF!</definedName>
    <definedName name="asdecsdrfed">#REF!</definedName>
    <definedName name="PS1_1N_T">#REF!</definedName>
    <definedName name="_PACASMAYO">#REF!</definedName>
    <definedName name="SSSSSSS">#REF!</definedName>
    <definedName name="BUILDINGS">#REF!</definedName>
    <definedName name="_ANGARAES">#REF!</definedName>
    <definedName name="Sol">#REF!</definedName>
    <definedName name="_ANTONIO_RAYMONDI">#REF!</definedName>
    <definedName name="wra">#REF!</definedName>
    <definedName name="K01_0103">#REF!</definedName>
    <definedName name="K03_0599">#REF!</definedName>
    <definedName name="IUIUI">#REF!</definedName>
    <definedName name="kk">#REF!</definedName>
    <definedName name="SAL">#REF!</definedName>
    <definedName name="Val.Adic.">#REF!</definedName>
    <definedName name="k02_0703">#REF!</definedName>
    <definedName name="ESPECIALIDAD">#REF!</definedName>
    <definedName name="FFFDFDF">#REF!</definedName>
    <definedName name="Ficha_15">#REF!</definedName>
    <definedName name="Orden_Ladrillo">#REF!</definedName>
    <definedName name="MI">#REF!</definedName>
    <definedName name="POPOPOPO">#REF!</definedName>
    <definedName name="NOVI">#REF!</definedName>
    <definedName name="DAILY3">#REF!</definedName>
    <definedName name="XXX">#REF!</definedName>
    <definedName name="tre">#REF!</definedName>
    <definedName name="DETALLE">#REF!</definedName>
    <definedName name="mesess">#REF!</definedName>
    <definedName name="ULTIMO">#REF!</definedName>
    <definedName name="P_A_2">#REF!</definedName>
    <definedName name="PAPAPAPPAPA">#REF!</definedName>
    <definedName name="HHHHH">#REF!</definedName>
    <definedName name="w">#REF!</definedName>
    <definedName name="_HUAYLAS">#REF!</definedName>
    <definedName name="dasd">#REF!</definedName>
    <definedName name="WSASW11111111111111111111111">#REF!</definedName>
    <definedName name="MDMARZO">#REF!</definedName>
    <definedName name="aeyfgbiwa">#REF!</definedName>
    <definedName name="SBM_2P">#REF!</definedName>
    <definedName name="_REQUENA">#REF!</definedName>
    <definedName name="SWASSQSWSSASASASA">#REF!</definedName>
    <definedName name="bloque4">#REF!</definedName>
    <definedName name="WFEFW">#REF!</definedName>
    <definedName name="_LAURICOCHA">#REF!</definedName>
    <definedName name="_TACNA_">#REF!</definedName>
    <definedName name="LKLK">#REF!</definedName>
    <definedName name="CXCVXCX">#REF!</definedName>
    <definedName name="DRA_PIURA1">#REF!</definedName>
    <definedName name="P">#REF!</definedName>
    <definedName name="______HOJ1">#REF!</definedName>
    <definedName name="OTROS">#REF!</definedName>
    <definedName name="bvbvbvbvbv">#REF!</definedName>
    <definedName name="PAT_C">#REF!</definedName>
    <definedName name="SSSSSS">#REF!</definedName>
    <definedName name="AvFiMes">#REF!</definedName>
    <definedName name="CONSUMO_GRASA">#REF!</definedName>
    <definedName name="TRANSPORTE">#REF!</definedName>
    <definedName name="hvf">#REF!</definedName>
    <definedName name="_SECHURA">#REF!</definedName>
    <definedName name="MONTO">#REF!</definedName>
    <definedName name="BGBB">#REF!</definedName>
    <definedName name="OPEP7">#REF!</definedName>
    <definedName name="__123Graph_AGraph13">#REF!</definedName>
    <definedName name="JK">#REF!</definedName>
    <definedName name="KUKUK">#REF!</definedName>
    <definedName name="TRemuneracion">#REF!</definedName>
    <definedName name="Sale3">#REF!</definedName>
    <definedName name="TProyectos">#REF!</definedName>
    <definedName name="eeee345">#REF!</definedName>
    <definedName name="df">#REF!</definedName>
    <definedName name="CONDICION">#REF!</definedName>
    <definedName name="alCuarentaiuno">#REF!</definedName>
    <definedName name="_LA_UNION">#REF!</definedName>
    <definedName name="EF">#REF!</definedName>
    <definedName name="_HUAURA">#REF!</definedName>
    <definedName name="PUAG">#REF!</definedName>
    <definedName name="NOMCURP">#REF!</definedName>
    <definedName name="FDSFDSFDS">#REF!</definedName>
    <definedName name="MAY">#REF!</definedName>
    <definedName name="EFWEF">#REF!</definedName>
    <definedName name="SUPERVICION">#REF!</definedName>
    <definedName name="Horas_Semana">#REF!</definedName>
    <definedName name="PPPP1">#REF!</definedName>
    <definedName name="AAAASSS">#REF!</definedName>
    <definedName name="MC">#REF!</definedName>
    <definedName name="PAB_D_AES">#REF!</definedName>
    <definedName name="LKL">#REF!</definedName>
    <definedName name="DATA">#REF!</definedName>
    <definedName name="xzxzx">#REF!</definedName>
    <definedName name="formato08">#REF!</definedName>
    <definedName name="IPC">#REF!</definedName>
    <definedName name="PAVIMENTOANT1">#REF!</definedName>
    <definedName name="ACM">#REF!</definedName>
    <definedName name="E_6">#REF!</definedName>
    <definedName name="SINO">#REF!</definedName>
    <definedName name="_LA_MAR">#REF!</definedName>
    <definedName name="anchomuro">#REF!</definedName>
    <definedName name="_A1">#REF!</definedName>
    <definedName name="_C002">#REF!</definedName>
    <definedName name="bcv">#REF!</definedName>
    <definedName name="KI">#REF!</definedName>
    <definedName name="dsdsds">#REF!</definedName>
    <definedName name="ÑÑÑAAS">#REF!</definedName>
    <definedName name="PRESUPESTO">#REF!</definedName>
    <definedName name="HOR">#REF!</definedName>
    <definedName name="cuadro02">#REF!</definedName>
    <definedName name="hghhhhhhh">#REF!</definedName>
    <definedName name="fggdf">#REF!</definedName>
    <definedName name="CXZCXZCCZC">#REF!</definedName>
    <definedName name="__123Graph_X">#REF!</definedName>
    <definedName name="LOQUE">#REF!</definedName>
    <definedName name="xcxzcxzczx">#REF!</definedName>
    <definedName name="_AIJA">#REF!</definedName>
    <definedName name="RYTHIKTIO">#REF!</definedName>
    <definedName name="PESOS">#REF!</definedName>
    <definedName name="PA2_1N">#REF!</definedName>
    <definedName name="Oxiginista">#REF!</definedName>
    <definedName name="PTV_2">#REF!</definedName>
    <definedName name="GAMM">#REF!</definedName>
    <definedName name="PRECIOS">#REF!</definedName>
    <definedName name="CANNRP">#REF!</definedName>
    <definedName name="_______PAG1">#REF!</definedName>
    <definedName name="_SAN_MARCOS">#REF!</definedName>
    <definedName name="FWEF">#REF!</definedName>
    <definedName name="E_5S">#REF!</definedName>
    <definedName name="TRUYENQUE">#REF!</definedName>
    <definedName name="rate">#REF!</definedName>
    <definedName name="ttttt">#REF!</definedName>
    <definedName name="LL">#REF!</definedName>
    <definedName name="por">#REF!</definedName>
    <definedName name="MNMBMBMNM">#REF!</definedName>
    <definedName name="costo_directo_contratado">#REF!</definedName>
    <definedName name="_Sort">#REF!</definedName>
    <definedName name="PAST_C_BT">#REF!</definedName>
    <definedName name="HORAS_MES">#REF!</definedName>
    <definedName name="K03_1298">#REF!</definedName>
    <definedName name="NOMNRS">#REF!</definedName>
    <definedName name="INICIO">#REF!</definedName>
    <definedName name="__Del38">#REF!</definedName>
    <definedName name="al24pje6">#REF!</definedName>
    <definedName name="ghjk">#REF!</definedName>
    <definedName name="_CANCHIS">#REF!</definedName>
    <definedName name="GAN">#REF!</definedName>
    <definedName name="EFA">#REF!</definedName>
    <definedName name="part520">#REF!</definedName>
    <definedName name="_DOS_DE_MAYO">#REF!</definedName>
    <definedName name="RECARGO">#REF!</definedName>
    <definedName name="dan">#REF!</definedName>
    <definedName name="A_20">#REF!</definedName>
    <definedName name="fsfdfdsfsdfdsfdsfdfdf">#REF!</definedName>
    <definedName name="hghghghghg">#REF!</definedName>
    <definedName name="OPEP3">#REF!</definedName>
    <definedName name="SMM_2">#REF!</definedName>
    <definedName name="fotos">#REF!</definedName>
    <definedName name="bloque3">#REF!</definedName>
    <definedName name="_CAJATAMBO">#REF!</definedName>
    <definedName name="SHARED_FORMULA_5">#REF!</definedName>
    <definedName name="FASDFSA">#REF!</definedName>
    <definedName name="_GENERAL_SANCHEZ_CARRION">#REF!</definedName>
    <definedName name="TR">#REF!</definedName>
    <definedName name="CONDUC">#REF!</definedName>
    <definedName name="delUNO">#REF!</definedName>
    <definedName name="nnnnnnnn">#REF!</definedName>
    <definedName name="PE">#REF!</definedName>
    <definedName name="Ayudante_Montaje">#REF!</definedName>
    <definedName name="anexo2">#REF!</definedName>
    <definedName name="GHFGBDF">#REF!</definedName>
    <definedName name="CST">#REF!</definedName>
    <definedName name="DFDFDFDFDF">#REF!</definedName>
    <definedName name="dsdsdsdsdsd">#REF!</definedName>
    <definedName name="PARTIDA">#REF!</definedName>
    <definedName name="_HOJ4">#REF!</definedName>
    <definedName name="ago">#REF!</definedName>
    <definedName name="dsdsdsdsdsds">#REF!</definedName>
    <definedName name="FT">#REF!</definedName>
    <definedName name="LISTA02">#REF!</definedName>
    <definedName name="PAVIMENTOSANT">#REF!</definedName>
    <definedName name="_CHUCUITO">#REF!</definedName>
    <definedName name="part539.A">#REF!</definedName>
    <definedName name="E_2_1S">#REF!</definedName>
    <definedName name="WK">#REF!</definedName>
    <definedName name="L.Sociales">#REF!</definedName>
    <definedName name="alVEINTIDOS">#REF!</definedName>
    <definedName name="KIK">#REF!</definedName>
    <definedName name="GGM">#REF!</definedName>
    <definedName name="DFGTRTRETRETERT">#REF!</definedName>
    <definedName name="_SAN_PABLO">#REF!</definedName>
    <definedName name="EXCAVACIONANT">#REF!</definedName>
    <definedName name="__MAY94">#REF!</definedName>
    <definedName name="II">#REF!</definedName>
    <definedName name="RGRL">#REF!</definedName>
    <definedName name="GESTION">#REF!</definedName>
    <definedName name="DMS">#REF!</definedName>
    <definedName name="Sale14">#REF!</definedName>
    <definedName name="WEFWFE">#REF!</definedName>
    <definedName name="WWWW">#REF!</definedName>
    <definedName name="JHGHJHGHGHGJGHJHG">#REF!</definedName>
    <definedName name="_YUNGAY">#REF!</definedName>
    <definedName name="RENDIMIENTO_DE_EQUIPOS_STEP_08B">#REF!</definedName>
    <definedName name="Hoja3">#REF!</definedName>
    <definedName name="Llega22a30">#REF!</definedName>
    <definedName name="SDF">#REF!</definedName>
    <definedName name="PID">#REF!</definedName>
    <definedName name="_____HOJ4">#REF!</definedName>
    <definedName name="wwwww">#REF!</definedName>
    <definedName name="qwasewsa">#REF!</definedName>
    <definedName name="vfvfdvd">#REF!</definedName>
    <definedName name="UBICA_ACTUAL">#REF!</definedName>
    <definedName name="_PUTUMAYO">#REF!</definedName>
    <definedName name="hjhjhg">#REF!</definedName>
    <definedName name="DRA_PIURA___4">#REF!</definedName>
    <definedName name="PRECI_COMB_2">#REF!</definedName>
    <definedName name="ana">#REF!</definedName>
    <definedName name="Prog02_03">#REF!</definedName>
    <definedName name="VN">#REF!</definedName>
    <definedName name="rtrte">#REF!</definedName>
    <definedName name="_AYACUCHO">#REF!</definedName>
    <definedName name="__DAT2">#REF!</definedName>
    <definedName name="_LAMPA">#REF!</definedName>
    <definedName name="CONTINUIDAD">#REF!</definedName>
    <definedName name="jul">#REF!</definedName>
    <definedName name="CONSUMO_D2_1">#REF!</definedName>
    <definedName name="MIERCOLES">#REF!</definedName>
    <definedName name="FFFD">#REF!</definedName>
    <definedName name="K01_1098">#REF!</definedName>
    <definedName name="THONNY">#REF!</definedName>
    <definedName name="K01_0499">#REF!</definedName>
    <definedName name="TarifasHorarias">#REF!</definedName>
    <definedName name="ALDICECINUEVEDEABRIL">#REF!</definedName>
    <definedName name="PSER_0P">#REF!</definedName>
    <definedName name="PIEDRA">#REF!</definedName>
    <definedName name="AssZ_B">#REF!</definedName>
    <definedName name="Prog02_05">#REF!</definedName>
    <definedName name="K03_0299">#REF!</definedName>
    <definedName name="ETE">#REF!</definedName>
    <definedName name="mmnovirmbre">#REF!</definedName>
    <definedName name="fg">#REF!</definedName>
    <definedName name="terdfg">#REF!</definedName>
    <definedName name="YJGJGJ">#REF!</definedName>
    <definedName name="E_6S">#REF!</definedName>
    <definedName name="eeeeeeeeeeeee">#REF!</definedName>
    <definedName name="TOTAL">#REF!</definedName>
    <definedName name="INS">#REF!</definedName>
    <definedName name="CUADRO_RESUMEN_DEL_MOVIMIENTO_DE_ALMACEN">#REF!</definedName>
    <definedName name="RV_A">#REF!</definedName>
    <definedName name="cxcxc">#REF!</definedName>
    <definedName name="_PALPA">#REF!</definedName>
    <definedName name="gfdgdfgdfdd">#REF!</definedName>
    <definedName name="ddgf">#REF!</definedName>
    <definedName name="OP_2">#REF!</definedName>
    <definedName name="qtgfsht">#REF!</definedName>
    <definedName name="TOTAL_EQUIPO_SOLDADOR">#REF!</definedName>
    <definedName name="YEAT">#REF!</definedName>
    <definedName name="XC">#REF!</definedName>
    <definedName name="PA1_3NT">#REF!</definedName>
    <definedName name="TT">#REF!</definedName>
    <definedName name="MATEX">#REF!</definedName>
    <definedName name="__123Graph_XGraph11">#REF!</definedName>
    <definedName name="_LAMAS">#REF!</definedName>
    <definedName name="rrr">#REF!</definedName>
    <definedName name="A_8">#REF!</definedName>
    <definedName name="_LAMBAYEQUE_">#REF!</definedName>
    <definedName name="_ASUNCION">#REF!</definedName>
    <definedName name="SWEDSSWQ12334322">#REF!</definedName>
    <definedName name="nbnbnbn">#REF!</definedName>
    <definedName name="ABRILL">#REF!</definedName>
    <definedName name="_LA_CONVENCION">#REF!</definedName>
    <definedName name="VG">#REF!</definedName>
    <definedName name="_____">#REF!</definedName>
    <definedName name="gfgfgf">#REF!</definedName>
    <definedName name="Inicio60">#REF!</definedName>
    <definedName name="s">#REF!</definedName>
    <definedName name="plani">#REF!</definedName>
    <definedName name="DSC">#REF!</definedName>
    <definedName name="gfgfdgfdgdfgf">#REF!</definedName>
    <definedName name="______HOJ4">#REF!</definedName>
    <definedName name="RTRRETERTRETRET">#REF!</definedName>
    <definedName name="Canales1">#REF!</definedName>
    <definedName name="YUYU">#REF!</definedName>
    <definedName name="FORMULA">#REF!</definedName>
    <definedName name="ADDDDDDDDDD">#REF!</definedName>
    <definedName name="dfhryftgnvmcndhfgsklljhhgdf">#REF!</definedName>
    <definedName name="_CALCA">#REF!</definedName>
    <definedName name="________________PAG1">#REF!</definedName>
    <definedName name="CC">#REF!</definedName>
    <definedName name="BBB">#REF!</definedName>
    <definedName name="_CAO5">#REF!</definedName>
    <definedName name="der">#REF!</definedName>
    <definedName name="rl">#REF!</definedName>
    <definedName name="grafico">#REF!</definedName>
    <definedName name="___________________PAG1">#REF!</definedName>
    <definedName name="formato04">#REF!</definedName>
    <definedName name="AssC_A">#REF!</definedName>
    <definedName name="CCCCCCCCC">#REF!</definedName>
    <definedName name="COSTO_MATERIALES_STEP_01B">#REF!</definedName>
    <definedName name="EXCEL">#REF!</definedName>
    <definedName name="A_4">#REF!</definedName>
    <definedName name="IP_EQUIPOS_STEP_01B">#REF!</definedName>
    <definedName name="ton">#REF!</definedName>
    <definedName name="YYY">#REF!</definedName>
    <definedName name="kjkjkjkjkjkjkjkjk">#REF!</definedName>
    <definedName name="YT">#REF!</definedName>
    <definedName name="_PAUCAR_DEL_SARA_SARA">#REF!</definedName>
    <definedName name="part505">#REF!</definedName>
    <definedName name="Equipo">#REF!</definedName>
    <definedName name="PA3_3NT">#REF!</definedName>
    <definedName name="rrrrrr">#REF!</definedName>
    <definedName name="A_impresión_IM">#REF!</definedName>
    <definedName name="xzxzxzxzx">#REF!</definedName>
    <definedName name="Criterios_IM">#REF!</definedName>
    <definedName name="PP">#REF!</definedName>
    <definedName name="_Fsdf">#REF!</definedName>
    <definedName name="dsdsdss">#REF!</definedName>
    <definedName name="JUK">#REF!</definedName>
    <definedName name="con">#REF!</definedName>
    <definedName name="DSDS">#REF!</definedName>
    <definedName name="UBI">#REF!</definedName>
    <definedName name="_fsd">#REF!</definedName>
    <definedName name="DAILY12">#REF!</definedName>
    <definedName name="Taller_Moderniz.">#REF!</definedName>
    <definedName name="CONSTRUCTORA_GARDILCIC">#REF!</definedName>
    <definedName name="_HUAMALIES">#REF!</definedName>
    <definedName name="qqwwqwqwqw">#REF!</definedName>
    <definedName name="fffghfjkjhkjk">#REF!</definedName>
    <definedName name="_JULCAN">#REF!</definedName>
    <definedName name="_CHUPACA">#REF!</definedName>
    <definedName name="fvfrvbgtbt">#REF!</definedName>
    <definedName name="kjnvfjkc">#REF!</definedName>
    <definedName name="LLegal5">#REF!</definedName>
    <definedName name="PAB_B_EST">#REF!</definedName>
    <definedName name="FWEFW">#REF!</definedName>
    <definedName name="bbvcbvcbc">#REF!</definedName>
    <definedName name="C_G_2">#REF!</definedName>
    <definedName name="FFinal">#REF!</definedName>
    <definedName name="Factor">#REF!</definedName>
    <definedName name="resi">#REF!</definedName>
    <definedName name="_______________PAG1">#REF!</definedName>
    <definedName name="MAQUINA">#REF!</definedName>
    <definedName name="CONTRO">#REF!</definedName>
    <definedName name="IUN">#REF!</definedName>
    <definedName name="CD_03">#REF!</definedName>
    <definedName name="gbgbgbgbg">#REF!</definedName>
    <definedName name="MD">#REF!</definedName>
    <definedName name="LORI">#REF!</definedName>
    <definedName name="PA2_3N">#REF!</definedName>
    <definedName name="OBRAS">#REF!</definedName>
    <definedName name="Llega24">#REF!</definedName>
    <definedName name="_CONDORCANQUI">#REF!</definedName>
    <definedName name="_CHINCHEROS">#REF!</definedName>
    <definedName name="WINS">#REF!</definedName>
    <definedName name="A_7">#REF!</definedName>
    <definedName name="vcvcc">#REF!</definedName>
    <definedName name="formato23">#REF!</definedName>
    <definedName name="_____A2">#REF!</definedName>
    <definedName name="erererererere">#REF!</definedName>
    <definedName name="_HUARI">#REF!</definedName>
    <definedName name="ARMADOS">#REF!</definedName>
    <definedName name="PR">#REF!</definedName>
    <definedName name="PAST_C">#REF!</definedName>
    <definedName name="PA2_2">#REF!</definedName>
    <definedName name="weqre">#REF!</definedName>
    <definedName name="uyuyuy">#REF!</definedName>
    <definedName name="ffv">#REF!</definedName>
    <definedName name="INFnro">#REF!</definedName>
    <definedName name="formato18">#REF!</definedName>
    <definedName name="tipoc">#REF!</definedName>
    <definedName name="part511">#REF!</definedName>
    <definedName name="NGNGHHG">#REF!</definedName>
    <definedName name="dfsadfasd">#REF!</definedName>
    <definedName name="v">#REF!</definedName>
    <definedName name="_CELENDIN">#REF!</definedName>
    <definedName name="D">#REF!</definedName>
    <definedName name="_HUANUCO_">#REF!</definedName>
    <definedName name="_CANTA">#REF!</definedName>
    <definedName name="_HUACAYBAMBA">#REF!</definedName>
    <definedName name="PAVIMENTOS">#REF!</definedName>
    <definedName name="cxxczxczxc">#REF!</definedName>
    <definedName name="E_1_1">#REF!</definedName>
    <definedName name="walter">#REF!</definedName>
    <definedName name="__123Graph_AGraph2">#REF!</definedName>
    <definedName name="_CAÑETE">#REF!</definedName>
    <definedName name="CDIRECTO">#REF!</definedName>
    <definedName name="PSEC_1N_M">#REF!</definedName>
    <definedName name="to">#REF!</definedName>
    <definedName name="Inicio56">#REF!</definedName>
    <definedName name="_NASCA">#REF!</definedName>
    <definedName name="Llega22a23">#REF!</definedName>
    <definedName name="SMM_1">#REF!</definedName>
    <definedName name="mmfebrero">#REF!</definedName>
    <definedName name="K01_1198">#REF!</definedName>
    <definedName name="SALE8">#REF!</definedName>
    <definedName name="mmnoviembre">#REF!</definedName>
    <definedName name="altreintaitres">#REF!</definedName>
    <definedName name="kjkjh">#REF!</definedName>
    <definedName name="_pre03">#REF!</definedName>
    <definedName name="adwdasd">#REF!</definedName>
    <definedName name="E_4_1">#REF!</definedName>
    <definedName name="_HUANCABAMBA">#REF!</definedName>
    <definedName name="HJ">#REF!</definedName>
    <definedName name="A_12">#REF!</definedName>
    <definedName name="__________PAG1">#REF!</definedName>
    <definedName name="Prog01_04">#REF!</definedName>
    <definedName name="PSEC_1N">#REF!</definedName>
    <definedName name="_INS05">#REF!</definedName>
    <definedName name="CERCO_AES">#REF!</definedName>
    <definedName name="COM">#REF!</definedName>
    <definedName name="HGFHFGHGF">#REF!</definedName>
    <definedName name="K01_0399">#REF!</definedName>
    <definedName name="DAILY11">#REF!</definedName>
    <definedName name="FGHGF">#REF!</definedName>
    <definedName name="adelanto">#REF!</definedName>
    <definedName name="hmhmhgmgh">#REF!</definedName>
    <definedName name="ASDFASDFDS">#REF!</definedName>
    <definedName name="C_G_1">#REF!</definedName>
    <definedName name="E_3">#REF!</definedName>
    <definedName name="AREAS">#REF!</definedName>
    <definedName name="__DAT03">#REF!</definedName>
    <definedName name="CORONA">#REF!</definedName>
    <definedName name="dasdfef">#REF!</definedName>
    <definedName name="lll">#REF!</definedName>
    <definedName name="gggggggg">#REF!</definedName>
    <definedName name="AS">#REF!</definedName>
    <definedName name="PS1_1NT">#REF!</definedName>
    <definedName name="SET">#REF!</definedName>
    <definedName name="EFDFDFDFD">#REF!</definedName>
    <definedName name="PTV_3">#REF!</definedName>
    <definedName name="zxzxdadsa">#REF!</definedName>
    <definedName name="dgdfgdfgdfgdfg">#REF!</definedName>
    <definedName name="K01_1103">#REF!</definedName>
    <definedName name="BASE">#REF!</definedName>
    <definedName name="RESUMEN">#REF!</definedName>
    <definedName name="GGSFSF">#REF!</definedName>
    <definedName name="PS1_3N">#REF!</definedName>
    <definedName name="alSEIS">#REF!</definedName>
    <definedName name="CURVAS">#REF!</definedName>
    <definedName name="WDQWD">#REF!</definedName>
    <definedName name="YOPPPP">#REF!</definedName>
    <definedName name="ANEXO31">#REF!</definedName>
    <definedName name="INGENIERO">#REF!</definedName>
    <definedName name="_211ProgFFSantoato">#REF!</definedName>
    <definedName name="sdeswwwwwwwwwwwwwwwww">#REF!</definedName>
    <definedName name="nuevasenero">#REF!</definedName>
    <definedName name="JUJ">#REF!</definedName>
    <definedName name="JKJKJKJKJKJ">#REF!</definedName>
    <definedName name="polinomica">#REF!</definedName>
    <definedName name="_Sep1">#REF!</definedName>
    <definedName name="ProgJulio">#REF!</definedName>
    <definedName name="__del33">#REF!</definedName>
    <definedName name="fdfdfdfdfdffff">#REF!</definedName>
    <definedName name="K01_1298">#REF!</definedName>
    <definedName name="pla">#REF!</definedName>
    <definedName name="xcxcxcxc">#REF!</definedName>
    <definedName name="ZZZZZZZZZZZZZZZZZZZZZZ">#REF!</definedName>
    <definedName name="qwaww">#REF!</definedName>
    <definedName name="OOOOOOOO">#REF!</definedName>
    <definedName name="ACOM_CC">#REF!</definedName>
    <definedName name="SL">#REF!</definedName>
    <definedName name="JHJJHJH">#REF!</definedName>
    <definedName name="PORTALINEA">#REF!</definedName>
    <definedName name="A_13">#REF!</definedName>
    <definedName name="A_2">#REF!</definedName>
    <definedName name="PSEC_3">#REF!</definedName>
    <definedName name="PSVE_2">#REF!</definedName>
    <definedName name="part509.A">#REF!</definedName>
    <definedName name="FDGDFGDFGFG">#REF!</definedName>
    <definedName name="K02_0299">#REF!</definedName>
    <definedName name="holydays1">#REF!</definedName>
    <definedName name="_BELLAVISTA">#REF!</definedName>
    <definedName name="ololkl">#REF!</definedName>
    <definedName name="DFSDFDSFDSFDFDS">#REF!</definedName>
    <definedName name="hola">#REF!</definedName>
    <definedName name="VFGG">#REF!</definedName>
    <definedName name="WDWDWDW">#REF!</definedName>
    <definedName name="EMILIO">#REF!</definedName>
    <definedName name="DS_3">#REF!</definedName>
    <definedName name="gfhfghgh">#REF!</definedName>
    <definedName name="part537">#REF!</definedName>
    <definedName name="Detalle_de_la__Obra">#REF!</definedName>
    <definedName name="GFGFG">#REF!</definedName>
    <definedName name="HVGJF">#REF!</definedName>
    <definedName name="Anticipo">#REF!</definedName>
    <definedName name="frodo">#REF!</definedName>
    <definedName name="_YAROWILCA">#REF!</definedName>
    <definedName name="SADASD">#REF!</definedName>
    <definedName name="PTV_1N_M">#REF!</definedName>
    <definedName name="GJunio">#REF!</definedName>
    <definedName name="SFFFFF">#REF!</definedName>
    <definedName name="RI_S">#REF!</definedName>
    <definedName name="_CAO2">#REF!</definedName>
    <definedName name="OBRASANT">#REF!</definedName>
    <definedName name="bvb">#REF!</definedName>
    <definedName name="mnmnbmj">#REF!</definedName>
    <definedName name="al22calle4">#REF!</definedName>
    <definedName name="DC_2T">#REF!</definedName>
    <definedName name="SUP">#REF!</definedName>
    <definedName name="ANC_CAJA_ALC">#REF!</definedName>
    <definedName name="nnnn">#REF!</definedName>
    <definedName name="PROPIETARIO">#REF!</definedName>
    <definedName name="ITEMS">#REF!</definedName>
    <definedName name="y">#REF!</definedName>
    <definedName name="_TARATA">#REF!</definedName>
    <definedName name="yyjj">#REF!</definedName>
    <definedName name="TO_MAT">#REF!</definedName>
    <definedName name="_RECUAY">#REF!</definedName>
    <definedName name="____________PAG1">#REF!</definedName>
    <definedName name="bvc">#REF!</definedName>
    <definedName name="HTHTT">#REF!</definedName>
    <definedName name="AssZAPATA">#REF!</definedName>
    <definedName name="SDAS">#REF!</definedName>
    <definedName name="VAL03_02">#REF!</definedName>
    <definedName name="RENDIMIENTO_DE_EQUIPOS_STEP_16">#REF!</definedName>
    <definedName name="ZZZZZZZZZZZZZZZZZZZZZZZZZZZZZZZZZZZZZZZZZZZZZZZZZZ">#REF!</definedName>
    <definedName name="RRRR">#REF!</definedName>
    <definedName name="LOLOL">#REF!</definedName>
    <definedName name="FFF">#REF!</definedName>
    <definedName name="RI_A">#REF!</definedName>
    <definedName name="___HOJ3">#REF!</definedName>
    <definedName name="sdscszcz">#REF!</definedName>
    <definedName name="PAAAN">#REF!</definedName>
    <definedName name="dfdsfdsfds">#REF!</definedName>
    <definedName name="llklklklklklklklk">#REF!</definedName>
    <definedName name="iopoiop">#REF!</definedName>
    <definedName name="AAAA">#REF!</definedName>
    <definedName name="YAA">#REF!</definedName>
    <definedName name="SDASD">#REF!</definedName>
    <definedName name="Database">#REF!</definedName>
    <definedName name="__DAT1">#REF!</definedName>
    <definedName name="KHIKHIKIKIKIK">#REF!</definedName>
    <definedName name="vcvcxvcxvcx">#REF!</definedName>
    <definedName name="LOLO2">#REF!</definedName>
    <definedName name="PA2_3">#REF!</definedName>
    <definedName name="METRADOS">#REF!</definedName>
    <definedName name="MAQUINA_2">#REF!</definedName>
    <definedName name="AAAAAAAA">#REF!</definedName>
    <definedName name="BOTADERO">#REF!</definedName>
    <definedName name="cabezalentrada">#REF!</definedName>
    <definedName name="SBM_1">#REF!</definedName>
    <definedName name="cdevfrbgtyhnmjyukjlaq">#REF!</definedName>
    <definedName name="vcxvxcvcx">#REF!</definedName>
    <definedName name="_CAO3">#REF!</definedName>
    <definedName name="SXAS">#REF!</definedName>
    <definedName name="K01_0599">#REF!</definedName>
    <definedName name="Llega22a21">#REF!</definedName>
    <definedName name="E_3S">#REF!</definedName>
    <definedName name="PSEC_0P_M">#REF!</definedName>
    <definedName name="rttt">#REF!</definedName>
    <definedName name="xxxxxx">#REF!</definedName>
    <definedName name="_PROVINCIA_CONSTITUCIONAL_DEL_CALLAO">#REF!</definedName>
    <definedName name="_ICA_">#REF!</definedName>
    <definedName name="CONCLUSIONES">#REF!</definedName>
    <definedName name="FSFASFD">#REF!</definedName>
    <definedName name="ffffffffffff">#REF!</definedName>
    <definedName name="vxcvcvcv">#REF!</definedName>
    <definedName name="MARZO">#REF!</definedName>
    <definedName name="vzxczxczxczx">#REF!</definedName>
    <definedName name="connyyyyy">#REF!</definedName>
    <definedName name="exped">#REF!</definedName>
    <definedName name="cv">#REF!</definedName>
    <definedName name="Retencion">#REF!</definedName>
    <definedName name="fdgdfgfdd">#REF!</definedName>
    <definedName name="dsfsdffsdf">#REF!</definedName>
    <definedName name="Pasajes">#REF!</definedName>
    <definedName name="lk">#REF!</definedName>
    <definedName name="CIVIL">#REF!</definedName>
    <definedName name="za">#REF!</definedName>
    <definedName name="CON_D2">#REF!</definedName>
    <definedName name="C_G">#REF!</definedName>
    <definedName name="_____HOJ1">#REF!</definedName>
    <definedName name="CD">#REF!</definedName>
    <definedName name="ADAD">#REF!</definedName>
    <definedName name="MARTES">#REF!</definedName>
    <definedName name="PRES">#REF!</definedName>
    <definedName name="mmseptiembre">#REF!</definedName>
    <definedName name="Cambio">#REF!</definedName>
    <definedName name="PA1_0_M">#REF!</definedName>
    <definedName name="jhgj">#REF!</definedName>
    <definedName name="gdfgfd">#REF!</definedName>
    <definedName name="_________HOJ3">#REF!</definedName>
    <definedName name="SUMINISTRO">#REF!</definedName>
    <definedName name="FGFDGFD">#REF!</definedName>
    <definedName name="costx">#REF!</definedName>
    <definedName name="ccc">#REF!</definedName>
    <definedName name="CNFBVGSRED4567VJFHRTYDNVLPF">#REF!</definedName>
    <definedName name="CUI">#REF!</definedName>
    <definedName name="K01_0503">#REF!</definedName>
    <definedName name="_INS1">#REF!</definedName>
    <definedName name="hghghhhhhhhhhhhh">#REF!</definedName>
    <definedName name="ARLI">#REF!</definedName>
    <definedName name="IP_EQUIPOS_STEP_01C">#REF!</definedName>
    <definedName name="ATEC">#REF!</definedName>
    <definedName name="vxcvxcvxcv">#REF!</definedName>
    <definedName name="ytryrty">#REF!</definedName>
    <definedName name="K01_0403">#REF!</definedName>
    <definedName name="delDOCE">#REF!</definedName>
    <definedName name="_VILCAS_HUAMAN">#REF!</definedName>
    <definedName name="ahahahah">#REF!</definedName>
    <definedName name="adswaerae">#REF!</definedName>
    <definedName name="mmjunio">#REF!</definedName>
    <definedName name="VARIOS">#REF!</definedName>
    <definedName name="vxvcxvcvcvcv">#REF!</definedName>
    <definedName name="Metas2013">#REF!</definedName>
    <definedName name="fdfdsfds">#REF!</definedName>
    <definedName name="_EL_DORADO">#REF!</definedName>
    <definedName name="Hoja">#REF!</definedName>
    <definedName name="nmnbmnb">#REF!</definedName>
    <definedName name="_SULLANA">#REF!</definedName>
    <definedName name="_HUANCA_SANCOS">#REF!</definedName>
    <definedName name="gfgfgff">#REF!</definedName>
    <definedName name="ZZ">#REF!</definedName>
    <definedName name="HHHHHH">#REF!</definedName>
    <definedName name="COSTO_POSESION">#REF!</definedName>
    <definedName name="ge">#REF!</definedName>
    <definedName name="asdads">#REF!</definedName>
    <definedName name="PR3_3">#REF!</definedName>
    <definedName name="PTH_3NT">#REF!</definedName>
    <definedName name="P_G">#REF!</definedName>
    <definedName name="PS1_0_M">#REF!</definedName>
    <definedName name="_PADRE_ABAD">#REF!</definedName>
    <definedName name="eeeeeeeeeeee">#REF!</definedName>
    <definedName name="MO">#REF!</definedName>
    <definedName name="_CAO7">#REF!</definedName>
    <definedName name="walterquispecamona">#REF!</definedName>
    <definedName name="COSTO_MANO_DE_OBRA_STEP_02B">#REF!</definedName>
    <definedName name="_OCROS">#REF!</definedName>
    <definedName name="_TAYACAJA">#REF!</definedName>
    <definedName name="jhjhgjhg">#REF!</definedName>
    <definedName name="_CTZ2">#REF!</definedName>
    <definedName name="_HUANTA">#REF!</definedName>
    <definedName name="aaab">#REF!</definedName>
    <definedName name="__Del26">#REF!</definedName>
    <definedName name="_211">#REF!</definedName>
    <definedName name="PRECIO_COM1">#REF!</definedName>
    <definedName name="czxczxczxcz">#REF!</definedName>
    <definedName name="PAAT_1_M">#REF!</definedName>
    <definedName name="_CUSCO_">#REF!</definedName>
    <definedName name="E_4_1S">#REF!</definedName>
    <definedName name="Inicio39">#REF!</definedName>
    <definedName name="capa">#REF!</definedName>
    <definedName name="CREW">#REF!</definedName>
    <definedName name="EST">#REF!</definedName>
    <definedName name="_____n2">#REF!</definedName>
    <definedName name="asasa">#REF!</definedName>
    <definedName name="EVALUADOR_______________Ing__Juan_B._Sota_Huaman">#REF!</definedName>
    <definedName name="cxcxcxcxcxcxcxxxx">#REF!</definedName>
    <definedName name="Leyes_Sociales">#REF!</definedName>
    <definedName name="EX_UNI_CAB">#REF!</definedName>
    <definedName name="Concretero">#REF!</definedName>
    <definedName name="hjhj">#REF!</definedName>
    <definedName name="SUPERVISION">#REF!</definedName>
    <definedName name="P_A">#REF!</definedName>
    <definedName name="FACTURACIONES_SALDO_DE_OBRA_IPC_Lista">#REF!</definedName>
    <definedName name="TAREO2">#REF!</definedName>
    <definedName name="kjkjkjkjkjkjk">#REF!</definedName>
    <definedName name="YJYJ">#REF!</definedName>
    <definedName name="_ANCASH">#REF!</definedName>
    <definedName name="TS_3">#REF!</definedName>
    <definedName name="LEVELS">#REF!</definedName>
    <definedName name="HYHT">#REF!</definedName>
    <definedName name="COSTO_DIRECTO_STEP_02">#REF!</definedName>
    <definedName name="presupuestoadicional">#REF!</definedName>
    <definedName name="CONSUMO_D_2__GAL_H">#REF!</definedName>
    <definedName name="cronoin">#REF!</definedName>
    <definedName name="PS1_1N">#REF!</definedName>
    <definedName name="ASD">#REF!</definedName>
    <definedName name="dgfrtsreawlku4561">#REF!</definedName>
    <definedName name="DC">#REF!</definedName>
    <definedName name="hh">#REF!</definedName>
    <definedName name="_CONTUMAZA">#REF!</definedName>
    <definedName name="zzzzzz">#REF!</definedName>
    <definedName name="Ñ">#REF!</definedName>
    <definedName name="_HOJ5">#REF!</definedName>
    <definedName name="LISTA03">#REF!</definedName>
    <definedName name="OPEP6">#REF!</definedName>
    <definedName name="__123Graph_AGraph4">#REF!</definedName>
    <definedName name="DDDDDDD">#REF!</definedName>
    <definedName name="sqws">#REF!</definedName>
    <definedName name="resumen12">#REF!</definedName>
    <definedName name="CÓDIGO">#REF!</definedName>
    <definedName name="dssd">#REF!</definedName>
    <definedName name="Tri">#REF!</definedName>
    <definedName name="WEEK">#REF!</definedName>
    <definedName name="K03_1098">#REF!</definedName>
    <definedName name="Tperdido">#REF!</definedName>
    <definedName name="jhgjhg">#REF!</definedName>
    <definedName name="OO">#REF!</definedName>
    <definedName name="VARIOSANT">#REF!</definedName>
    <definedName name="czx">#REF!</definedName>
    <definedName name="lLEGA13">#REF!</definedName>
    <definedName name="_2">#REF!</definedName>
    <definedName name="Elgar01">#REF!</definedName>
    <definedName name="Saldo03">#REF!</definedName>
    <definedName name="_GRAU">#REF!</definedName>
    <definedName name="DDDDDDDD">#REF!</definedName>
    <definedName name="_HUAYTARA">#REF!</definedName>
    <definedName name="FICHAAAA">#REF!</definedName>
    <definedName name="_JORGE_BASADRE">#REF!</definedName>
    <definedName name="k01_0104">#REF!</definedName>
    <definedName name="CUADRILLAS">#REF!</definedName>
    <definedName name="_MOHO">#REF!</definedName>
    <definedName name="cuadro01">#REF!</definedName>
    <definedName name="A_22">#REF!</definedName>
    <definedName name="TABLA">#REF!</definedName>
    <definedName name="zzzzzzz">#REF!</definedName>
    <definedName name="dddd">#REF!</definedName>
    <definedName name="ljaBO">#REF!</definedName>
    <definedName name="gdfgfdgfd">#REF!</definedName>
    <definedName name="ASDAFAS">#REF!</definedName>
    <definedName name="IU">#REF!</definedName>
    <definedName name="bbcbchh">#REF!</definedName>
    <definedName name="SDSD">#REF!</definedName>
    <definedName name="RRTRTRT">#REF!</definedName>
    <definedName name="ncvdgr153">#REF!</definedName>
    <definedName name="SGD">#REF!</definedName>
    <definedName name="_DATEM_DEL_MARAÑON">#REF!</definedName>
    <definedName name="PAINTING">#REF!</definedName>
    <definedName name="PROV">#REF!</definedName>
    <definedName name="__CAO1">#REF!</definedName>
    <definedName name="eeerrrrrrrwww">#REF!</definedName>
    <definedName name="DMC">#REF!</definedName>
    <definedName name="OBRAabreviatura">#REF!</definedName>
    <definedName name="I">#REF!</definedName>
    <definedName name="_fjtjdtyj">#REF!</definedName>
    <definedName name="alTREINTA">#REF!</definedName>
    <definedName name="HGGHGGGGGG">#REF!</definedName>
    <definedName name="ARENA">#REF!</definedName>
    <definedName name="LUZ">#REF!</definedName>
    <definedName name="FEGRG">#REF!</definedName>
    <definedName name="CONCRETE">#REF!</definedName>
    <definedName name="INFRA">#REF!</definedName>
    <definedName name="fg.10">#REF!</definedName>
    <definedName name="_VICTOR_FAJARDO">#REF!</definedName>
    <definedName name="PA1_1NT_M">#REF!</definedName>
    <definedName name="_RIOJA">#REF!</definedName>
    <definedName name="COSTO_MANO_DE_OBRA_STEP_02">#REF!</definedName>
    <definedName name="SHARED_FORMULA_2">#REF!</definedName>
    <definedName name="Val._01">#REF!</definedName>
    <definedName name="jjjjjjjjjjj">#REF!</definedName>
    <definedName name="_LIMA">#REF!</definedName>
    <definedName name="TITLE">#REF!</definedName>
    <definedName name="EA">#REF!</definedName>
    <definedName name="ed">#REF!</definedName>
    <definedName name="PS1_3">#REF!</definedName>
    <definedName name="PA2_3NT">#REF!</definedName>
    <definedName name="TS_0">#REF!</definedName>
    <definedName name="Prog03_02">#REF!</definedName>
    <definedName name="mmoctubre">#REF!</definedName>
    <definedName name="cf">#REF!</definedName>
    <definedName name="__123Graph_AGraph3">#REF!</definedName>
    <definedName name="formato15">#REF!</definedName>
    <definedName name="PSEC_0_M">#REF!</definedName>
    <definedName name="A_21">#REF!</definedName>
    <definedName name="KLKLK">#REF!</definedName>
    <definedName name="E_5_1S">#REF!</definedName>
    <definedName name="gdf">#REF!</definedName>
    <definedName name="GASTADAS">#REF!</definedName>
    <definedName name="KR">Hoja1!$AV$35:$BN$36</definedName>
    <definedName name="BO_CEMENTO">#REF!</definedName>
    <definedName name="alONCE">#REF!</definedName>
    <definedName name="YOVAN">#REF!</definedName>
    <definedName name="_PICOTA">#REF!</definedName>
    <definedName name="part512">#REF!</definedName>
    <definedName name="FF">#REF!</definedName>
    <definedName name="KKKKKKKKKKKKKKKK">#REF!</definedName>
    <definedName name="sdfsdgfgbthgf">#REF!</definedName>
    <definedName name="______HOJ2">#REF!</definedName>
    <definedName name="MaestroMayor_Cañerías_Mecánica">#REF!</definedName>
    <definedName name="qqqqqqqqqqqqqqqqqq">#REF!</definedName>
    <definedName name="crono">#REF!</definedName>
    <definedName name="LANTAS_C_H">#REF!</definedName>
    <definedName name="_PAITA">#REF!</definedName>
    <definedName name="____A4">#REF!</definedName>
    <definedName name="fd">#REF!</definedName>
    <definedName name="Peso">#REF!</definedName>
    <definedName name="DIANA">#REF!</definedName>
    <definedName name="PS1_2N">#REF!</definedName>
    <definedName name="TONI">#REF!</definedName>
    <definedName name="__PA1">#REF!</definedName>
    <definedName name="llega5">#REF!</definedName>
    <definedName name="YYYYYYYYYYY">#REF!</definedName>
    <definedName name="BO_ACERO">#REF!</definedName>
    <definedName name="_____A5">#REF!</definedName>
    <definedName name="aaaaasdxs341">#REF!</definedName>
    <definedName name="WEEWEW">#REF!</definedName>
    <definedName name="BQ">#REF!</definedName>
    <definedName name="sdssds">#REF!</definedName>
    <definedName name="PA3_1NT_M">#REF!</definedName>
    <definedName name="_HUANCAYO_">#REF!</definedName>
    <definedName name="Soldador_Plancha">#REF!</definedName>
    <definedName name="OPEP">#REF!</definedName>
    <definedName name="A_18">#REF!</definedName>
    <definedName name="nvoxcnhyfyve">#REF!</definedName>
    <definedName name="Total_Scheduled_Jobhours">#REF!</definedName>
    <definedName name="ÑPÑP">#REF!</definedName>
    <definedName name="_BARRANCA">#REF!</definedName>
    <definedName name="____h2">#REF!</definedName>
    <definedName name="componentes">#REF!</definedName>
    <definedName name="_____A3">#REF!</definedName>
    <definedName name="dedsdedd">#REF!</definedName>
    <definedName name="STRUCTURAL">#REF!</definedName>
    <definedName name="SDGFSDGDFHTGFNFGNGFHFNH">#REF!</definedName>
    <definedName name="DATE">#REF!</definedName>
    <definedName name="_________________PAG1">#REF!</definedName>
    <definedName name="AssC_B">#REF!</definedName>
    <definedName name="E_5_1">#REF!</definedName>
    <definedName name="MADERA">#REF!</definedName>
    <definedName name="ytytytytyt">#REF!</definedName>
    <definedName name="__123Graph_XGraph4">#REF!</definedName>
    <definedName name="alturamuro">#REF!</definedName>
    <definedName name="_____HOJ3">#REF!</definedName>
    <definedName name="wrwsf">#REF!</definedName>
    <definedName name="NNNNNNNNNN">#REF!</definedName>
    <definedName name="Prog01_05">#REF!</definedName>
    <definedName name="_MADRE_DE_DIOS">#REF!</definedName>
    <definedName name="_HUALLAGA">#REF!</definedName>
    <definedName name="PRESUP1">#REF!</definedName>
    <definedName name="_ZARUMILLA">#REF!</definedName>
    <definedName name="__123Graph_AGraph12">#REF!</definedName>
    <definedName name="GGV">#REF!</definedName>
    <definedName name="GDFGFDGDFGGGG">#REF!</definedName>
    <definedName name="_BONGARA">#REF!</definedName>
    <definedName name="xcc">#REF!</definedName>
    <definedName name="TY">#REF!</definedName>
    <definedName name="ZXZXZ">#REF!</definedName>
    <definedName name="AAAAAAAAAAA">#REF!</definedName>
    <definedName name="__123Graph_XGraph5">#REF!</definedName>
    <definedName name="_CUSCO">#REF!</definedName>
    <definedName name="ssasasa">#REF!</definedName>
    <definedName name="PRECIO_COMBUST.">#REF!</definedName>
    <definedName name="hgh">#REF!</definedName>
    <definedName name="ddf">#REF!</definedName>
    <definedName name="qqq">#REF!</definedName>
    <definedName name="ALTO2">#REF!</definedName>
    <definedName name="hbvbvbvbvbv">#REF!</definedName>
    <definedName name="_CUTERVO">#REF!</definedName>
    <definedName name="fisico">#REF!</definedName>
    <definedName name="XASXASX">#REF!</definedName>
    <definedName name="LILI">#REF!</definedName>
    <definedName name="partidas">#REF!</definedName>
    <definedName name="cxcxcxcxccxcx">#REF!</definedName>
    <definedName name="FFFFFFF">#REF!</definedName>
    <definedName name="_ANTA">#REF!</definedName>
    <definedName name="_LAMBAYEQUE">#REF!</definedName>
    <definedName name="_TAMBOPATA">#REF!</definedName>
    <definedName name="TAREOZ1">#REF!</definedName>
    <definedName name="SHARED_FORMULA_3">#REF!</definedName>
    <definedName name="formato13">#REF!</definedName>
    <definedName name="GVEFEW">#REF!</definedName>
    <definedName name="DSAD">#REF!</definedName>
    <definedName name="_SUCRE">#REF!</definedName>
    <definedName name="ds">#REF!</definedName>
  </definedNames>
  <calcPr/>
</workbook>
</file>

<file path=xl/sharedStrings.xml><?xml version="1.0" encoding="utf-8"?>
<sst xmlns="http://schemas.openxmlformats.org/spreadsheetml/2006/main" count="791" uniqueCount="520">
  <si>
    <t>RESUMEN DE METRADOS DE ESTRUCTURAS</t>
  </si>
  <si>
    <t>Proyecto</t>
  </si>
  <si>
    <t>:</t>
  </si>
  <si>
    <t>Mejoramiento De Los Servicios De Educacion Primaria De La I.E Nº 50217 De La Comunidad De Umachurco, Distrito San Salvador, Provincia Calca - Cusco</t>
  </si>
  <si>
    <t xml:space="preserve">Region </t>
  </si>
  <si>
    <t>Cusco</t>
  </si>
  <si>
    <t>Provincia</t>
  </si>
  <si>
    <t>Calca</t>
  </si>
  <si>
    <t>Distrito</t>
  </si>
  <si>
    <t xml:space="preserve">San Salvador </t>
  </si>
  <si>
    <t>Ubicación</t>
  </si>
  <si>
    <t>Comunidad de Umachurco</t>
  </si>
  <si>
    <t>Item</t>
  </si>
  <si>
    <t>DESCRIPCION</t>
  </si>
  <si>
    <t>UND</t>
  </si>
  <si>
    <t>METRADO</t>
  </si>
  <si>
    <t>01</t>
  </si>
  <si>
    <t>OBRAS PROVISIONALES, TRABAJOS PRELIMINARES, SEGURIDAD Y SALUD</t>
  </si>
  <si>
    <t>01.01</t>
  </si>
  <si>
    <t>OBRAS PROVISIONALES Y TRABAJOS PRELIMINARES</t>
  </si>
  <si>
    <t>OBRAS PROVISIONALES</t>
  </si>
  <si>
    <t>01.01.01</t>
  </si>
  <si>
    <t>CARTEL DE IDENTIFICACION DE OBRA</t>
  </si>
  <si>
    <t>01.01.02</t>
  </si>
  <si>
    <t>LIMPIEZA DE TERRENO</t>
  </si>
  <si>
    <t>M2</t>
  </si>
  <si>
    <t>01.01.03</t>
  </si>
  <si>
    <t>CERCO PERIMETRICO CON ARPILLERA</t>
  </si>
  <si>
    <t>ML</t>
  </si>
  <si>
    <t>01.01.04</t>
  </si>
  <si>
    <t>ALQUILER DE OFICINA, ALMACEN Y GUARDIANIA</t>
  </si>
  <si>
    <t>MES</t>
  </si>
  <si>
    <t>01.02</t>
  </si>
  <si>
    <t>TRABAJOS PRELIMINARES</t>
  </si>
  <si>
    <t>01.02.01</t>
  </si>
  <si>
    <t>LIMPIEZA PERMANENTE DE OBRA</t>
  </si>
  <si>
    <t>01.06</t>
  </si>
  <si>
    <t>TRAZO, NIVELES Y REPLANTEO</t>
  </si>
  <si>
    <t>01.06.01</t>
  </si>
  <si>
    <t>TRAZO, NIVELES Y REPLANTEO PRELIMINAR</t>
  </si>
  <si>
    <t>TRAZO, NIVELES Y REPLANTEO DURANTE LA EJECUCION</t>
  </si>
  <si>
    <t>01.03</t>
  </si>
  <si>
    <t>MOVILIZACION Y DESMOVILIZACION</t>
  </si>
  <si>
    <t>01.03.01</t>
  </si>
  <si>
    <t>MOVILIZACION Y DESMOVILIZACION DE EQUIPO Y MAQUINARIA</t>
  </si>
  <si>
    <t>GBL</t>
  </si>
  <si>
    <t>01.05.01</t>
  </si>
  <si>
    <t>TRANSPORTE DE MATERIALES A OBRA</t>
  </si>
  <si>
    <t>REMOCIONES</t>
  </si>
  <si>
    <t>DESMONTAJE DE MODULO PREFABRICADO</t>
  </si>
  <si>
    <t>MONTAJE DE MODULO PREFABRICADO EN NUEVA UBICACIÓN</t>
  </si>
  <si>
    <t>02</t>
  </si>
  <si>
    <t>ESTRUCTURAS</t>
  </si>
  <si>
    <t>02.01</t>
  </si>
  <si>
    <t>MOVIMIENTO DE TIERRAS</t>
  </si>
  <si>
    <t>02.01.01</t>
  </si>
  <si>
    <t>EXCAVACION MASIVA DE TERRENO MANUAL</t>
  </si>
  <si>
    <t>M3</t>
  </si>
  <si>
    <t>02.01.02</t>
  </si>
  <si>
    <t>EXCAVACION DE ZANJA PARA CIMIENTOS Y ZAPATAS</t>
  </si>
  <si>
    <t>02.01.03</t>
  </si>
  <si>
    <t>RELLENO CON MATERIAL PROPIO</t>
  </si>
  <si>
    <t>02.01.04</t>
  </si>
  <si>
    <t>ELIMINACION DE MATERIAL EXCEDENTE MANUAL D=40M</t>
  </si>
  <si>
    <t>02.01.05</t>
  </si>
  <si>
    <t>ELIMINACION DE MATERIAL EXCEDENTE CON MAQUINARIA</t>
  </si>
  <si>
    <t>02.02</t>
  </si>
  <si>
    <t>OBRAS DE CONCRETO SIMPLE</t>
  </si>
  <si>
    <t>02.02.01</t>
  </si>
  <si>
    <t>SOLADOS</t>
  </si>
  <si>
    <t>02.02.01.01</t>
  </si>
  <si>
    <t xml:space="preserve">SOLADO E=0.10 M.
</t>
  </si>
  <si>
    <t>CIMIENTOS CORRIDOS</t>
  </si>
  <si>
    <t xml:space="preserve">CONCRETO CICLOPEO EN CIMIENTOS CORRIDOS (MEZCLA 1:10+30%PG). </t>
  </si>
  <si>
    <t>02.02.02</t>
  </si>
  <si>
    <t>SOBRECIMIENTOS</t>
  </si>
  <si>
    <t>02.02.02.02</t>
  </si>
  <si>
    <t xml:space="preserve">CONCRETO EN SOBRECIMIENTOS (MEZCLA 1:8+25%PM). </t>
  </si>
  <si>
    <t>02.02.02.01</t>
  </si>
  <si>
    <t>ENCOFRADO Y DESENCOFRADO NORMAL DE SOBRECIMIENTO</t>
  </si>
  <si>
    <t>02.03</t>
  </si>
  <si>
    <t>CONCRETO ARMADO</t>
  </si>
  <si>
    <t>02.03.01</t>
  </si>
  <si>
    <t>ZAPATAS</t>
  </si>
  <si>
    <t>02.03.01.01</t>
  </si>
  <si>
    <t>CONCRETO p/ZAPATAS (f'c = 210 kg/cm2.)</t>
  </si>
  <si>
    <t>02.03.01.02</t>
  </si>
  <si>
    <t>ACERO DE REFUERZO G-60, fy= 4,200 Kg/cm2. p/ZAPATAS</t>
  </si>
  <si>
    <t>KG</t>
  </si>
  <si>
    <t>02.03.02</t>
  </si>
  <si>
    <t>VIGAS DE CONEXIÓN</t>
  </si>
  <si>
    <t>02.03.02.01</t>
  </si>
  <si>
    <t>CONCRETO p/VIGAS DE CIMENTACION (f'c= 210 Kg/cm2.)</t>
  </si>
  <si>
    <t>02.03.02.02</t>
  </si>
  <si>
    <t>ENCOFRADO Y DESENCOFRADO DE VIGA DE CIMENTACION</t>
  </si>
  <si>
    <t>02.03.02.03</t>
  </si>
  <si>
    <t>ACERO DE REFUERZO G-60, fy = 4,200 Kg/cm2. p/VIGAS DE CIMENTACION</t>
  </si>
  <si>
    <t>02.03.03</t>
  </si>
  <si>
    <t>COLUMNAS</t>
  </si>
  <si>
    <t>02.03.03.01</t>
  </si>
  <si>
    <t>CONCRETO p/COLUMNAS (f'c = 210 kg/cm2.)</t>
  </si>
  <si>
    <t>02.03.03.02</t>
  </si>
  <si>
    <t>ENCOFRADO Y DESENCOFRADO DE COLUMNAS</t>
  </si>
  <si>
    <t>02.03.03.03</t>
  </si>
  <si>
    <t>ACERO DE REFUERZO G-60, fy = 4,200 kg/cm2. p/COLUMNAS</t>
  </si>
  <si>
    <t>02.03.04</t>
  </si>
  <si>
    <t>VIGAS</t>
  </si>
  <si>
    <t>02.03.04.01</t>
  </si>
  <si>
    <t>CONCRETO p/VIGAS (f'c= 210 Kg/cm2.)</t>
  </si>
  <si>
    <t>02.03.04.02</t>
  </si>
  <si>
    <t>ENCOFRADO Y DESENCOFRADO p/VIGAS</t>
  </si>
  <si>
    <t>02.03.04.03</t>
  </si>
  <si>
    <t>ACERO DE REFUERZO G-60, fy = 4,200 Kg/cm2. p/VIGAS</t>
  </si>
  <si>
    <t>02.03.05</t>
  </si>
  <si>
    <t>LOSA ALIGERADA</t>
  </si>
  <si>
    <t>02.03.05.01</t>
  </si>
  <si>
    <t>CONCRETO p/LOSA ALIGERADA (f'c = 210 kg/cm2.)</t>
  </si>
  <si>
    <t>02.03.05.02</t>
  </si>
  <si>
    <t>ENCOFRADO Y DESENCOFRADO p/LOSAS ALIGERADAS</t>
  </si>
  <si>
    <t>02.03.05.03</t>
  </si>
  <si>
    <t>ACERO DE REFUERZO G-60, fy = 4,200 Kg/cm2. p/LOSAS ALIGERADAS</t>
  </si>
  <si>
    <t>02.03.05.04</t>
  </si>
  <si>
    <t>LADRILLO HUECO DE ARCILLA H=0.15mts, PARA TECHO ALIGERADO</t>
  </si>
  <si>
    <t>02.03.06</t>
  </si>
  <si>
    <t>LOSA MACIZA</t>
  </si>
  <si>
    <t>02.03.06.01</t>
  </si>
  <si>
    <t>CONCRETO PARA LOSA MACIZA, f'c = 210 kg/cm2</t>
  </si>
  <si>
    <t>02.03.06.02</t>
  </si>
  <si>
    <t>ENCOFRADO Y DESENCOFRADO NORMAL DE LOSA MACIZA</t>
  </si>
  <si>
    <t>02.03.06.03</t>
  </si>
  <si>
    <t>ACERO EN LOSA MACIZA, fy=4200 Kg/cm2</t>
  </si>
  <si>
    <t>02.03.07</t>
  </si>
  <si>
    <t>ESCALERAS</t>
  </si>
  <si>
    <t>02.03.07.01</t>
  </si>
  <si>
    <t>CONCRETO p/ESCALERAS (f'c=210 Kg/cm.)</t>
  </si>
  <si>
    <t>02.03.07.02</t>
  </si>
  <si>
    <t>ENCOFRADO Y DESENCOFRADO DE ESCALERAS</t>
  </si>
  <si>
    <t>02.03.07.03</t>
  </si>
  <si>
    <t>ACERO DE REFUERZO G-60, fy= 4,200 Kg/cm2. p/ESCALERAS</t>
  </si>
  <si>
    <t>MUROS DE SOSTENIMIENTO DE CONCRETO CICLOPEO</t>
  </si>
  <si>
    <t xml:space="preserve">CONCRETO CICLOPEO (MEZCLA 1:10+30%PG). </t>
  </si>
  <si>
    <t>MUROS DE SOSTENIMIENTO DE CONCRETO ARMADO</t>
  </si>
  <si>
    <t>CONCRETO p/MUROS (f'c=210 Kg/cm.)</t>
  </si>
  <si>
    <t>ENCOFRADO Y DESENCOFRADO DE MUROS</t>
  </si>
  <si>
    <t>ACERO DE REFUERZO G-60, fy= 4,200 Kg/cm2. p/MUROS</t>
  </si>
  <si>
    <t>02.04</t>
  </si>
  <si>
    <t>ESTRUCTURA DE ACERO</t>
  </si>
  <si>
    <t>02.04.01</t>
  </si>
  <si>
    <t>02.04.01.01</t>
  </si>
  <si>
    <t>ARMADO DE COLUMNAS</t>
  </si>
  <si>
    <t>02.04.01.03</t>
  </si>
  <si>
    <t>MONTAJE  DE COLUMNAS</t>
  </si>
  <si>
    <t>ARMADO DE VIGAS</t>
  </si>
  <si>
    <t>MONTAJE  DE VIGAS</t>
  </si>
  <si>
    <t>CABLE DE ACERO GALVANIZADO</t>
  </si>
  <si>
    <t>MALLA RASCHEL</t>
  </si>
  <si>
    <t>HOJA DE METRADOS DIARIOS DE PARTIDAS PROGRAMADAS SEGÚN EXPEDIENTE TECNICO</t>
  </si>
  <si>
    <t>OBRA</t>
  </si>
  <si>
    <t>PARTIDA</t>
  </si>
  <si>
    <t>CANTIDAD</t>
  </si>
  <si>
    <t>LONGITUD/AREA</t>
  </si>
  <si>
    <t>ANCHO</t>
  </si>
  <si>
    <t>ALTURA</t>
  </si>
  <si>
    <t>N° VECES</t>
  </si>
  <si>
    <t>Φ</t>
  </si>
  <si>
    <t>DIAMETRO DE REFUERZO DE ACERO</t>
  </si>
  <si>
    <t>1/4"</t>
  </si>
  <si>
    <t>3/8"</t>
  </si>
  <si>
    <t>1/2"</t>
  </si>
  <si>
    <t>|</t>
  </si>
  <si>
    <t>3/4"</t>
  </si>
  <si>
    <t>1"</t>
  </si>
  <si>
    <t>SUB-TOTAL</t>
  </si>
  <si>
    <t>TOTAL</t>
  </si>
  <si>
    <t>OE.2.3.7.3</t>
  </si>
  <si>
    <t>Columnas - acero f'y=4200 Kg/cm2</t>
  </si>
  <si>
    <t>bloque 5 2DO NIVEL</t>
  </si>
  <si>
    <t>COLUMNA</t>
  </si>
  <si>
    <t>ACERO LONGUTDINAL</t>
  </si>
  <si>
    <t>EMPALME</t>
  </si>
  <si>
    <t>MARZO DEL 2026</t>
  </si>
  <si>
    <t>OBRA : “MEJORAMIENTO Y AMPLIACION DE LOS SERVICIOS DE SALUD DEL ESTABLECIMIENTO DE SALUD DE BELEMPAMPA - DISTRITO DE SANTIAGO - PROVINCIA DE CUSCO - REGION CUSCO - HOSPITAL”</t>
  </si>
  <si>
    <t>HOJA DE METRADOS DIARIOS DE PARTIDAS NUEVAS POR APROBAR</t>
  </si>
  <si>
    <t>GRADO\</t>
  </si>
  <si>
    <t>NIVEL IND.</t>
  </si>
  <si>
    <t>FECHA</t>
  </si>
  <si>
    <t>FRENTE</t>
  </si>
  <si>
    <t>BLOQUE</t>
  </si>
  <si>
    <t>NIVEL</t>
  </si>
  <si>
    <t>CODIGO</t>
  </si>
  <si>
    <t>DESCRIPCIÓN</t>
  </si>
  <si>
    <t>ANCHO / EMPAME</t>
  </si>
  <si>
    <t>ALTURA / GANCHO</t>
  </si>
  <si>
    <t>PARCIAL</t>
  </si>
  <si>
    <t>ACERO</t>
  </si>
  <si>
    <t>UNIDADES</t>
  </si>
  <si>
    <t>MOD.</t>
  </si>
  <si>
    <t>OE.6.2.72</t>
  </si>
  <si>
    <t>und</t>
  </si>
  <si>
    <t>Instalación de Abrazadera unistrut de 3/4"</t>
  </si>
  <si>
    <t>Conector PVC SAP NTP 399.006 DE 25 mm</t>
  </si>
  <si>
    <t>Und</t>
  </si>
  <si>
    <t>OE.6.2.73</t>
  </si>
  <si>
    <t>Instalación de Abrazadera unistrut de 1"</t>
  </si>
  <si>
    <t>Conector PVC SAP NTP 399.006 DE 20 mm</t>
  </si>
  <si>
    <t>OE.6.3.28</t>
  </si>
  <si>
    <t>Instalación de salida de datos cat. 7A simple - doble</t>
  </si>
  <si>
    <t>Riel unistrut 41x21x1.5mmx2.4m</t>
  </si>
  <si>
    <t>m</t>
  </si>
  <si>
    <t>OE.6.2.62</t>
  </si>
  <si>
    <t>Instalación de Unión Conduit EMT de 20mm</t>
  </si>
  <si>
    <t>Curva PVC SAP NTP 399.006 de 25 mm</t>
  </si>
  <si>
    <t>OE.6.2.63</t>
  </si>
  <si>
    <t>Instalación de Conector CONDUIT EMT de 25 mm</t>
  </si>
  <si>
    <t>Curva PVC SAP NTP 399.006 DE 20 mm</t>
  </si>
  <si>
    <t>OE.6.2.64</t>
  </si>
  <si>
    <t>Instalación de Conector CONDUIT EMT de 20 mm</t>
  </si>
  <si>
    <t>Unión PVC SAP NTP 399.006 DE 50 mm</t>
  </si>
  <si>
    <t>OE.6.2.37</t>
  </si>
  <si>
    <t>Recubrimiento de tuberia conduit con FILM</t>
  </si>
  <si>
    <t>VI</t>
  </si>
  <si>
    <t>Unión conduit EMT de 20 mm</t>
  </si>
  <si>
    <t>OE.6.2.38</t>
  </si>
  <si>
    <t>Picado y corte de muros para instalación de tubería PVC</t>
  </si>
  <si>
    <t>VII</t>
  </si>
  <si>
    <t>Curva conduit EMT de 20 mm</t>
  </si>
  <si>
    <t>OE.6.2.39</t>
  </si>
  <si>
    <t xml:space="preserve">Trazo y replanteo </t>
  </si>
  <si>
    <t>VIII</t>
  </si>
  <si>
    <t>Tubería conduit EMT de 25 mm</t>
  </si>
  <si>
    <t>OE.6.2.48</t>
  </si>
  <si>
    <t>Instalación de Curva PVC SAP NTP 399.006 DE 20 mm</t>
  </si>
  <si>
    <t>Caja de Paso de F°G° Pesado 15cmx15cmx10cm</t>
  </si>
  <si>
    <t>OE.6.2.49</t>
  </si>
  <si>
    <t>Instalación de Union PVC SAP NTP 399.006 de 100 mm</t>
  </si>
  <si>
    <t>Caja de Paso de F°G° cuadrado 10cmx10cmx7.5cm</t>
  </si>
  <si>
    <t>OE.6.2.50</t>
  </si>
  <si>
    <t>Instalación de Unión PVC SAP NTP 399.006 DE 50 mm</t>
  </si>
  <si>
    <t>Caja de Paso de F°G° Pesado 10cmx10cmx5cm</t>
  </si>
  <si>
    <t>OE.6.2.45</t>
  </si>
  <si>
    <t>Instalación de Curva PVC SAP NTP 399.006 de 100 mm</t>
  </si>
  <si>
    <t>XIV</t>
  </si>
  <si>
    <t>Bandeja tipo malla de 105x100x3000mm electrozincado</t>
  </si>
  <si>
    <t>OE.6.2.46</t>
  </si>
  <si>
    <t>Instalación de Curva PVC SAP NTP 399.006 DE 50 mm</t>
  </si>
  <si>
    <t>Bandeja tipo malla de 105x300x3000mm electrozincado</t>
  </si>
  <si>
    <t>OE.6.2.47</t>
  </si>
  <si>
    <t>Instalación de Curva PVC SAP NTP 399.006 de 25 mm</t>
  </si>
  <si>
    <t xml:space="preserve">Caja de paso de F°G° Pesado 15cmx20cmx20cm  </t>
  </si>
  <si>
    <t>OE.6.2.40</t>
  </si>
  <si>
    <t>Instalación de Riel unistrut 41 X 41 X 1.5mm X 2.4m</t>
  </si>
  <si>
    <t>IX</t>
  </si>
  <si>
    <t>Conector conduit EMT de 25 mm</t>
  </si>
  <si>
    <t>OE.6.2.41</t>
  </si>
  <si>
    <t>Instalación de Tuberia Electrica PVC SAP NTP 399.006 DE 100 mm</t>
  </si>
  <si>
    <t>X</t>
  </si>
  <si>
    <t>Unión conduit EMT de 25 mm</t>
  </si>
  <si>
    <t>OE.6.2.42</t>
  </si>
  <si>
    <t>Instalación de Tuberia Electrica PVC SAP NTP 399.006 DE 50 mm</t>
  </si>
  <si>
    <t>XI</t>
  </si>
  <si>
    <t>Curva conduit EMT de 25 mm</t>
  </si>
  <si>
    <t>OE.6.2.59</t>
  </si>
  <si>
    <t>Instalación de Curva Conduit EMT de 25 mm</t>
  </si>
  <si>
    <t>Tuberia Electrica PVC SAP NTP 399.006 de 25 mm</t>
  </si>
  <si>
    <t>OE.6.2.60</t>
  </si>
  <si>
    <t>Instalación de Curva Conduit EMT de 20 mm</t>
  </si>
  <si>
    <t>Tuberia Electrica PVC SAP NTP 399.006 de 20 mm</t>
  </si>
  <si>
    <t>OE.6.2.61</t>
  </si>
  <si>
    <t>Instalación de Unión Conduit EMT de 25mm</t>
  </si>
  <si>
    <t>Curva PVC SAP NTP 399.006 DE 50 mm</t>
  </si>
  <si>
    <t>OE.6.2.67</t>
  </si>
  <si>
    <t>Instalación de Prensaestopa para tubo PVC flexible de 20 mm</t>
  </si>
  <si>
    <t>Unión PVC SAP NTP 399.006 DE 25 mm</t>
  </si>
  <si>
    <t>OE.6.2.68</t>
  </si>
  <si>
    <t>Instalación de Bandeja tipo malla de 105x100x3000mm electrozincado, aterrado y con accesorios de instalacion.</t>
  </si>
  <si>
    <t>Unión PVC SAP NTP 399.006 DE 20 mm</t>
  </si>
  <si>
    <t>OE.6.2.69</t>
  </si>
  <si>
    <t>Instalación de Riel unistrut 41 X 21 X 1.5mm X 2.4m</t>
  </si>
  <si>
    <t>Conector PVC SAP NTP 399.006 DE 50 mm</t>
  </si>
  <si>
    <t>OE.6.2.56</t>
  </si>
  <si>
    <t>Instalación de Conector PVC SAP NTP 399.006 DE 20 mm</t>
  </si>
  <si>
    <t>Cajas Octogonal de F°G° pesado 10cmx5cm (DACI)</t>
  </si>
  <si>
    <t>OE.6.2.57</t>
  </si>
  <si>
    <t>Instalación de Tubería conduit EMT de 25 mm</t>
  </si>
  <si>
    <t>Tuberia Electrica PVC SAP NTP 399.006 DE 100 mm</t>
  </si>
  <si>
    <t>OE.6.2.58</t>
  </si>
  <si>
    <t>Instalación de Tubería conduit EMT de 20 mm</t>
  </si>
  <si>
    <t>Tuberia Electrica PVC SAP NTP 399.006 DE 50 mm</t>
  </si>
  <si>
    <t>OE.6.2.51</t>
  </si>
  <si>
    <t>Instalación de Unión PVC SAP NTP 399.006 DE 25 mm</t>
  </si>
  <si>
    <t>Caja de Paso de F°G° Pesado 10cmx10cmx5cm(SALIDA DATA)</t>
  </si>
  <si>
    <t>OE.6.2.52</t>
  </si>
  <si>
    <t>Instalación de Unión PVC SAP NTP 399.006 DE 20 mm</t>
  </si>
  <si>
    <t>Cajas Octogonal de F°G° pesado 10cmx5cm</t>
  </si>
  <si>
    <t>OE.6.2.53</t>
  </si>
  <si>
    <t>Instalación de Conector PVC SAP NTP 399.006 de 100 mm</t>
  </si>
  <si>
    <t>Cajas Octogonal de F°G° pesado 10cmx5cm (PERIFORNEO)</t>
  </si>
  <si>
    <t>OE.6.4.7</t>
  </si>
  <si>
    <t>Relleno y compactado con material propio b=0.50 x h=0.70 m</t>
  </si>
  <si>
    <t>OE.6.4.8</t>
  </si>
  <si>
    <t>Construcción de Buzon de Co Ao 0.6x0.6x0.7</t>
  </si>
  <si>
    <t>OE.6.2.65</t>
  </si>
  <si>
    <t>Instalacion de Bandeja tipo malla de 105x300x3000mm electrozincado con accesorios de instalacion.</t>
  </si>
  <si>
    <t>OE.6.4.4</t>
  </si>
  <si>
    <t>m³</t>
  </si>
  <si>
    <t>Excavación para buzon de comunicaciones</t>
  </si>
  <si>
    <t>Abrazadera unistrut de ¾”</t>
  </si>
  <si>
    <t>OE.6.4.5</t>
  </si>
  <si>
    <t>Construcción de tapa de buzón de comunicaciones</t>
  </si>
  <si>
    <t>Abrazadera unistrut de 1”</t>
  </si>
  <si>
    <t>OE.6.4.6</t>
  </si>
  <si>
    <t>Excavacion de zanja para ducto enterrado b=0.50 x h=0.70 m</t>
  </si>
  <si>
    <t>Abrazadera de ¾”</t>
  </si>
  <si>
    <t>OE.6.7.10</t>
  </si>
  <si>
    <t>Pintado y señalización de cajas de pase</t>
  </si>
  <si>
    <t>Riel dentada</t>
  </si>
  <si>
    <t>OE.6.7.11</t>
  </si>
  <si>
    <t>Instalación de Caja de Paso con tapa Biselada de F°G° 300x300x100 mm</t>
  </si>
  <si>
    <t>Tirafones, tarugos y arandelas</t>
  </si>
  <si>
    <t>OE.6.7.12</t>
  </si>
  <si>
    <t>Instalación de Caja de Paso Pesada con tapa Biselada de 200x200x100mm</t>
  </si>
  <si>
    <t>Clavos</t>
  </si>
  <si>
    <t>OE.6.7.7</t>
  </si>
  <si>
    <t>Instalación de Cajas octogonal de F°G° pesado 10cmx5cm</t>
  </si>
  <si>
    <t>Tacos expansivos de 3/8</t>
  </si>
  <si>
    <t>OE.6.7.8</t>
  </si>
  <si>
    <t>Instalación de Caja de Paso de F°G° cuadrado 10cmx10cmx7.5cm</t>
  </si>
  <si>
    <t>Tuercas de 3/8</t>
  </si>
  <si>
    <t>OE.6.7.9</t>
  </si>
  <si>
    <t>Instalación de Caja de Paso de F°G° cuadrado 10cmx10cmx5cm</t>
  </si>
  <si>
    <t>Abrazadera de 1 ”</t>
  </si>
  <si>
    <t>Film</t>
  </si>
  <si>
    <t>OE.6.7.6</t>
  </si>
  <si>
    <t>Instalación de Caja de Paso de F°G° Tipo Pesado 15cmx15cmx10cm</t>
  </si>
  <si>
    <t>Espárragos 3/8</t>
  </si>
  <si>
    <t>OE.6.2.71</t>
  </si>
  <si>
    <t>Instalación de Abrazadera de 1"</t>
  </si>
  <si>
    <t>OE.6.3.29</t>
  </si>
  <si>
    <t>Instalación de punto de datos Cat 7A simple</t>
  </si>
  <si>
    <t>OE.6.3.30</t>
  </si>
  <si>
    <t>Instalación de punto de datos Cat 7A doble</t>
  </si>
  <si>
    <t>OE.6.3.5</t>
  </si>
  <si>
    <t>pto</t>
  </si>
  <si>
    <t>Salida sensor de humo</t>
  </si>
  <si>
    <t>OE.6.3.15</t>
  </si>
  <si>
    <t>Salida parlante</t>
  </si>
  <si>
    <t>OE.6.2.70</t>
  </si>
  <si>
    <t>Instalación de Abrazadera de 3/4"</t>
  </si>
  <si>
    <t>OE.6.7.13</t>
  </si>
  <si>
    <t>Instalación de Caja de paso Pesada con tapa biselada de 150x150x100mm</t>
  </si>
  <si>
    <t>Fulminantes</t>
  </si>
  <si>
    <t>OE.6.7.14</t>
  </si>
  <si>
    <t>Instalación de Caja de pase de fierro galvanizado pesado 15 cm x 20cm x 20cm</t>
  </si>
  <si>
    <t>OE.6.7.15</t>
  </si>
  <si>
    <t>Instalación de Caja de Pase de Fierro Galbanizado Pesado 10cmx25cmx25cm</t>
  </si>
  <si>
    <t>S10</t>
  </si>
  <si>
    <t>Página</t>
  </si>
  <si>
    <t>Presupuesto</t>
  </si>
  <si>
    <t>0305020</t>
  </si>
  <si>
    <t>DISEÑO INTEGRAL DEL NUEVO PUENTE DE PISAC</t>
  </si>
  <si>
    <t>Cliente</t>
  </si>
  <si>
    <t>UNIVERSIDAD NACIONAL SAN ANTONIO ABAD DEL CUSCO</t>
  </si>
  <si>
    <t>Costo al</t>
  </si>
  <si>
    <t>01/02/2012</t>
  </si>
  <si>
    <t>Lugar</t>
  </si>
  <si>
    <t>CUSCO - CALCA - PISAC</t>
  </si>
  <si>
    <t>Descripción</t>
  </si>
  <si>
    <t>Und.</t>
  </si>
  <si>
    <t>Metrado</t>
  </si>
  <si>
    <t>Precio S/.</t>
  </si>
  <si>
    <t>Parcial S/.</t>
  </si>
  <si>
    <t>CAMPAMENTO PROVISIONAL DE LA OBRA</t>
  </si>
  <si>
    <t>m2</t>
  </si>
  <si>
    <t>SUMINISTRO Y COLOCACION DE CARTEL DE OBRA DE 2.40x3.60mts</t>
  </si>
  <si>
    <t>AGUA PARA LA CONSTRUCCION (Almacenamiento y Distribucion)</t>
  </si>
  <si>
    <t>mes</t>
  </si>
  <si>
    <t>ENERGIA ELECTRICA PROVISIONAL (Consumo y Mantenimiento)</t>
  </si>
  <si>
    <t>01.04</t>
  </si>
  <si>
    <t>MOVILIZACION Y DESMOVILIZACION DE MAQUINARIAS Y MATERIALES</t>
  </si>
  <si>
    <t>GLB</t>
  </si>
  <si>
    <t>01.05</t>
  </si>
  <si>
    <t>LIMPIEZA DE TERRENO MANUAL</t>
  </si>
  <si>
    <t>TRAZO Y REPLANTEO</t>
  </si>
  <si>
    <t>01.07</t>
  </si>
  <si>
    <t>TRAZO Y REPLANTEO DURANTE EL PROCESO</t>
  </si>
  <si>
    <t>ESTRIBOS</t>
  </si>
  <si>
    <t>EXCAVACION CON MAQUINARIA</t>
  </si>
  <si>
    <t>m3</t>
  </si>
  <si>
    <t>EXCAVACION CON MAQUINARIA BAJO AGUA</t>
  </si>
  <si>
    <t>ELIMINACION DE MATERIAL EXCEDENTE</t>
  </si>
  <si>
    <t>ENTIBADO DE ZANJAS</t>
  </si>
  <si>
    <t>RELLENO Y COMPACTACION CON MATERIAL PROPIO</t>
  </si>
  <si>
    <t>02.05</t>
  </si>
  <si>
    <t>SOLADO PARA ZAPATAS, e=10cm, MEZCLA C:H - 1:10</t>
  </si>
  <si>
    <t>02.06</t>
  </si>
  <si>
    <t>ENCOFRADO Y DESENCOFRADO DE ESTRIBOS</t>
  </si>
  <si>
    <t>02.07</t>
  </si>
  <si>
    <t>ACERO FY=4200 KG/CM2</t>
  </si>
  <si>
    <t>kg</t>
  </si>
  <si>
    <t>02.08</t>
  </si>
  <si>
    <t>CONCRETO FC=210 KG/CM2, PARA ESTRIBOS</t>
  </si>
  <si>
    <t>03</t>
  </si>
  <si>
    <t>FALSO PUENTE</t>
  </si>
  <si>
    <t>03.01</t>
  </si>
  <si>
    <t>DADO CONCRETO CICLOPEO f'c=140 kg/cm2 + 30%P.G</t>
  </si>
  <si>
    <t>03.02</t>
  </si>
  <si>
    <t>VIGAS PRINCIPALES  DE MADERA ROLLIZO</t>
  </si>
  <si>
    <t>03.03</t>
  </si>
  <si>
    <t>VIGAS TRANSVERSALES DE MADERA</t>
  </si>
  <si>
    <t>03.04</t>
  </si>
  <si>
    <t>PIES DERECHOS DE MADERA</t>
  </si>
  <si>
    <t>03.05</t>
  </si>
  <si>
    <t>DESMONTAJE DE FALSO PUENTE</t>
  </si>
  <si>
    <t>03.06</t>
  </si>
  <si>
    <t>DEMOLICION DE DADOS DE CONCRETO CICLOPEO</t>
  </si>
  <si>
    <t>04</t>
  </si>
  <si>
    <t>VIGAS POSTENSADAS</t>
  </si>
  <si>
    <t>04.01</t>
  </si>
  <si>
    <t>ENCOFRADO Y DESENCOFRADO</t>
  </si>
  <si>
    <t>04.02</t>
  </si>
  <si>
    <t>04.03</t>
  </si>
  <si>
    <t>ACERO PARA PRETENSADO</t>
  </si>
  <si>
    <t>ton-m</t>
  </si>
  <si>
    <t>04.04</t>
  </si>
  <si>
    <t>CONCRETO FC=350 KG/CM2</t>
  </si>
  <si>
    <t>05</t>
  </si>
  <si>
    <t>LOSA DE PUENTE</t>
  </si>
  <si>
    <t>05.01</t>
  </si>
  <si>
    <t>05.02</t>
  </si>
  <si>
    <t>05.03</t>
  </si>
  <si>
    <t>CONCRETO FC=280 KG/CM2</t>
  </si>
  <si>
    <t>06</t>
  </si>
  <si>
    <t>VEREDAS</t>
  </si>
  <si>
    <t>06.01</t>
  </si>
  <si>
    <t>06.02</t>
  </si>
  <si>
    <t>06.03</t>
  </si>
  <si>
    <t>07</t>
  </si>
  <si>
    <t>ACONDICIONAMIENTO DE ACCESOS</t>
  </si>
  <si>
    <t>07.01</t>
  </si>
  <si>
    <t>07.01.01</t>
  </si>
  <si>
    <t>07.02</t>
  </si>
  <si>
    <t>07.02.01</t>
  </si>
  <si>
    <t>EXTRACCION Y APILAMIENTO DE MATERIAL DE CANTERA</t>
  </si>
  <si>
    <t>07.02.02</t>
  </si>
  <si>
    <t>CARGUIO DE MATERIAL DE CANTERA</t>
  </si>
  <si>
    <t>07.02.03</t>
  </si>
  <si>
    <t>TRANSPORTE DE MATERIAL A OBRA</t>
  </si>
  <si>
    <t>07.02.04</t>
  </si>
  <si>
    <t>CONFORMACION DE TERRAPLENES</t>
  </si>
  <si>
    <t>SUB - BASE GRANULAR</t>
  </si>
  <si>
    <t>07.02.05</t>
  </si>
  <si>
    <t>BASE GRANULAR</t>
  </si>
  <si>
    <t>07.02.06</t>
  </si>
  <si>
    <t>IMPRIMACION ASFALTICA</t>
  </si>
  <si>
    <t>08</t>
  </si>
  <si>
    <t>OBRAS DE PROTECCION DEL PUENTE</t>
  </si>
  <si>
    <t>08.01</t>
  </si>
  <si>
    <t>08.01.01</t>
  </si>
  <si>
    <t>08.01.02</t>
  </si>
  <si>
    <t>08.02</t>
  </si>
  <si>
    <t>08.02.01</t>
  </si>
  <si>
    <t>08.02.02</t>
  </si>
  <si>
    <t>08.02.03</t>
  </si>
  <si>
    <t>08.02.04</t>
  </si>
  <si>
    <t>08.03</t>
  </si>
  <si>
    <t>GAVIONES</t>
  </si>
  <si>
    <t>08.03.01</t>
  </si>
  <si>
    <t>GAVION CAJA MALLA H=1M</t>
  </si>
  <si>
    <t>08.03.02</t>
  </si>
  <si>
    <t>COLCHON ANTISOCAVANTE</t>
  </si>
  <si>
    <t>09</t>
  </si>
  <si>
    <t>VARIOS</t>
  </si>
  <si>
    <t>09.01</t>
  </si>
  <si>
    <t>SUMINISTRO  Y COLOCACION DE APOYOS FIJOS</t>
  </si>
  <si>
    <t>09.02</t>
  </si>
  <si>
    <t>SUMINISTRO  Y COLOCACION DE APOYOS MOVILES</t>
  </si>
  <si>
    <t>09.03</t>
  </si>
  <si>
    <t>JUNTAS ASFALTICAS</t>
  </si>
  <si>
    <t>09.04</t>
  </si>
  <si>
    <t>JUNTA METALICA</t>
  </si>
  <si>
    <t>09.05</t>
  </si>
  <si>
    <t>SUMINISTRO Y COLOCACION DE BARANDA METALICA D=2"</t>
  </si>
  <si>
    <t>09.06</t>
  </si>
  <si>
    <t>PINTURA EN BARANDAS CON ESMALTE ANTICORROSIVO</t>
  </si>
  <si>
    <t>09.07</t>
  </si>
  <si>
    <t>TUBOS DE DRENAJE</t>
  </si>
  <si>
    <t>09.08</t>
  </si>
  <si>
    <t>PLACA RECORDATORIA</t>
  </si>
  <si>
    <t>10</t>
  </si>
  <si>
    <t>SEÑALIZACION</t>
  </si>
  <si>
    <t>10.01</t>
  </si>
  <si>
    <t>SEÑALIZACION PREVENTIVA</t>
  </si>
  <si>
    <t>10.02</t>
  </si>
  <si>
    <t>SEÑALIZACION INFORMATIVA</t>
  </si>
  <si>
    <t>10.03</t>
  </si>
  <si>
    <t>SEÑALIZACION REGULADORA</t>
  </si>
  <si>
    <t>10.04</t>
  </si>
  <si>
    <t>LINEAS CONTINUAS EN PAVIMENTO</t>
  </si>
  <si>
    <t>10.05</t>
  </si>
  <si>
    <t>PINTURA ESMALTE PARA ESTRUCTURA DE CONCRETO</t>
  </si>
  <si>
    <t>11</t>
  </si>
  <si>
    <t>MITIGACION DE IMPACTO AMBIENTAL</t>
  </si>
  <si>
    <t>11.01</t>
  </si>
  <si>
    <t>RESTAURACION DE CANTERAS</t>
  </si>
  <si>
    <t>11.02</t>
  </si>
  <si>
    <t>RESTAURACION DE AREAS AFECTADAS POR CAMPAMENTO</t>
  </si>
  <si>
    <t>12</t>
  </si>
  <si>
    <t>CONTROL DE CALIDAD DE OBRA</t>
  </si>
  <si>
    <t>12.01</t>
  </si>
  <si>
    <t>CONTROL DE CALIDAD DEL CONCRETO</t>
  </si>
  <si>
    <t>12.02</t>
  </si>
  <si>
    <t>CONTROL DE CALIDAD DE AGREGADOS</t>
  </si>
  <si>
    <t>12.03</t>
  </si>
  <si>
    <t>CONTROL DE CALIDAD DE COMPACTACION DE TERRAPLENES</t>
  </si>
  <si>
    <t>13</t>
  </si>
  <si>
    <t>FLETE</t>
  </si>
  <si>
    <t>13.01</t>
  </si>
  <si>
    <t>FLETE TERRESTRE</t>
  </si>
  <si>
    <t>ton</t>
  </si>
  <si>
    <t>Fecha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</si>
</sst>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F800]dddd\,\ mmmm\ dddd\,\ yyyy"/>
    <numFmt numFmtId="165" formatCode="_ * #,##0.00_ ;_ * \-#,##0.00_ ;_ * &quot;-&quot;??_ ;_ @_ "/>
    <numFmt numFmtId="166" formatCode="dd/mm/yy"/>
    <numFmt numFmtId="167" formatCode="d/m"/>
    <numFmt numFmtId="168" formatCode="#,##0.00_);\-#,##0.00"/>
    <numFmt numFmtId="169" formatCode="dd\/mm\/yyyy&quot;  &quot;hh&quot;:&quot;mm&quot;:&quot;ss\ AM/PM"/>
  </numFmts>
  <fonts count="29">
    <font>
      <sz val="10.0"/>
      <color rgb="FF000000"/>
      <name val="Arial"/>
      <scheme val="minor"/>
    </font>
    <font>
      <sz val="10.0"/>
      <color theme="1"/>
      <name val="Arial Narrow"/>
    </font>
    <font>
      <b/>
      <sz val="10.0"/>
      <color theme="1"/>
      <name val="Arial Narrow"/>
    </font>
    <font>
      <sz val="10.0"/>
      <color theme="1"/>
      <name val="Garamond"/>
    </font>
    <font>
      <b/>
      <sz val="10.0"/>
      <color rgb="FFFF0000"/>
      <name val="Arial Narrow"/>
    </font>
    <font/>
    <font>
      <b/>
      <sz val="9.0"/>
      <color theme="1"/>
      <name val="Arial Narrow"/>
    </font>
    <font>
      <b/>
      <sz val="9.0"/>
      <color rgb="FF000080"/>
      <name val="Arial Narrow"/>
    </font>
    <font>
      <b/>
      <sz val="10.0"/>
      <color theme="1"/>
      <name val="Garamond"/>
    </font>
    <font>
      <b/>
      <sz val="8.0"/>
      <color theme="1"/>
      <name val="Arial Narrow"/>
    </font>
    <font>
      <sz val="8.0"/>
      <color theme="1"/>
      <name val="Arial Narrow"/>
    </font>
    <font>
      <b/>
      <sz val="16.0"/>
      <color theme="1"/>
      <name val="Arial Narrow"/>
    </font>
    <font>
      <b/>
      <sz val="8.0"/>
      <color rgb="FFFF0000"/>
      <name val="Arial Narrow"/>
    </font>
    <font>
      <b/>
      <sz val="8.0"/>
      <color rgb="FF0033CC"/>
      <name val="Arial Narrow"/>
    </font>
    <font>
      <b/>
      <sz val="8.0"/>
      <color rgb="FF339966"/>
      <name val="Arial Narrow"/>
    </font>
    <font>
      <b/>
      <sz val="18.0"/>
      <color theme="1"/>
      <name val="Arial Narrow"/>
    </font>
    <font>
      <sz val="8.0"/>
      <color rgb="FFFF0000"/>
      <name val="Arial Narrow"/>
    </font>
    <font>
      <sz val="10.0"/>
      <color rgb="FFFF0000"/>
      <name val="Calibri"/>
    </font>
    <font>
      <sz val="11.0"/>
      <color theme="1"/>
      <name val="Calibri"/>
    </font>
    <font>
      <sz val="10.0"/>
      <color theme="1"/>
      <name val="Arial"/>
    </font>
    <font>
      <b/>
      <sz val="10.0"/>
      <color rgb="FF000000"/>
      <name val="Calibri"/>
    </font>
    <font>
      <sz val="10.0"/>
      <color theme="1"/>
      <name val="Calibri"/>
    </font>
    <font>
      <sz val="8.0"/>
      <color rgb="FFFF0D0D"/>
      <name val="Arial Narrow"/>
    </font>
    <font>
      <sz val="10.0"/>
      <color rgb="FFFF0D0D"/>
      <name val="Calibri"/>
    </font>
    <font>
      <sz val="6.0"/>
      <color rgb="FF000000"/>
      <name val="Arial Narrow"/>
    </font>
    <font>
      <sz val="7.0"/>
      <color rgb="FF000000"/>
      <name val="Arial Narrow"/>
    </font>
    <font>
      <b/>
      <sz val="7.0"/>
      <color rgb="FF000000"/>
      <name val="Arial Narrow"/>
    </font>
    <font>
      <b/>
      <sz val="9.0"/>
      <color rgb="FF000000"/>
      <name val="Arial"/>
    </font>
    <font>
      <b/>
      <sz val="6.0"/>
      <color rgb="FF000000"/>
      <name val="Arial Narrow"/>
    </font>
  </fonts>
  <fills count="8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1" fillId="2" fontId="4" numFmtId="0" xfId="0" applyAlignment="1" applyBorder="1" applyFill="1" applyFont="1">
      <alignment horizontal="center" shrinkToFit="0" wrapText="1"/>
    </xf>
    <xf borderId="2" fillId="0" fontId="5" numFmtId="0" xfId="0" applyBorder="1" applyFont="1"/>
    <xf borderId="3" fillId="0" fontId="5" numFmtId="0" xfId="0" applyBorder="1" applyFont="1"/>
    <xf borderId="4" fillId="3" fontId="1" numFmtId="0" xfId="0" applyBorder="1" applyFill="1" applyFont="1"/>
    <xf borderId="4" fillId="3" fontId="6" numFmtId="0" xfId="0" applyAlignment="1" applyBorder="1" applyFont="1">
      <alignment horizontal="left"/>
    </xf>
    <xf borderId="5" fillId="3" fontId="7" numFmtId="0" xfId="0" applyAlignment="1" applyBorder="1" applyFont="1">
      <alignment horizontal="left" shrinkToFit="0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4" fillId="3" fontId="7" numFmtId="0" xfId="0" applyAlignment="1" applyBorder="1" applyFont="1">
      <alignment horizontal="left"/>
    </xf>
    <xf borderId="11" fillId="2" fontId="2" numFmtId="0" xfId="0" applyAlignment="1" applyBorder="1" applyFont="1">
      <alignment horizontal="center"/>
    </xf>
    <xf borderId="12" fillId="2" fontId="2" numFmtId="0" xfId="0" applyAlignment="1" applyBorder="1" applyFont="1">
      <alignment horizontal="center"/>
    </xf>
    <xf borderId="13" fillId="0" fontId="5" numFmtId="0" xfId="0" applyBorder="1" applyFont="1"/>
    <xf borderId="14" fillId="0" fontId="5" numFmtId="0" xfId="0" applyBorder="1" applyFont="1"/>
    <xf borderId="15" fillId="2" fontId="2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2" numFmtId="0" xfId="0" applyFont="1"/>
    <xf borderId="16" fillId="0" fontId="9" numFmtId="49" xfId="0" applyAlignment="1" applyBorder="1" applyFont="1" applyNumberFormat="1">
      <alignment vertical="center"/>
    </xf>
    <xf borderId="17" fillId="0" fontId="9" numFmtId="0" xfId="0" applyAlignment="1" applyBorder="1" applyFont="1">
      <alignment vertical="center"/>
    </xf>
    <xf borderId="18" fillId="0" fontId="9" numFmtId="0" xfId="0" applyAlignment="1" applyBorder="1" applyFont="1">
      <alignment vertical="center"/>
    </xf>
    <xf borderId="19" fillId="0" fontId="9" numFmtId="0" xfId="0" applyAlignment="1" applyBorder="1" applyFont="1">
      <alignment vertical="center"/>
    </xf>
    <xf borderId="20" fillId="0" fontId="9" numFmtId="0" xfId="0" applyAlignment="1" applyBorder="1" applyFont="1">
      <alignment horizontal="center" vertical="center"/>
    </xf>
    <xf borderId="0" fillId="0" fontId="8" numFmtId="0" xfId="0" applyFont="1"/>
    <xf borderId="21" fillId="0" fontId="9" numFmtId="49" xfId="0" applyAlignment="1" applyBorder="1" applyFont="1" applyNumberFormat="1">
      <alignment vertical="center"/>
    </xf>
    <xf borderId="22" fillId="0" fontId="9" numFmtId="0" xfId="0" applyAlignment="1" applyBorder="1" applyFont="1">
      <alignment vertical="center"/>
    </xf>
    <xf borderId="23" fillId="0" fontId="10" numFmtId="0" xfId="0" applyAlignment="1" applyBorder="1" applyFont="1">
      <alignment vertical="center"/>
    </xf>
    <xf borderId="24" fillId="0" fontId="10" numFmtId="0" xfId="0" applyAlignment="1" applyBorder="1" applyFont="1">
      <alignment vertical="center"/>
    </xf>
    <xf borderId="25" fillId="0" fontId="10" numFmtId="4" xfId="0" applyAlignment="1" applyBorder="1" applyFont="1" applyNumberFormat="1">
      <alignment horizontal="center" vertical="center"/>
    </xf>
    <xf borderId="21" fillId="0" fontId="10" numFmtId="49" xfId="0" applyAlignment="1" applyBorder="1" applyFont="1" applyNumberFormat="1">
      <alignment vertical="center"/>
    </xf>
    <xf borderId="22" fillId="0" fontId="10" numFmtId="0" xfId="0" applyAlignment="1" applyBorder="1" applyFont="1">
      <alignment vertical="center"/>
    </xf>
    <xf borderId="23" fillId="0" fontId="9" numFmtId="0" xfId="0" applyAlignment="1" applyBorder="1" applyFont="1">
      <alignment vertical="center"/>
    </xf>
    <xf borderId="26" fillId="0" fontId="10" numFmtId="0" xfId="0" applyAlignment="1" applyBorder="1" applyFont="1">
      <alignment vertical="center"/>
    </xf>
    <xf borderId="27" fillId="0" fontId="10" numFmtId="0" xfId="0" applyAlignment="1" applyBorder="1" applyFont="1">
      <alignment vertical="center"/>
    </xf>
    <xf borderId="28" fillId="0" fontId="10" numFmtId="0" xfId="0" applyAlignment="1" applyBorder="1" applyFont="1">
      <alignment vertical="center"/>
    </xf>
    <xf borderId="29" fillId="0" fontId="10" numFmtId="0" xfId="0" applyAlignment="1" applyBorder="1" applyFont="1">
      <alignment vertical="center"/>
    </xf>
    <xf borderId="30" fillId="0" fontId="10" numFmtId="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0" numFmtId="0" xfId="0" applyFont="1"/>
    <xf borderId="0" fillId="0" fontId="9" numFmtId="0" xfId="0" applyAlignment="1" applyFont="1">
      <alignment horizontal="center"/>
    </xf>
    <xf borderId="0" fillId="0" fontId="11" numFmtId="0" xfId="0" applyAlignment="1" applyFont="1">
      <alignment horizontal="center" shrinkToFit="0" vertical="center" wrapText="1"/>
    </xf>
    <xf borderId="31" fillId="0" fontId="9" numFmtId="0" xfId="0" applyAlignment="1" applyBorder="1" applyFont="1">
      <alignment horizontal="center" shrinkToFit="0" vertical="center" wrapText="1"/>
    </xf>
    <xf borderId="32" fillId="4" fontId="10" numFmtId="164" xfId="0" applyAlignment="1" applyBorder="1" applyFill="1" applyFont="1" applyNumberFormat="1">
      <alignment horizontal="right" vertical="center"/>
    </xf>
    <xf borderId="33" fillId="0" fontId="5" numFmtId="0" xfId="0" applyBorder="1" applyFont="1"/>
    <xf borderId="34" fillId="0" fontId="5" numFmtId="0" xfId="0" applyBorder="1" applyFont="1"/>
    <xf borderId="35" fillId="4" fontId="9" numFmtId="2" xfId="0" applyAlignment="1" applyBorder="1" applyFont="1" applyNumberFormat="1">
      <alignment horizontal="center" vertical="center"/>
    </xf>
    <xf borderId="35" fillId="4" fontId="9" numFmtId="2" xfId="0" applyAlignment="1" applyBorder="1" applyFont="1" applyNumberFormat="1">
      <alignment horizontal="left" vertical="center"/>
    </xf>
    <xf borderId="35" fillId="4" fontId="9" numFmtId="2" xfId="0" applyAlignment="1" applyBorder="1" applyFont="1" applyNumberFormat="1">
      <alignment horizontal="center" shrinkToFit="0" vertical="center" wrapText="1"/>
    </xf>
    <xf borderId="22" fillId="4" fontId="9" numFmtId="2" xfId="0" applyAlignment="1" applyBorder="1" applyFont="1" applyNumberFormat="1">
      <alignment horizontal="center" vertical="center"/>
    </xf>
    <xf borderId="23" fillId="0" fontId="5" numFmtId="0" xfId="0" applyBorder="1" applyFont="1"/>
    <xf borderId="36" fillId="0" fontId="5" numFmtId="0" xfId="0" applyBorder="1" applyFont="1"/>
    <xf borderId="24" fillId="4" fontId="9" numFmtId="2" xfId="0" applyAlignment="1" applyBorder="1" applyFont="1" applyNumberFormat="1">
      <alignment horizontal="center"/>
    </xf>
    <xf borderId="24" fillId="4" fontId="9" numFmtId="4" xfId="0" applyAlignment="1" applyBorder="1" applyFont="1" applyNumberFormat="1">
      <alignment horizontal="center"/>
    </xf>
    <xf borderId="24" fillId="4" fontId="9" numFmtId="0" xfId="0" applyAlignment="1" applyBorder="1" applyFont="1">
      <alignment horizontal="center"/>
    </xf>
    <xf borderId="37" fillId="0" fontId="5" numFmtId="0" xfId="0" applyBorder="1" applyFont="1"/>
    <xf borderId="24" fillId="4" fontId="9" numFmtId="12" xfId="0" applyAlignment="1" applyBorder="1" applyFont="1" applyNumberFormat="1">
      <alignment horizontal="center"/>
    </xf>
    <xf borderId="0" fillId="0" fontId="9" numFmtId="0" xfId="0" applyFont="1"/>
    <xf borderId="24" fillId="0" fontId="12" numFmtId="4" xfId="0" applyAlignment="1" applyBorder="1" applyFont="1" applyNumberFormat="1">
      <alignment vertical="center"/>
    </xf>
    <xf borderId="24" fillId="0" fontId="12" numFmtId="0" xfId="0" applyAlignment="1" applyBorder="1" applyFont="1">
      <alignment vertical="center"/>
    </xf>
    <xf borderId="24" fillId="0" fontId="9" numFmtId="2" xfId="0" applyAlignment="1" applyBorder="1" applyFont="1" applyNumberFormat="1">
      <alignment horizontal="center"/>
    </xf>
    <xf borderId="24" fillId="0" fontId="9" numFmtId="4" xfId="0" applyAlignment="1" applyBorder="1" applyFont="1" applyNumberFormat="1">
      <alignment horizontal="center"/>
    </xf>
    <xf borderId="24" fillId="0" fontId="13" numFmtId="4" xfId="0" applyAlignment="1" applyBorder="1" applyFont="1" applyNumberFormat="1">
      <alignment vertical="center"/>
    </xf>
    <xf borderId="24" fillId="0" fontId="13" numFmtId="0" xfId="0" applyAlignment="1" applyBorder="1" applyFont="1">
      <alignment vertical="center"/>
    </xf>
    <xf borderId="24" fillId="0" fontId="14" numFmtId="4" xfId="0" applyAlignment="1" applyBorder="1" applyFont="1" applyNumberFormat="1">
      <alignment vertical="center"/>
    </xf>
    <xf borderId="24" fillId="0" fontId="10" numFmtId="2" xfId="0" applyAlignment="1" applyBorder="1" applyFont="1" applyNumberFormat="1">
      <alignment horizontal="center"/>
    </xf>
    <xf borderId="24" fillId="0" fontId="10" numFmtId="12" xfId="0" applyAlignment="1" applyBorder="1" applyFont="1" applyNumberFormat="1">
      <alignment horizontal="center"/>
    </xf>
    <xf borderId="24" fillId="0" fontId="10" numFmtId="165" xfId="0" applyAlignment="1" applyBorder="1" applyFont="1" applyNumberFormat="1">
      <alignment horizontal="center"/>
    </xf>
    <xf borderId="24" fillId="0" fontId="9" numFmtId="4" xfId="0" applyAlignment="1" applyBorder="1" applyFont="1" applyNumberFormat="1">
      <alignment vertical="center"/>
    </xf>
    <xf borderId="24" fillId="0" fontId="10" numFmtId="2" xfId="0" applyAlignment="1" applyBorder="1" applyFont="1" applyNumberFormat="1">
      <alignment horizontal="left"/>
    </xf>
    <xf borderId="24" fillId="0" fontId="10" numFmtId="4" xfId="0" applyAlignment="1" applyBorder="1" applyFont="1" applyNumberFormat="1">
      <alignment horizontal="center"/>
    </xf>
    <xf borderId="24" fillId="0" fontId="10" numFmtId="0" xfId="0" applyAlignment="1" applyBorder="1" applyFont="1">
      <alignment horizontal="center"/>
    </xf>
    <xf borderId="24" fillId="0" fontId="9" numFmtId="0" xfId="0" applyAlignment="1" applyBorder="1" applyFont="1">
      <alignment vertical="center"/>
    </xf>
    <xf borderId="0" fillId="0" fontId="10" numFmtId="4" xfId="0" applyFont="1" applyNumberFormat="1"/>
    <xf borderId="4" fillId="5" fontId="10" numFmtId="0" xfId="0" applyBorder="1" applyFill="1" applyFont="1"/>
    <xf borderId="0" fillId="0" fontId="10" numFmtId="0" xfId="0" applyAlignment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/>
    </xf>
    <xf borderId="0" fillId="0" fontId="9" numFmtId="0" xfId="0" applyAlignment="1" applyFont="1">
      <alignment vertical="center"/>
    </xf>
    <xf borderId="0" fillId="0" fontId="15" numFmtId="0" xfId="0" applyAlignment="1" applyFont="1">
      <alignment shrinkToFit="0" vertical="center" wrapText="1"/>
    </xf>
    <xf borderId="0" fillId="0" fontId="10" numFmtId="166" xfId="0" applyAlignment="1" applyFont="1" applyNumberFormat="1">
      <alignment horizontal="right" vertical="center"/>
    </xf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 vertical="center"/>
    </xf>
    <xf borderId="0" fillId="0" fontId="15" numFmtId="0" xfId="0" applyAlignment="1" applyFont="1">
      <alignment horizontal="right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 vertical="center"/>
    </xf>
    <xf borderId="0" fillId="0" fontId="10" numFmtId="166" xfId="0" applyAlignment="1" applyFont="1" applyNumberFormat="1">
      <alignment horizontal="left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24" fillId="4" fontId="9" numFmtId="0" xfId="0" applyAlignment="1" applyBorder="1" applyFont="1">
      <alignment horizontal="center" vertical="center"/>
    </xf>
    <xf borderId="24" fillId="4" fontId="9" numFmtId="166" xfId="0" applyAlignment="1" applyBorder="1" applyFont="1" applyNumberFormat="1">
      <alignment horizontal="center" vertical="center"/>
    </xf>
    <xf borderId="24" fillId="4" fontId="9" numFmtId="2" xfId="0" applyAlignment="1" applyBorder="1" applyFont="1" applyNumberFormat="1">
      <alignment horizontal="center" vertical="center"/>
    </xf>
    <xf borderId="24" fillId="4" fontId="9" numFmtId="2" xfId="0" applyAlignment="1" applyBorder="1" applyFont="1" applyNumberFormat="1">
      <alignment vertical="center"/>
    </xf>
    <xf borderId="24" fillId="4" fontId="9" numFmtId="2" xfId="0" applyAlignment="1" applyBorder="1" applyFont="1" applyNumberFormat="1">
      <alignment horizontal="center" shrinkToFit="0" vertical="center" wrapText="1"/>
    </xf>
    <xf borderId="24" fillId="4" fontId="9" numFmtId="2" xfId="0" applyAlignment="1" applyBorder="1" applyFont="1" applyNumberFormat="1">
      <alignment horizontal="center" readingOrder="0" shrinkToFit="0" vertical="center" wrapText="1"/>
    </xf>
    <xf borderId="24" fillId="4" fontId="9" numFmtId="4" xfId="0" applyAlignment="1" applyBorder="1" applyFont="1" applyNumberFormat="1">
      <alignment horizontal="center" vertical="center"/>
    </xf>
    <xf borderId="24" fillId="4" fontId="9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4" fillId="0" fontId="10" numFmtId="166" xfId="0" applyAlignment="1" applyBorder="1" applyFont="1" applyNumberFormat="1">
      <alignment horizontal="center" vertical="center"/>
    </xf>
    <xf borderId="24" fillId="0" fontId="10" numFmtId="2" xfId="0" applyAlignment="1" applyBorder="1" applyFont="1" applyNumberFormat="1">
      <alignment horizontal="center"/>
    </xf>
    <xf borderId="24" fillId="0" fontId="10" numFmtId="2" xfId="0" applyAlignment="1" applyBorder="1" applyFont="1" applyNumberFormat="1">
      <alignment horizontal="left"/>
    </xf>
    <xf borderId="24" fillId="0" fontId="10" numFmtId="2" xfId="0" applyAlignment="1" applyBorder="1" applyFont="1" applyNumberFormat="1">
      <alignment horizontal="right"/>
    </xf>
    <xf borderId="24" fillId="0" fontId="10" numFmtId="2" xfId="0" applyAlignment="1" applyBorder="1" applyFont="1" applyNumberFormat="1">
      <alignment horizontal="center" vertical="center"/>
    </xf>
    <xf borderId="24" fillId="0" fontId="10" numFmtId="167" xfId="0" applyAlignment="1" applyBorder="1" applyFont="1" applyNumberFormat="1">
      <alignment horizontal="center" readingOrder="0" vertical="center"/>
    </xf>
    <xf borderId="24" fillId="0" fontId="10" numFmtId="4" xfId="0" applyAlignment="1" applyBorder="1" applyFont="1" applyNumberFormat="1">
      <alignment horizontal="center"/>
    </xf>
    <xf borderId="24" fillId="0" fontId="10" numFmtId="0" xfId="0" applyAlignment="1" applyBorder="1" applyFont="1">
      <alignment horizontal="center"/>
    </xf>
    <xf borderId="0" fillId="0" fontId="12" numFmtId="0" xfId="0" applyFont="1"/>
    <xf borderId="4" fillId="6" fontId="10" numFmtId="0" xfId="0" applyBorder="1" applyFill="1" applyFont="1"/>
    <xf borderId="38" fillId="0" fontId="16" numFmtId="0" xfId="0" applyAlignment="1" applyBorder="1" applyFont="1">
      <alignment vertical="center"/>
    </xf>
    <xf borderId="0" fillId="0" fontId="17" numFmtId="0" xfId="0" applyFont="1"/>
    <xf borderId="0" fillId="0" fontId="18" numFmtId="0" xfId="0" applyFont="1"/>
    <xf borderId="38" fillId="0" fontId="19" numFmtId="0" xfId="0" applyAlignment="1" applyBorder="1" applyFont="1">
      <alignment horizontal="center"/>
    </xf>
    <xf borderId="38" fillId="0" fontId="19" numFmtId="0" xfId="0" applyBorder="1" applyFont="1"/>
    <xf borderId="1" fillId="0" fontId="20" numFmtId="0" xfId="0" applyAlignment="1" applyBorder="1" applyFont="1">
      <alignment horizontal="center"/>
    </xf>
    <xf borderId="38" fillId="0" fontId="18" numFmtId="0" xfId="0" applyAlignment="1" applyBorder="1" applyFont="1">
      <alignment horizontal="center"/>
    </xf>
    <xf borderId="38" fillId="0" fontId="10" numFmtId="0" xfId="0" applyBorder="1" applyFont="1"/>
    <xf borderId="39" fillId="0" fontId="10" numFmtId="0" xfId="0" applyAlignment="1" applyBorder="1" applyFont="1">
      <alignment vertical="center"/>
    </xf>
    <xf borderId="1" fillId="0" fontId="20" numFmtId="2" xfId="0" applyAlignment="1" applyBorder="1" applyFont="1" applyNumberFormat="1">
      <alignment horizontal="center"/>
    </xf>
    <xf borderId="38" fillId="0" fontId="10" numFmtId="0" xfId="0" applyAlignment="1" applyBorder="1" applyFont="1">
      <alignment vertical="center"/>
    </xf>
    <xf borderId="0" fillId="0" fontId="21" numFmtId="0" xfId="0" applyFont="1"/>
    <xf borderId="38" fillId="0" fontId="16" numFmtId="0" xfId="0" applyBorder="1" applyFont="1"/>
    <xf borderId="38" fillId="0" fontId="22" numFmtId="0" xfId="0" applyBorder="1" applyFont="1"/>
    <xf borderId="0" fillId="0" fontId="23" numFmtId="0" xfId="0" applyFont="1"/>
    <xf borderId="0" fillId="0" fontId="18" numFmtId="2" xfId="0" applyFont="1" applyNumberFormat="1"/>
    <xf borderId="24" fillId="0" fontId="12" numFmtId="0" xfId="0" applyAlignment="1" applyBorder="1" applyFont="1">
      <alignment horizontal="center" vertical="center"/>
    </xf>
    <xf borderId="24" fillId="0" fontId="12" numFmtId="166" xfId="0" applyAlignment="1" applyBorder="1" applyFont="1" applyNumberFormat="1">
      <alignment horizontal="center" vertical="center"/>
    </xf>
    <xf borderId="24" fillId="0" fontId="12" numFmtId="4" xfId="0" applyAlignment="1" applyBorder="1" applyFont="1" applyNumberFormat="1">
      <alignment horizontal="center" vertical="center"/>
    </xf>
    <xf borderId="24" fillId="0" fontId="13" numFmtId="0" xfId="0" applyAlignment="1" applyBorder="1" applyFont="1">
      <alignment vertical="center"/>
    </xf>
    <xf borderId="24" fillId="0" fontId="9" numFmtId="12" xfId="0" applyAlignment="1" applyBorder="1" applyFont="1" applyNumberFormat="1">
      <alignment horizontal="center"/>
    </xf>
    <xf borderId="24" fillId="0" fontId="12" numFmtId="2" xfId="0" applyAlignment="1" applyBorder="1" applyFont="1" applyNumberFormat="1">
      <alignment horizontal="center"/>
    </xf>
    <xf borderId="35" fillId="0" fontId="12" numFmtId="166" xfId="0" applyAlignment="1" applyBorder="1" applyFont="1" applyNumberFormat="1">
      <alignment horizontal="center" vertical="center"/>
    </xf>
    <xf borderId="35" fillId="0" fontId="12" numFmtId="4" xfId="0" applyAlignment="1" applyBorder="1" applyFont="1" applyNumberFormat="1">
      <alignment horizontal="center" vertical="center"/>
    </xf>
    <xf borderId="35" fillId="0" fontId="10" numFmtId="2" xfId="0" applyAlignment="1" applyBorder="1" applyFont="1" applyNumberFormat="1">
      <alignment horizontal="left"/>
    </xf>
    <xf borderId="24" fillId="0" fontId="12" numFmtId="4" xfId="0" applyAlignment="1" applyBorder="1" applyFont="1" applyNumberFormat="1">
      <alignment horizontal="left" vertical="center"/>
    </xf>
    <xf borderId="24" fillId="0" fontId="12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24" fillId="0" fontId="9" numFmtId="2" xfId="0" applyAlignment="1" applyBorder="1" applyFont="1" applyNumberFormat="1">
      <alignment horizontal="left"/>
    </xf>
    <xf borderId="24" fillId="0" fontId="10" numFmtId="0" xfId="0" applyAlignment="1" applyBorder="1" applyFont="1">
      <alignment horizontal="right" vertical="center"/>
    </xf>
    <xf borderId="24" fillId="0" fontId="10" numFmtId="4" xfId="0" applyAlignment="1" applyBorder="1" applyFont="1" applyNumberFormat="1">
      <alignment horizontal="center" vertical="center"/>
    </xf>
    <xf borderId="24" fillId="0" fontId="12" numFmtId="4" xfId="0" applyAlignment="1" applyBorder="1" applyFont="1" applyNumberFormat="1">
      <alignment horizontal="center"/>
    </xf>
    <xf borderId="0" fillId="0" fontId="18" numFmtId="0" xfId="0" applyAlignment="1" applyFont="1">
      <alignment horizontal="center"/>
    </xf>
    <xf borderId="38" fillId="0" fontId="22" numFmtId="0" xfId="0" applyAlignment="1" applyBorder="1" applyFont="1">
      <alignment vertical="center"/>
    </xf>
    <xf borderId="0" fillId="0" fontId="10" numFmtId="4" xfId="0" applyAlignment="1" applyFont="1" applyNumberFormat="1">
      <alignment vertical="center"/>
    </xf>
    <xf borderId="0" fillId="0" fontId="10" numFmtId="0" xfId="0" applyFont="1"/>
    <xf borderId="0" fillId="0" fontId="10" numFmtId="0" xfId="0" applyAlignment="1" applyFont="1">
      <alignment vertical="center"/>
    </xf>
    <xf borderId="0" fillId="0" fontId="18" numFmtId="0" xfId="0" applyFont="1"/>
    <xf borderId="0" fillId="0" fontId="12" numFmtId="0" xfId="0" applyFont="1"/>
    <xf borderId="4" fillId="6" fontId="10" numFmtId="0" xfId="0" applyBorder="1" applyFont="1"/>
    <xf borderId="4" fillId="7" fontId="10" numFmtId="0" xfId="0" applyBorder="1" applyFill="1" applyFont="1"/>
    <xf borderId="4" fillId="7" fontId="10" numFmtId="0" xfId="0" applyBorder="1" applyFont="1"/>
    <xf borderId="24" fillId="0" fontId="10" numFmtId="0" xfId="0" applyAlignment="1" applyBorder="1" applyFont="1">
      <alignment horizontal="right"/>
    </xf>
    <xf borderId="24" fillId="0" fontId="10" numFmtId="0" xfId="0" applyAlignment="1" applyBorder="1" applyFont="1">
      <alignment horizontal="right"/>
    </xf>
    <xf borderId="24" fillId="0" fontId="12" numFmtId="166" xfId="0" applyAlignment="1" applyBorder="1" applyFont="1" applyNumberFormat="1">
      <alignment vertical="center"/>
    </xf>
    <xf borderId="24" fillId="0" fontId="12" numFmtId="0" xfId="0" applyAlignment="1" applyBorder="1" applyFont="1">
      <alignment vertical="center"/>
    </xf>
    <xf borderId="0" fillId="0" fontId="24" numFmtId="0" xfId="0" applyAlignment="1" applyFont="1">
      <alignment horizontal="left" vertical="center"/>
    </xf>
    <xf borderId="0" fillId="0" fontId="25" numFmtId="0" xfId="0" applyAlignment="1" applyFont="1">
      <alignment horizontal="left" vertical="center"/>
    </xf>
    <xf borderId="0" fillId="0" fontId="26" numFmtId="3" xfId="0" applyAlignment="1" applyFont="1" applyNumberFormat="1">
      <alignment horizontal="right" vertical="center"/>
    </xf>
    <xf borderId="0" fillId="0" fontId="27" numFmtId="0" xfId="0" applyAlignment="1" applyFont="1">
      <alignment horizontal="center" vertical="center"/>
    </xf>
    <xf borderId="0" fillId="0" fontId="26" numFmtId="0" xfId="0" applyAlignment="1" applyFont="1">
      <alignment horizontal="right" vertical="center"/>
    </xf>
    <xf borderId="0" fillId="0" fontId="26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0" fillId="0" fontId="28" numFmtId="0" xfId="0" applyAlignment="1" applyFont="1">
      <alignment vertical="center"/>
    </xf>
    <xf borderId="0" fillId="0" fontId="28" numFmtId="168" xfId="0" applyAlignment="1" applyFont="1" applyNumberFormat="1">
      <alignment horizontal="right" vertical="center"/>
    </xf>
    <xf borderId="0" fillId="0" fontId="24" numFmtId="168" xfId="0" applyAlignment="1" applyFont="1" applyNumberFormat="1">
      <alignment horizontal="right" vertical="center"/>
    </xf>
    <xf borderId="0" fillId="0" fontId="24" numFmtId="0" xfId="0" applyAlignment="1" applyFont="1">
      <alignment horizontal="right" vertical="center"/>
    </xf>
    <xf borderId="0" fillId="0" fontId="26" numFmtId="169" xfId="0" applyAlignment="1" applyFont="1" applyNumberFormat="1">
      <alignment horizontal="right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METRADO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8486775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0</xdr:row>
      <xdr:rowOff>0</xdr:rowOff>
    </xdr:from>
    <xdr:ext cx="8524875" cy="11430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0</xdr:row>
      <xdr:rowOff>0</xdr:rowOff>
    </xdr:from>
    <xdr:ext cx="4829175" cy="581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S419" displayName="Table_1" name="Table_1" id="1">
  <tableColumns count="18">
    <tableColumn name="NIVEL IND." id="1"/>
    <tableColumn name="FECHA" id="2"/>
    <tableColumn name="FRENTE" id="3"/>
    <tableColumn name="BLOQUE" id="4"/>
    <tableColumn name="NIVEL" id="5"/>
    <tableColumn name="CODIGO" id="6"/>
    <tableColumn name="PARTIDA" id="7"/>
    <tableColumn name="DESCRIPCIÓN" id="8"/>
    <tableColumn name="CANTIDAD" id="9"/>
    <tableColumn name="LONGITUD/AREA" id="10"/>
    <tableColumn name="ANCHO / EMPAME" id="11"/>
    <tableColumn name="ALTURA / GANCHO" id="12"/>
    <tableColumn name="PARCIAL" id="13"/>
    <tableColumn name="ACERO" id="14"/>
    <tableColumn name="N° VECES" id="15"/>
    <tableColumn name="TOTAL" id="16"/>
    <tableColumn name="UNIDADES" id="17"/>
    <tableColumn name="MOD." id="18"/>
  </tableColumns>
  <tableStyleInfo name="METR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8.63"/>
    <col customWidth="1" min="3" max="10" width="5.63"/>
    <col customWidth="1" min="11" max="11" width="39.38"/>
    <col customWidth="1" min="12" max="12" width="7.5"/>
    <col customWidth="1" min="13" max="13" width="10.5"/>
    <col customWidth="1" min="14" max="14" width="3.63"/>
    <col customWidth="1" min="15" max="26" width="11.5"/>
  </cols>
  <sheetData>
    <row r="1" ht="7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1"/>
      <c r="B4" s="8" t="s">
        <v>1</v>
      </c>
      <c r="C4" s="8" t="s">
        <v>2</v>
      </c>
      <c r="D4" s="9" t="s">
        <v>3</v>
      </c>
      <c r="E4" s="10"/>
      <c r="F4" s="10"/>
      <c r="G4" s="10"/>
      <c r="H4" s="10"/>
      <c r="I4" s="10"/>
      <c r="J4" s="10"/>
      <c r="K4" s="10"/>
      <c r="L4" s="10"/>
      <c r="M4" s="11"/>
      <c r="N4" s="7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1"/>
      <c r="B5" s="8"/>
      <c r="C5" s="8"/>
      <c r="D5" s="12"/>
      <c r="E5" s="13"/>
      <c r="F5" s="13"/>
      <c r="G5" s="13"/>
      <c r="H5" s="13"/>
      <c r="I5" s="13"/>
      <c r="J5" s="13"/>
      <c r="K5" s="13"/>
      <c r="L5" s="13"/>
      <c r="M5" s="14"/>
      <c r="N5" s="7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1"/>
      <c r="B6" s="8" t="s">
        <v>4</v>
      </c>
      <c r="C6" s="8" t="s">
        <v>2</v>
      </c>
      <c r="D6" s="15" t="s">
        <v>5</v>
      </c>
      <c r="E6" s="8"/>
      <c r="F6" s="8"/>
      <c r="G6" s="8"/>
      <c r="H6" s="8"/>
      <c r="I6" s="8"/>
      <c r="J6" s="8"/>
      <c r="K6" s="8"/>
      <c r="L6" s="8"/>
      <c r="M6" s="8"/>
      <c r="N6" s="7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"/>
      <c r="B7" s="8" t="s">
        <v>6</v>
      </c>
      <c r="C7" s="8" t="s">
        <v>2</v>
      </c>
      <c r="D7" s="15" t="s">
        <v>7</v>
      </c>
      <c r="E7" s="8"/>
      <c r="F7" s="8"/>
      <c r="G7" s="8"/>
      <c r="H7" s="8"/>
      <c r="I7" s="8"/>
      <c r="J7" s="8"/>
      <c r="K7" s="8"/>
      <c r="L7" s="8"/>
      <c r="M7" s="8"/>
      <c r="N7" s="7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1"/>
      <c r="B8" s="8" t="s">
        <v>8</v>
      </c>
      <c r="C8" s="8" t="s">
        <v>2</v>
      </c>
      <c r="D8" s="15" t="s">
        <v>9</v>
      </c>
      <c r="E8" s="8"/>
      <c r="F8" s="8"/>
      <c r="G8" s="8"/>
      <c r="H8" s="8"/>
      <c r="I8" s="8"/>
      <c r="J8" s="8"/>
      <c r="K8" s="8"/>
      <c r="L8" s="8"/>
      <c r="M8" s="8"/>
      <c r="N8" s="7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1"/>
      <c r="B9" s="8" t="s">
        <v>10</v>
      </c>
      <c r="C9" s="8" t="s">
        <v>2</v>
      </c>
      <c r="D9" s="15" t="s">
        <v>11</v>
      </c>
      <c r="E9" s="8"/>
      <c r="F9" s="8"/>
      <c r="G9" s="8"/>
      <c r="H9" s="8"/>
      <c r="I9" s="8"/>
      <c r="J9" s="8"/>
      <c r="K9" s="8"/>
      <c r="L9" s="8"/>
      <c r="M9" s="8"/>
      <c r="N9" s="7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2"/>
      <c r="B11" s="16" t="s">
        <v>12</v>
      </c>
      <c r="C11" s="17" t="s">
        <v>13</v>
      </c>
      <c r="D11" s="18"/>
      <c r="E11" s="18"/>
      <c r="F11" s="18"/>
      <c r="G11" s="18"/>
      <c r="H11" s="18"/>
      <c r="I11" s="18"/>
      <c r="J11" s="18"/>
      <c r="K11" s="19"/>
      <c r="L11" s="20" t="s">
        <v>14</v>
      </c>
      <c r="M11" s="20" t="s">
        <v>15</v>
      </c>
      <c r="N11" s="2"/>
      <c r="O11" s="3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>
      <c r="A12" s="22"/>
      <c r="B12" s="23" t="s">
        <v>16</v>
      </c>
      <c r="C12" s="24" t="s">
        <v>17</v>
      </c>
      <c r="D12" s="25"/>
      <c r="E12" s="25"/>
      <c r="F12" s="25"/>
      <c r="G12" s="25"/>
      <c r="H12" s="25"/>
      <c r="I12" s="25"/>
      <c r="J12" s="25"/>
      <c r="K12" s="25"/>
      <c r="L12" s="26"/>
      <c r="M12" s="27"/>
      <c r="N12" s="22"/>
      <c r="O12" s="3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1"/>
      <c r="B13" s="29" t="s">
        <v>18</v>
      </c>
      <c r="C13" s="30" t="s">
        <v>19</v>
      </c>
      <c r="D13" s="31"/>
      <c r="E13" s="31"/>
      <c r="F13" s="31"/>
      <c r="G13" s="31"/>
      <c r="H13" s="31"/>
      <c r="I13" s="31"/>
      <c r="J13" s="31"/>
      <c r="K13" s="31"/>
      <c r="L13" s="32"/>
      <c r="M13" s="33"/>
      <c r="N13" s="1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"/>
      <c r="B14" s="29" t="s">
        <v>18</v>
      </c>
      <c r="C14" s="30" t="s">
        <v>20</v>
      </c>
      <c r="D14" s="31"/>
      <c r="E14" s="31"/>
      <c r="F14" s="31"/>
      <c r="G14" s="31"/>
      <c r="H14" s="31"/>
      <c r="I14" s="31"/>
      <c r="J14" s="31"/>
      <c r="K14" s="31"/>
      <c r="L14" s="32"/>
      <c r="M14" s="33"/>
      <c r="N14" s="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"/>
      <c r="B15" s="34" t="s">
        <v>21</v>
      </c>
      <c r="C15" s="35" t="s">
        <v>22</v>
      </c>
      <c r="D15" s="31"/>
      <c r="E15" s="31"/>
      <c r="F15" s="31"/>
      <c r="G15" s="31"/>
      <c r="H15" s="31"/>
      <c r="I15" s="31"/>
      <c r="J15" s="31"/>
      <c r="K15" s="31"/>
      <c r="L15" s="32" t="s">
        <v>14</v>
      </c>
      <c r="M15" s="33">
        <f>+'Metrado Estructuras'!Q9</f>
        <v>1498.688</v>
      </c>
      <c r="N15" s="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"/>
      <c r="B16" s="34" t="s">
        <v>23</v>
      </c>
      <c r="C16" s="35" t="s">
        <v>24</v>
      </c>
      <c r="D16" s="31"/>
      <c r="E16" s="31"/>
      <c r="F16" s="31"/>
      <c r="G16" s="31"/>
      <c r="H16" s="31"/>
      <c r="I16" s="31"/>
      <c r="J16" s="31"/>
      <c r="K16" s="31"/>
      <c r="L16" s="32" t="s">
        <v>25</v>
      </c>
      <c r="M16" s="33" t="str">
        <f>+'Metrado Estructuras'!Q14</f>
        <v/>
      </c>
      <c r="N16" s="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"/>
      <c r="B17" s="34" t="s">
        <v>26</v>
      </c>
      <c r="C17" s="35" t="s">
        <v>27</v>
      </c>
      <c r="D17" s="31"/>
      <c r="E17" s="31"/>
      <c r="F17" s="31"/>
      <c r="G17" s="31"/>
      <c r="H17" s="31"/>
      <c r="I17" s="31"/>
      <c r="J17" s="31"/>
      <c r="K17" s="31"/>
      <c r="L17" s="32" t="s">
        <v>28</v>
      </c>
      <c r="M17" s="33" t="str">
        <f>+'Metrado Estructuras'!Q17</f>
        <v/>
      </c>
      <c r="N17" s="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"/>
      <c r="B18" s="34" t="s">
        <v>29</v>
      </c>
      <c r="C18" s="35" t="s">
        <v>30</v>
      </c>
      <c r="D18" s="31"/>
      <c r="E18" s="31"/>
      <c r="F18" s="31"/>
      <c r="G18" s="31"/>
      <c r="H18" s="31"/>
      <c r="I18" s="31"/>
      <c r="J18" s="31"/>
      <c r="K18" s="31"/>
      <c r="L18" s="32" t="s">
        <v>31</v>
      </c>
      <c r="M18" s="33" t="str">
        <f>+'Metrado Estructuras'!Q20</f>
        <v/>
      </c>
      <c r="N18" s="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/>
      <c r="B19" s="29" t="s">
        <v>32</v>
      </c>
      <c r="C19" s="30" t="s">
        <v>33</v>
      </c>
      <c r="D19" s="31"/>
      <c r="E19" s="31"/>
      <c r="F19" s="31"/>
      <c r="G19" s="31"/>
      <c r="H19" s="31"/>
      <c r="I19" s="31"/>
      <c r="J19" s="31"/>
      <c r="K19" s="31"/>
      <c r="L19" s="32"/>
      <c r="M19" s="33"/>
      <c r="N19" s="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22"/>
      <c r="B20" s="34" t="s">
        <v>34</v>
      </c>
      <c r="C20" s="35" t="s">
        <v>35</v>
      </c>
      <c r="D20" s="31"/>
      <c r="E20" s="31"/>
      <c r="F20" s="31"/>
      <c r="G20" s="31"/>
      <c r="H20" s="31"/>
      <c r="I20" s="31"/>
      <c r="J20" s="31"/>
      <c r="K20" s="31"/>
      <c r="L20" s="32" t="s">
        <v>31</v>
      </c>
      <c r="M20" s="33" t="str">
        <f>+'Metrado Estructuras'!#REF!</f>
        <v>#ERROR!</v>
      </c>
      <c r="N20" s="22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1"/>
      <c r="B21" s="29" t="s">
        <v>36</v>
      </c>
      <c r="C21" s="30" t="s">
        <v>37</v>
      </c>
      <c r="D21" s="31"/>
      <c r="E21" s="31"/>
      <c r="F21" s="31"/>
      <c r="G21" s="31"/>
      <c r="H21" s="31"/>
      <c r="I21" s="31"/>
      <c r="J21" s="31"/>
      <c r="K21" s="31"/>
      <c r="L21" s="32"/>
      <c r="M21" s="33"/>
      <c r="N21" s="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/>
      <c r="B22" s="34" t="s">
        <v>38</v>
      </c>
      <c r="C22" s="35" t="s">
        <v>39</v>
      </c>
      <c r="D22" s="31"/>
      <c r="E22" s="31"/>
      <c r="F22" s="31"/>
      <c r="G22" s="31"/>
      <c r="H22" s="31"/>
      <c r="I22" s="31"/>
      <c r="J22" s="31"/>
      <c r="K22" s="31"/>
      <c r="L22" s="32" t="s">
        <v>25</v>
      </c>
      <c r="M22" s="33" t="str">
        <f>+'Metrado Estructuras'!#REF!</f>
        <v>#ERROR!</v>
      </c>
      <c r="N22" s="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/>
      <c r="B23" s="34" t="s">
        <v>38</v>
      </c>
      <c r="C23" s="35" t="s">
        <v>40</v>
      </c>
      <c r="D23" s="31"/>
      <c r="E23" s="31"/>
      <c r="F23" s="31"/>
      <c r="G23" s="31"/>
      <c r="H23" s="31"/>
      <c r="I23" s="31"/>
      <c r="J23" s="31"/>
      <c r="K23" s="31"/>
      <c r="L23" s="32" t="s">
        <v>25</v>
      </c>
      <c r="M23" s="33" t="str">
        <f>+'Metrado Estructuras'!#REF!</f>
        <v>#ERROR!</v>
      </c>
      <c r="N23" s="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22"/>
      <c r="B24" s="29" t="s">
        <v>41</v>
      </c>
      <c r="C24" s="30" t="s">
        <v>42</v>
      </c>
      <c r="D24" s="31"/>
      <c r="E24" s="31"/>
      <c r="F24" s="31"/>
      <c r="G24" s="31"/>
      <c r="H24" s="31"/>
      <c r="I24" s="31"/>
      <c r="J24" s="31"/>
      <c r="K24" s="31"/>
      <c r="L24" s="32"/>
      <c r="M24" s="33"/>
      <c r="N24" s="22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2"/>
      <c r="B25" s="34" t="s">
        <v>43</v>
      </c>
      <c r="C25" s="35" t="s">
        <v>44</v>
      </c>
      <c r="D25" s="31"/>
      <c r="E25" s="31"/>
      <c r="F25" s="31"/>
      <c r="G25" s="31"/>
      <c r="H25" s="31"/>
      <c r="I25" s="31"/>
      <c r="J25" s="31"/>
      <c r="K25" s="31"/>
      <c r="L25" s="32" t="s">
        <v>45</v>
      </c>
      <c r="M25" s="33" t="str">
        <f>+'Metrado Estructuras'!#REF!</f>
        <v>#ERROR!</v>
      </c>
      <c r="N25" s="22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2.75" customHeight="1">
      <c r="A26" s="1"/>
      <c r="B26" s="34" t="s">
        <v>46</v>
      </c>
      <c r="C26" s="35" t="s">
        <v>47</v>
      </c>
      <c r="D26" s="31"/>
      <c r="E26" s="31"/>
      <c r="F26" s="31"/>
      <c r="G26" s="31"/>
      <c r="H26" s="31"/>
      <c r="I26" s="31"/>
      <c r="J26" s="31"/>
      <c r="K26" s="31"/>
      <c r="L26" s="32" t="s">
        <v>45</v>
      </c>
      <c r="M26" s="33" t="str">
        <f>+'Metrado Estructuras'!#REF!</f>
        <v>#ERROR!</v>
      </c>
      <c r="N26" s="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22"/>
      <c r="B27" s="29" t="s">
        <v>41</v>
      </c>
      <c r="C27" s="30" t="s">
        <v>48</v>
      </c>
      <c r="D27" s="31"/>
      <c r="E27" s="31"/>
      <c r="F27" s="31"/>
      <c r="G27" s="31"/>
      <c r="H27" s="31"/>
      <c r="I27" s="31"/>
      <c r="J27" s="31"/>
      <c r="K27" s="31"/>
      <c r="L27" s="32"/>
      <c r="M27" s="33"/>
      <c r="N27" s="22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2.75" customHeight="1">
      <c r="A28" s="22"/>
      <c r="B28" s="34" t="s">
        <v>43</v>
      </c>
      <c r="C28" s="35" t="s">
        <v>49</v>
      </c>
      <c r="D28" s="31"/>
      <c r="E28" s="31"/>
      <c r="F28" s="31"/>
      <c r="G28" s="31"/>
      <c r="H28" s="31"/>
      <c r="I28" s="31"/>
      <c r="J28" s="31"/>
      <c r="K28" s="31"/>
      <c r="L28" s="32" t="s">
        <v>45</v>
      </c>
      <c r="M28" s="33" t="str">
        <f>+'Metrado Estructuras'!#REF!</f>
        <v>#ERROR!</v>
      </c>
      <c r="N28" s="22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2.75" customHeight="1">
      <c r="A29" s="1"/>
      <c r="B29" s="34" t="s">
        <v>46</v>
      </c>
      <c r="C29" s="35" t="s">
        <v>50</v>
      </c>
      <c r="D29" s="31"/>
      <c r="E29" s="31"/>
      <c r="F29" s="31"/>
      <c r="G29" s="31"/>
      <c r="H29" s="31"/>
      <c r="I29" s="31"/>
      <c r="J29" s="31"/>
      <c r="K29" s="31"/>
      <c r="L29" s="32" t="s">
        <v>45</v>
      </c>
      <c r="M29" s="33" t="str">
        <f>+'Metrado Estructuras'!#REF!</f>
        <v>#ERROR!</v>
      </c>
      <c r="N29" s="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29" t="s">
        <v>51</v>
      </c>
      <c r="C30" s="30" t="s">
        <v>52</v>
      </c>
      <c r="D30" s="31"/>
      <c r="E30" s="31"/>
      <c r="F30" s="31"/>
      <c r="G30" s="31"/>
      <c r="H30" s="31"/>
      <c r="I30" s="31"/>
      <c r="J30" s="31"/>
      <c r="K30" s="31"/>
      <c r="L30" s="32"/>
      <c r="M30" s="33"/>
      <c r="N30" s="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29" t="s">
        <v>53</v>
      </c>
      <c r="C31" s="30" t="s">
        <v>54</v>
      </c>
      <c r="D31" s="31"/>
      <c r="E31" s="31"/>
      <c r="F31" s="31"/>
      <c r="G31" s="31"/>
      <c r="H31" s="31"/>
      <c r="I31" s="31"/>
      <c r="J31" s="31"/>
      <c r="K31" s="31"/>
      <c r="L31" s="32"/>
      <c r="M31" s="33"/>
      <c r="N31" s="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34" t="s">
        <v>55</v>
      </c>
      <c r="C32" s="35" t="s">
        <v>56</v>
      </c>
      <c r="D32" s="31"/>
      <c r="E32" s="31"/>
      <c r="F32" s="31"/>
      <c r="G32" s="31"/>
      <c r="H32" s="31"/>
      <c r="I32" s="31"/>
      <c r="J32" s="31"/>
      <c r="K32" s="31"/>
      <c r="L32" s="32" t="s">
        <v>57</v>
      </c>
      <c r="M32" s="33" t="str">
        <f>+'Metrado Estructuras'!#REF!</f>
        <v>#ERROR!</v>
      </c>
      <c r="N32" s="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34" t="s">
        <v>58</v>
      </c>
      <c r="C33" s="35" t="s">
        <v>59</v>
      </c>
      <c r="D33" s="36"/>
      <c r="E33" s="36"/>
      <c r="F33" s="36"/>
      <c r="G33" s="36"/>
      <c r="H33" s="36"/>
      <c r="I33" s="36"/>
      <c r="J33" s="36"/>
      <c r="K33" s="36"/>
      <c r="L33" s="32" t="s">
        <v>57</v>
      </c>
      <c r="M33" s="33" t="str">
        <f>+'Metrado Estructuras'!#REF!</f>
        <v>#ERROR!</v>
      </c>
      <c r="N33" s="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34" t="s">
        <v>60</v>
      </c>
      <c r="C34" s="35" t="s">
        <v>61</v>
      </c>
      <c r="D34" s="31"/>
      <c r="E34" s="31"/>
      <c r="F34" s="31"/>
      <c r="G34" s="31"/>
      <c r="H34" s="31"/>
      <c r="I34" s="31"/>
      <c r="J34" s="31"/>
      <c r="K34" s="31"/>
      <c r="L34" s="32" t="s">
        <v>57</v>
      </c>
      <c r="M34" s="33" t="str">
        <f>+'Metrado Estructuras'!#REF!</f>
        <v>#ERROR!</v>
      </c>
      <c r="N34" s="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34" t="s">
        <v>62</v>
      </c>
      <c r="C35" s="35" t="s">
        <v>63</v>
      </c>
      <c r="D35" s="31"/>
      <c r="E35" s="31"/>
      <c r="F35" s="31"/>
      <c r="G35" s="31"/>
      <c r="H35" s="31"/>
      <c r="I35" s="31"/>
      <c r="J35" s="31"/>
      <c r="K35" s="31"/>
      <c r="L35" s="32" t="s">
        <v>57</v>
      </c>
      <c r="M35" s="33" t="str">
        <f>+'Metrado Estructuras'!#REF!</f>
        <v>#ERROR!</v>
      </c>
      <c r="N35" s="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34" t="s">
        <v>64</v>
      </c>
      <c r="C36" s="35" t="s">
        <v>65</v>
      </c>
      <c r="D36" s="31"/>
      <c r="E36" s="31"/>
      <c r="F36" s="31"/>
      <c r="G36" s="31"/>
      <c r="H36" s="31"/>
      <c r="I36" s="31"/>
      <c r="J36" s="31"/>
      <c r="K36" s="31"/>
      <c r="L36" s="32" t="s">
        <v>57</v>
      </c>
      <c r="M36" s="33" t="str">
        <f>+'Metrado Estructuras'!#REF!</f>
        <v>#ERROR!</v>
      </c>
      <c r="N36" s="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29" t="s">
        <v>66</v>
      </c>
      <c r="C37" s="30" t="s">
        <v>67</v>
      </c>
      <c r="D37" s="36"/>
      <c r="E37" s="36"/>
      <c r="F37" s="36"/>
      <c r="G37" s="36"/>
      <c r="H37" s="36"/>
      <c r="I37" s="36"/>
      <c r="J37" s="36"/>
      <c r="K37" s="36"/>
      <c r="L37" s="32"/>
      <c r="M37" s="33"/>
      <c r="N37" s="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29" t="s">
        <v>68</v>
      </c>
      <c r="C38" s="30" t="s">
        <v>69</v>
      </c>
      <c r="D38" s="31"/>
      <c r="E38" s="31"/>
      <c r="F38" s="31"/>
      <c r="G38" s="31"/>
      <c r="H38" s="31"/>
      <c r="I38" s="31"/>
      <c r="J38" s="31"/>
      <c r="K38" s="31"/>
      <c r="L38" s="32"/>
      <c r="M38" s="33"/>
      <c r="N38" s="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34" t="s">
        <v>70</v>
      </c>
      <c r="C39" s="35" t="s">
        <v>71</v>
      </c>
      <c r="D39" s="31"/>
      <c r="E39" s="31"/>
      <c r="F39" s="31"/>
      <c r="G39" s="31"/>
      <c r="H39" s="31"/>
      <c r="I39" s="31"/>
      <c r="J39" s="31"/>
      <c r="K39" s="31"/>
      <c r="L39" s="32" t="s">
        <v>25</v>
      </c>
      <c r="M39" s="33" t="str">
        <f>+'Metrado Estructuras'!#REF!</f>
        <v>#ERROR!</v>
      </c>
      <c r="N39" s="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29" t="s">
        <v>68</v>
      </c>
      <c r="C40" s="30" t="s">
        <v>72</v>
      </c>
      <c r="D40" s="31"/>
      <c r="E40" s="31"/>
      <c r="F40" s="31"/>
      <c r="G40" s="31"/>
      <c r="H40" s="31"/>
      <c r="I40" s="31"/>
      <c r="J40" s="31"/>
      <c r="K40" s="31"/>
      <c r="L40" s="32"/>
      <c r="M40" s="33"/>
      <c r="N40" s="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34" t="s">
        <v>70</v>
      </c>
      <c r="C41" s="35" t="s">
        <v>73</v>
      </c>
      <c r="D41" s="31"/>
      <c r="E41" s="31"/>
      <c r="F41" s="31"/>
      <c r="G41" s="31"/>
      <c r="H41" s="31"/>
      <c r="I41" s="31"/>
      <c r="J41" s="31"/>
      <c r="K41" s="31"/>
      <c r="L41" s="32" t="s">
        <v>57</v>
      </c>
      <c r="M41" s="33" t="str">
        <f>+'Metrado Estructuras'!#REF!</f>
        <v>#ERROR!</v>
      </c>
      <c r="N41" s="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29" t="s">
        <v>74</v>
      </c>
      <c r="C42" s="30" t="s">
        <v>75</v>
      </c>
      <c r="D42" s="31"/>
      <c r="E42" s="31"/>
      <c r="F42" s="31"/>
      <c r="G42" s="31"/>
      <c r="H42" s="31"/>
      <c r="I42" s="31"/>
      <c r="J42" s="31"/>
      <c r="K42" s="31"/>
      <c r="L42" s="32"/>
      <c r="M42" s="33"/>
      <c r="N42" s="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34" t="s">
        <v>76</v>
      </c>
      <c r="C43" s="35" t="s">
        <v>77</v>
      </c>
      <c r="D43" s="31"/>
      <c r="E43" s="31"/>
      <c r="F43" s="31"/>
      <c r="G43" s="31"/>
      <c r="H43" s="31"/>
      <c r="I43" s="31"/>
      <c r="J43" s="31"/>
      <c r="K43" s="31"/>
      <c r="L43" s="32" t="s">
        <v>57</v>
      </c>
      <c r="M43" s="33" t="str">
        <f>+'Metrado Estructuras'!#REF!</f>
        <v>#ERROR!</v>
      </c>
      <c r="N43" s="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34" t="s">
        <v>78</v>
      </c>
      <c r="C44" s="35" t="s">
        <v>79</v>
      </c>
      <c r="D44" s="36"/>
      <c r="E44" s="36"/>
      <c r="F44" s="36"/>
      <c r="G44" s="36"/>
      <c r="H44" s="36"/>
      <c r="I44" s="36"/>
      <c r="J44" s="36"/>
      <c r="K44" s="36"/>
      <c r="L44" s="32" t="s">
        <v>25</v>
      </c>
      <c r="M44" s="33" t="str">
        <f>+'Metrado Estructuras'!#REF!</f>
        <v>#ERROR!</v>
      </c>
      <c r="N44" s="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29" t="s">
        <v>80</v>
      </c>
      <c r="C45" s="30" t="s">
        <v>81</v>
      </c>
      <c r="D45" s="31"/>
      <c r="E45" s="31"/>
      <c r="F45" s="31"/>
      <c r="G45" s="31"/>
      <c r="H45" s="31"/>
      <c r="I45" s="31"/>
      <c r="J45" s="31"/>
      <c r="K45" s="31"/>
      <c r="L45" s="32"/>
      <c r="M45" s="33"/>
      <c r="N45" s="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29" t="s">
        <v>82</v>
      </c>
      <c r="C46" s="30" t="s">
        <v>83</v>
      </c>
      <c r="D46" s="31"/>
      <c r="E46" s="31"/>
      <c r="F46" s="31"/>
      <c r="G46" s="31"/>
      <c r="H46" s="31"/>
      <c r="I46" s="31"/>
      <c r="J46" s="31"/>
      <c r="K46" s="31"/>
      <c r="L46" s="32"/>
      <c r="M46" s="33"/>
      <c r="N46" s="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34" t="s">
        <v>84</v>
      </c>
      <c r="C47" s="35" t="s">
        <v>85</v>
      </c>
      <c r="D47" s="31"/>
      <c r="E47" s="31"/>
      <c r="F47" s="31"/>
      <c r="G47" s="31"/>
      <c r="H47" s="31"/>
      <c r="I47" s="31"/>
      <c r="J47" s="31"/>
      <c r="K47" s="31"/>
      <c r="L47" s="32" t="s">
        <v>57</v>
      </c>
      <c r="M47" s="33" t="str">
        <f>+'Metrado Estructuras'!#REF!</f>
        <v>#ERROR!</v>
      </c>
      <c r="N47" s="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34" t="s">
        <v>86</v>
      </c>
      <c r="C48" s="35" t="s">
        <v>87</v>
      </c>
      <c r="D48" s="36"/>
      <c r="E48" s="36"/>
      <c r="F48" s="36"/>
      <c r="G48" s="36"/>
      <c r="H48" s="36"/>
      <c r="I48" s="36"/>
      <c r="J48" s="36"/>
      <c r="K48" s="36"/>
      <c r="L48" s="32" t="s">
        <v>88</v>
      </c>
      <c r="M48" s="33" t="str">
        <f>+'Metrado Estructuras'!#REF!</f>
        <v>#ERROR!</v>
      </c>
      <c r="N48" s="1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29" t="s">
        <v>89</v>
      </c>
      <c r="C49" s="30" t="s">
        <v>90</v>
      </c>
      <c r="D49" s="36"/>
      <c r="E49" s="36"/>
      <c r="F49" s="36"/>
      <c r="G49" s="36"/>
      <c r="H49" s="36"/>
      <c r="I49" s="36"/>
      <c r="J49" s="36"/>
      <c r="K49" s="36"/>
      <c r="L49" s="32"/>
      <c r="M49" s="33"/>
      <c r="N49" s="1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34" t="s">
        <v>91</v>
      </c>
      <c r="C50" s="35" t="s">
        <v>92</v>
      </c>
      <c r="D50" s="31"/>
      <c r="E50" s="31"/>
      <c r="F50" s="31"/>
      <c r="G50" s="31"/>
      <c r="H50" s="31"/>
      <c r="I50" s="31"/>
      <c r="J50" s="31"/>
      <c r="K50" s="31"/>
      <c r="L50" s="32" t="s">
        <v>57</v>
      </c>
      <c r="M50" s="33" t="str">
        <f>+'Metrado Estructuras'!#REF!</f>
        <v>#ERROR!</v>
      </c>
      <c r="N50" s="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34" t="s">
        <v>93</v>
      </c>
      <c r="C51" s="35" t="s">
        <v>94</v>
      </c>
      <c r="D51" s="31"/>
      <c r="E51" s="31"/>
      <c r="F51" s="31"/>
      <c r="G51" s="31"/>
      <c r="H51" s="31"/>
      <c r="I51" s="31"/>
      <c r="J51" s="31"/>
      <c r="K51" s="31"/>
      <c r="L51" s="32" t="s">
        <v>25</v>
      </c>
      <c r="M51" s="33" t="str">
        <f>+'Metrado Estructuras'!#REF!</f>
        <v>#ERROR!</v>
      </c>
      <c r="N51" s="1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34" t="s">
        <v>95</v>
      </c>
      <c r="C52" s="35" t="s">
        <v>96</v>
      </c>
      <c r="D52" s="31"/>
      <c r="E52" s="31"/>
      <c r="F52" s="31"/>
      <c r="G52" s="31"/>
      <c r="H52" s="31"/>
      <c r="I52" s="31"/>
      <c r="J52" s="31"/>
      <c r="K52" s="31"/>
      <c r="L52" s="32" t="s">
        <v>88</v>
      </c>
      <c r="M52" s="33" t="str">
        <f>+'Metrado Estructuras'!#REF!</f>
        <v>#ERROR!</v>
      </c>
      <c r="N52" s="1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29" t="s">
        <v>97</v>
      </c>
      <c r="C53" s="30" t="s">
        <v>98</v>
      </c>
      <c r="D53" s="31"/>
      <c r="E53" s="31"/>
      <c r="F53" s="31"/>
      <c r="G53" s="31"/>
      <c r="H53" s="31"/>
      <c r="I53" s="31"/>
      <c r="J53" s="31"/>
      <c r="K53" s="31"/>
      <c r="L53" s="32"/>
      <c r="M53" s="33"/>
      <c r="N53" s="1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34" t="s">
        <v>99</v>
      </c>
      <c r="C54" s="35" t="s">
        <v>100</v>
      </c>
      <c r="D54" s="31"/>
      <c r="E54" s="31"/>
      <c r="F54" s="31"/>
      <c r="G54" s="31"/>
      <c r="H54" s="31"/>
      <c r="I54" s="31"/>
      <c r="J54" s="31"/>
      <c r="K54" s="31"/>
      <c r="L54" s="32" t="s">
        <v>57</v>
      </c>
      <c r="M54" s="33" t="str">
        <f>+'Metrado Estructuras'!#REF!</f>
        <v>#ERROR!</v>
      </c>
      <c r="N54" s="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34" t="s">
        <v>101</v>
      </c>
      <c r="C55" s="35" t="s">
        <v>102</v>
      </c>
      <c r="D55" s="31"/>
      <c r="E55" s="31"/>
      <c r="F55" s="31"/>
      <c r="G55" s="31"/>
      <c r="H55" s="31"/>
      <c r="I55" s="31"/>
      <c r="J55" s="31"/>
      <c r="K55" s="31"/>
      <c r="L55" s="32" t="s">
        <v>25</v>
      </c>
      <c r="M55" s="33" t="str">
        <f>+'Metrado Estructuras'!#REF!</f>
        <v>#ERROR!</v>
      </c>
      <c r="N55" s="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34" t="s">
        <v>103</v>
      </c>
      <c r="C56" s="35" t="s">
        <v>104</v>
      </c>
      <c r="D56" s="31"/>
      <c r="E56" s="31"/>
      <c r="F56" s="31"/>
      <c r="G56" s="31"/>
      <c r="H56" s="31"/>
      <c r="I56" s="31"/>
      <c r="J56" s="31"/>
      <c r="K56" s="31"/>
      <c r="L56" s="32" t="s">
        <v>88</v>
      </c>
      <c r="M56" s="33" t="str">
        <f>+'Metrado Estructuras'!#REF!</f>
        <v>#ERROR!</v>
      </c>
      <c r="N56" s="1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29" t="s">
        <v>105</v>
      </c>
      <c r="C57" s="30" t="s">
        <v>106</v>
      </c>
      <c r="D57" s="36"/>
      <c r="E57" s="36"/>
      <c r="F57" s="36"/>
      <c r="G57" s="36"/>
      <c r="H57" s="36"/>
      <c r="I57" s="36"/>
      <c r="J57" s="36"/>
      <c r="K57" s="36"/>
      <c r="L57" s="32"/>
      <c r="M57" s="33"/>
      <c r="N57" s="1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34" t="s">
        <v>107</v>
      </c>
      <c r="C58" s="35" t="s">
        <v>108</v>
      </c>
      <c r="D58" s="31"/>
      <c r="E58" s="31"/>
      <c r="F58" s="31"/>
      <c r="G58" s="31"/>
      <c r="H58" s="31"/>
      <c r="I58" s="31"/>
      <c r="J58" s="31"/>
      <c r="K58" s="31"/>
      <c r="L58" s="32" t="s">
        <v>57</v>
      </c>
      <c r="M58" s="33" t="str">
        <f>+'Metrado Estructuras'!#REF!</f>
        <v>#ERROR!</v>
      </c>
      <c r="N58" s="1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34" t="s">
        <v>109</v>
      </c>
      <c r="C59" s="35" t="s">
        <v>110</v>
      </c>
      <c r="D59" s="36"/>
      <c r="E59" s="36"/>
      <c r="F59" s="36"/>
      <c r="G59" s="36"/>
      <c r="H59" s="36"/>
      <c r="I59" s="36"/>
      <c r="J59" s="36"/>
      <c r="K59" s="36"/>
      <c r="L59" s="32" t="s">
        <v>25</v>
      </c>
      <c r="M59" s="33" t="str">
        <f>+'Metrado Estructuras'!#REF!</f>
        <v>#ERROR!</v>
      </c>
      <c r="N59" s="1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34" t="s">
        <v>111</v>
      </c>
      <c r="C60" s="35" t="s">
        <v>112</v>
      </c>
      <c r="D60" s="31"/>
      <c r="E60" s="31"/>
      <c r="F60" s="31"/>
      <c r="G60" s="31"/>
      <c r="H60" s="31"/>
      <c r="I60" s="31"/>
      <c r="J60" s="31"/>
      <c r="K60" s="31"/>
      <c r="L60" s="32" t="s">
        <v>88</v>
      </c>
      <c r="M60" s="33" t="str">
        <f>+'Metrado Estructuras'!#REF!</f>
        <v>#ERROR!</v>
      </c>
      <c r="N60" s="1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29" t="s">
        <v>113</v>
      </c>
      <c r="C61" s="30" t="s">
        <v>114</v>
      </c>
      <c r="D61" s="36"/>
      <c r="E61" s="36"/>
      <c r="F61" s="36"/>
      <c r="G61" s="36"/>
      <c r="H61" s="36"/>
      <c r="I61" s="36"/>
      <c r="J61" s="36"/>
      <c r="K61" s="36"/>
      <c r="L61" s="32"/>
      <c r="M61" s="33"/>
      <c r="N61" s="1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34" t="s">
        <v>115</v>
      </c>
      <c r="C62" s="35" t="s">
        <v>116</v>
      </c>
      <c r="D62" s="31"/>
      <c r="E62" s="31"/>
      <c r="F62" s="31"/>
      <c r="G62" s="31"/>
      <c r="H62" s="31"/>
      <c r="I62" s="31"/>
      <c r="J62" s="31"/>
      <c r="K62" s="31"/>
      <c r="L62" s="32" t="s">
        <v>57</v>
      </c>
      <c r="M62" s="33" t="str">
        <f>+'Metrado Estructuras'!#REF!</f>
        <v>#ERROR!</v>
      </c>
      <c r="N62" s="1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34" t="s">
        <v>117</v>
      </c>
      <c r="C63" s="35" t="s">
        <v>118</v>
      </c>
      <c r="D63" s="36"/>
      <c r="E63" s="36"/>
      <c r="F63" s="36"/>
      <c r="G63" s="36"/>
      <c r="H63" s="36"/>
      <c r="I63" s="36"/>
      <c r="J63" s="36"/>
      <c r="K63" s="36"/>
      <c r="L63" s="32" t="s">
        <v>25</v>
      </c>
      <c r="M63" s="33" t="str">
        <f>+'Metrado Estructuras'!#REF!</f>
        <v>#ERROR!</v>
      </c>
      <c r="N63" s="1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34" t="s">
        <v>119</v>
      </c>
      <c r="C64" s="35" t="s">
        <v>120</v>
      </c>
      <c r="D64" s="31"/>
      <c r="E64" s="31"/>
      <c r="F64" s="31"/>
      <c r="G64" s="31"/>
      <c r="H64" s="31"/>
      <c r="I64" s="31"/>
      <c r="J64" s="31"/>
      <c r="K64" s="31"/>
      <c r="L64" s="32" t="s">
        <v>88</v>
      </c>
      <c r="M64" s="33" t="str">
        <f>+'Metrado Estructuras'!#REF!</f>
        <v>#ERROR!</v>
      </c>
      <c r="N64" s="1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34" t="s">
        <v>121</v>
      </c>
      <c r="C65" s="35" t="s">
        <v>122</v>
      </c>
      <c r="D65" s="31"/>
      <c r="E65" s="31"/>
      <c r="F65" s="31"/>
      <c r="G65" s="31"/>
      <c r="H65" s="31"/>
      <c r="I65" s="31"/>
      <c r="J65" s="31"/>
      <c r="K65" s="31"/>
      <c r="L65" s="32" t="s">
        <v>25</v>
      </c>
      <c r="M65" s="33" t="str">
        <f>+'Metrado Estructuras'!#REF!</f>
        <v>#ERROR!</v>
      </c>
      <c r="N65" s="1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29" t="s">
        <v>123</v>
      </c>
      <c r="C66" s="30" t="s">
        <v>124</v>
      </c>
      <c r="D66" s="36"/>
      <c r="E66" s="36"/>
      <c r="F66" s="36"/>
      <c r="G66" s="36"/>
      <c r="H66" s="36"/>
      <c r="I66" s="36"/>
      <c r="J66" s="36"/>
      <c r="K66" s="36"/>
      <c r="L66" s="32"/>
      <c r="M66" s="33"/>
      <c r="N66" s="1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34" t="s">
        <v>125</v>
      </c>
      <c r="C67" s="35" t="s">
        <v>126</v>
      </c>
      <c r="D67" s="31"/>
      <c r="E67" s="31"/>
      <c r="F67" s="31"/>
      <c r="G67" s="31"/>
      <c r="H67" s="31"/>
      <c r="I67" s="31"/>
      <c r="J67" s="31"/>
      <c r="K67" s="31"/>
      <c r="L67" s="32" t="s">
        <v>57</v>
      </c>
      <c r="M67" s="33" t="str">
        <f>+'Metrado Estructuras'!#REF!</f>
        <v>#ERROR!</v>
      </c>
      <c r="N67" s="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34" t="s">
        <v>127</v>
      </c>
      <c r="C68" s="35" t="s">
        <v>128</v>
      </c>
      <c r="D68" s="36"/>
      <c r="E68" s="36"/>
      <c r="F68" s="36"/>
      <c r="G68" s="36"/>
      <c r="H68" s="36"/>
      <c r="I68" s="36"/>
      <c r="J68" s="36"/>
      <c r="K68" s="36"/>
      <c r="L68" s="32" t="s">
        <v>25</v>
      </c>
      <c r="M68" s="33" t="str">
        <f>+'Metrado Estructuras'!#REF!</f>
        <v>#ERROR!</v>
      </c>
      <c r="N68" s="1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34" t="s">
        <v>129</v>
      </c>
      <c r="C69" s="35" t="s">
        <v>130</v>
      </c>
      <c r="D69" s="31"/>
      <c r="E69" s="31"/>
      <c r="F69" s="31"/>
      <c r="G69" s="31"/>
      <c r="H69" s="31"/>
      <c r="I69" s="31"/>
      <c r="J69" s="31"/>
      <c r="K69" s="31"/>
      <c r="L69" s="32" t="s">
        <v>88</v>
      </c>
      <c r="M69" s="33" t="str">
        <f>+'Metrado Estructuras'!#REF!</f>
        <v>#ERROR!</v>
      </c>
      <c r="N69" s="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29" t="s">
        <v>131</v>
      </c>
      <c r="C70" s="30" t="s">
        <v>132</v>
      </c>
      <c r="D70" s="36"/>
      <c r="E70" s="36"/>
      <c r="F70" s="36"/>
      <c r="G70" s="36"/>
      <c r="H70" s="36"/>
      <c r="I70" s="36"/>
      <c r="J70" s="36"/>
      <c r="K70" s="36"/>
      <c r="L70" s="32"/>
      <c r="M70" s="33"/>
      <c r="N70" s="1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34" t="s">
        <v>133</v>
      </c>
      <c r="C71" s="35" t="s">
        <v>134</v>
      </c>
      <c r="D71" s="31"/>
      <c r="E71" s="31"/>
      <c r="F71" s="31"/>
      <c r="G71" s="31"/>
      <c r="H71" s="31"/>
      <c r="I71" s="31"/>
      <c r="J71" s="31"/>
      <c r="K71" s="31"/>
      <c r="L71" s="32" t="s">
        <v>57</v>
      </c>
      <c r="M71" s="33" t="str">
        <f>+'Metrado Estructuras'!#REF!</f>
        <v>#ERROR!</v>
      </c>
      <c r="N71" s="1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34" t="s">
        <v>135</v>
      </c>
      <c r="C72" s="35" t="s">
        <v>136</v>
      </c>
      <c r="D72" s="36"/>
      <c r="E72" s="36"/>
      <c r="F72" s="36"/>
      <c r="G72" s="36"/>
      <c r="H72" s="36"/>
      <c r="I72" s="36"/>
      <c r="J72" s="36"/>
      <c r="K72" s="36"/>
      <c r="L72" s="32" t="s">
        <v>25</v>
      </c>
      <c r="M72" s="33" t="str">
        <f>+'Metrado Estructuras'!#REF!</f>
        <v>#ERROR!</v>
      </c>
      <c r="N72" s="1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34" t="s">
        <v>137</v>
      </c>
      <c r="C73" s="35" t="s">
        <v>138</v>
      </c>
      <c r="D73" s="31"/>
      <c r="E73" s="31"/>
      <c r="F73" s="31"/>
      <c r="G73" s="31"/>
      <c r="H73" s="31"/>
      <c r="I73" s="31"/>
      <c r="J73" s="31"/>
      <c r="K73" s="31"/>
      <c r="L73" s="32" t="s">
        <v>88</v>
      </c>
      <c r="M73" s="33" t="str">
        <f>+'Metrado Estructuras'!#REF!</f>
        <v>#ERROR!</v>
      </c>
      <c r="N73" s="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hidden="1" customHeight="1">
      <c r="A74" s="1"/>
      <c r="B74" s="29" t="s">
        <v>89</v>
      </c>
      <c r="C74" s="30" t="s">
        <v>139</v>
      </c>
      <c r="D74" s="36"/>
      <c r="E74" s="36"/>
      <c r="F74" s="36"/>
      <c r="G74" s="36"/>
      <c r="H74" s="36"/>
      <c r="I74" s="36"/>
      <c r="J74" s="36"/>
      <c r="K74" s="36"/>
      <c r="L74" s="32"/>
      <c r="M74" s="33"/>
      <c r="N74" s="1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hidden="1" customHeight="1">
      <c r="A75" s="1"/>
      <c r="B75" s="34" t="s">
        <v>70</v>
      </c>
      <c r="C75" s="35" t="s">
        <v>140</v>
      </c>
      <c r="D75" s="31"/>
      <c r="E75" s="31"/>
      <c r="F75" s="31"/>
      <c r="G75" s="31"/>
      <c r="H75" s="31"/>
      <c r="I75" s="31"/>
      <c r="J75" s="31"/>
      <c r="K75" s="31"/>
      <c r="L75" s="32" t="s">
        <v>57</v>
      </c>
      <c r="M75" s="33" t="str">
        <f>+'Metrado Estructuras'!#REF!</f>
        <v>#ERROR!</v>
      </c>
      <c r="N75" s="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hidden="1" customHeight="1">
      <c r="A76" s="1"/>
      <c r="B76" s="29" t="s">
        <v>89</v>
      </c>
      <c r="C76" s="30" t="s">
        <v>141</v>
      </c>
      <c r="D76" s="36"/>
      <c r="E76" s="36"/>
      <c r="F76" s="36"/>
      <c r="G76" s="36"/>
      <c r="H76" s="36"/>
      <c r="I76" s="36"/>
      <c r="J76" s="36"/>
      <c r="K76" s="36"/>
      <c r="L76" s="32"/>
      <c r="M76" s="33"/>
      <c r="N76" s="1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hidden="1" customHeight="1">
      <c r="A77" s="1"/>
      <c r="B77" s="34" t="s">
        <v>95</v>
      </c>
      <c r="C77" s="35" t="s">
        <v>142</v>
      </c>
      <c r="D77" s="31"/>
      <c r="E77" s="31"/>
      <c r="F77" s="31"/>
      <c r="G77" s="31"/>
      <c r="H77" s="31"/>
      <c r="I77" s="31"/>
      <c r="J77" s="31"/>
      <c r="K77" s="31"/>
      <c r="L77" s="32" t="s">
        <v>57</v>
      </c>
      <c r="M77" s="33" t="str">
        <f>+'Metrado Estructuras'!#REF!</f>
        <v>#ERROR!</v>
      </c>
      <c r="N77" s="1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hidden="1" customHeight="1">
      <c r="A78" s="1"/>
      <c r="B78" s="34" t="s">
        <v>91</v>
      </c>
      <c r="C78" s="35" t="s">
        <v>143</v>
      </c>
      <c r="D78" s="36"/>
      <c r="E78" s="36"/>
      <c r="F78" s="36"/>
      <c r="G78" s="36"/>
      <c r="H78" s="36"/>
      <c r="I78" s="36"/>
      <c r="J78" s="36"/>
      <c r="K78" s="36"/>
      <c r="L78" s="32" t="s">
        <v>25</v>
      </c>
      <c r="M78" s="33" t="str">
        <f>+'Metrado Estructuras'!#REF!</f>
        <v>#ERROR!</v>
      </c>
      <c r="N78" s="1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hidden="1" customHeight="1">
      <c r="A79" s="1"/>
      <c r="B79" s="34" t="s">
        <v>93</v>
      </c>
      <c r="C79" s="35" t="s">
        <v>144</v>
      </c>
      <c r="D79" s="31"/>
      <c r="E79" s="31"/>
      <c r="F79" s="31"/>
      <c r="G79" s="31"/>
      <c r="H79" s="31"/>
      <c r="I79" s="31"/>
      <c r="J79" s="31"/>
      <c r="K79" s="31"/>
      <c r="L79" s="32" t="s">
        <v>88</v>
      </c>
      <c r="M79" s="33" t="str">
        <f>+'Metrado Estructuras'!#REF!</f>
        <v>#ERROR!</v>
      </c>
      <c r="N79" s="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hidden="1" customHeight="1">
      <c r="A80" s="1"/>
      <c r="B80" s="29" t="s">
        <v>145</v>
      </c>
      <c r="C80" s="30" t="s">
        <v>146</v>
      </c>
      <c r="D80" s="31"/>
      <c r="E80" s="31"/>
      <c r="F80" s="31"/>
      <c r="G80" s="31"/>
      <c r="H80" s="31"/>
      <c r="I80" s="31"/>
      <c r="J80" s="31"/>
      <c r="K80" s="31"/>
      <c r="L80" s="32"/>
      <c r="M80" s="33"/>
      <c r="N80" s="1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hidden="1" customHeight="1">
      <c r="A81" s="1"/>
      <c r="B81" s="29" t="s">
        <v>147</v>
      </c>
      <c r="C81" s="30" t="s">
        <v>98</v>
      </c>
      <c r="D81" s="36"/>
      <c r="E81" s="36"/>
      <c r="F81" s="36"/>
      <c r="G81" s="36"/>
      <c r="H81" s="36"/>
      <c r="I81" s="36"/>
      <c r="J81" s="36"/>
      <c r="K81" s="36"/>
      <c r="L81" s="32"/>
      <c r="M81" s="33"/>
      <c r="N81" s="1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hidden="1" customHeight="1">
      <c r="A82" s="1"/>
      <c r="B82" s="34" t="s">
        <v>148</v>
      </c>
      <c r="C82" s="35" t="s">
        <v>149</v>
      </c>
      <c r="D82" s="31"/>
      <c r="E82" s="31"/>
      <c r="F82" s="31"/>
      <c r="G82" s="31"/>
      <c r="H82" s="31"/>
      <c r="I82" s="31"/>
      <c r="J82" s="31"/>
      <c r="K82" s="31"/>
      <c r="L82" s="32" t="s">
        <v>28</v>
      </c>
      <c r="M82" s="33" t="str">
        <f>+'Metrado Estructuras'!#REF!</f>
        <v>#ERROR!</v>
      </c>
      <c r="N82" s="1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hidden="1" customHeight="1">
      <c r="A83" s="1"/>
      <c r="B83" s="34" t="s">
        <v>150</v>
      </c>
      <c r="C83" s="35" t="s">
        <v>151</v>
      </c>
      <c r="D83" s="31"/>
      <c r="E83" s="31"/>
      <c r="F83" s="31"/>
      <c r="G83" s="31"/>
      <c r="H83" s="31"/>
      <c r="I83" s="31"/>
      <c r="J83" s="31"/>
      <c r="K83" s="31"/>
      <c r="L83" s="32" t="s">
        <v>28</v>
      </c>
      <c r="M83" s="33" t="str">
        <f>+'Metrado Estructuras'!#REF!</f>
        <v>#ERROR!</v>
      </c>
      <c r="N83" s="1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hidden="1" customHeight="1">
      <c r="A84" s="1"/>
      <c r="B84" s="29" t="s">
        <v>147</v>
      </c>
      <c r="C84" s="30" t="s">
        <v>106</v>
      </c>
      <c r="D84" s="36"/>
      <c r="E84" s="36"/>
      <c r="F84" s="36"/>
      <c r="G84" s="36"/>
      <c r="H84" s="36"/>
      <c r="I84" s="36"/>
      <c r="J84" s="36"/>
      <c r="K84" s="36"/>
      <c r="L84" s="32"/>
      <c r="M84" s="33"/>
      <c r="N84" s="1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hidden="1" customHeight="1">
      <c r="A85" s="1"/>
      <c r="B85" s="34" t="s">
        <v>148</v>
      </c>
      <c r="C85" s="35" t="s">
        <v>152</v>
      </c>
      <c r="D85" s="31"/>
      <c r="E85" s="31"/>
      <c r="F85" s="31"/>
      <c r="G85" s="31"/>
      <c r="H85" s="31"/>
      <c r="I85" s="31"/>
      <c r="J85" s="31"/>
      <c r="K85" s="31"/>
      <c r="L85" s="32" t="s">
        <v>28</v>
      </c>
      <c r="M85" s="33" t="str">
        <f>+'Metrado Estructuras'!#REF!</f>
        <v>#ERROR!</v>
      </c>
      <c r="N85" s="1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hidden="1" customHeight="1">
      <c r="A86" s="1"/>
      <c r="B86" s="34" t="s">
        <v>150</v>
      </c>
      <c r="C86" s="35" t="s">
        <v>153</v>
      </c>
      <c r="D86" s="31"/>
      <c r="E86" s="31"/>
      <c r="F86" s="31"/>
      <c r="G86" s="31"/>
      <c r="H86" s="31"/>
      <c r="I86" s="31"/>
      <c r="J86" s="31"/>
      <c r="K86" s="31"/>
      <c r="L86" s="32" t="s">
        <v>28</v>
      </c>
      <c r="M86" s="33" t="str">
        <f>+'Metrado Estructuras'!#REF!</f>
        <v>#ERROR!</v>
      </c>
      <c r="N86" s="1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hidden="1" customHeight="1">
      <c r="A87" s="1"/>
      <c r="B87" s="34" t="s">
        <v>150</v>
      </c>
      <c r="C87" s="35" t="s">
        <v>154</v>
      </c>
      <c r="D87" s="31"/>
      <c r="E87" s="31"/>
      <c r="F87" s="31"/>
      <c r="G87" s="31"/>
      <c r="H87" s="31"/>
      <c r="I87" s="31"/>
      <c r="J87" s="31"/>
      <c r="K87" s="31"/>
      <c r="L87" s="32" t="s">
        <v>28</v>
      </c>
      <c r="M87" s="33" t="str">
        <f>+'Metrado Estructuras'!#REF!</f>
        <v>#ERROR!</v>
      </c>
      <c r="N87" s="1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hidden="1" customHeight="1">
      <c r="A88" s="1"/>
      <c r="B88" s="34" t="s">
        <v>150</v>
      </c>
      <c r="C88" s="35" t="s">
        <v>155</v>
      </c>
      <c r="D88" s="31"/>
      <c r="E88" s="31"/>
      <c r="F88" s="31"/>
      <c r="G88" s="31"/>
      <c r="H88" s="31"/>
      <c r="I88" s="31"/>
      <c r="J88" s="31"/>
      <c r="K88" s="31"/>
      <c r="L88" s="32" t="s">
        <v>25</v>
      </c>
      <c r="M88" s="33" t="str">
        <f>+'Metrado Estructuras'!#REF!</f>
        <v>#ERROR!</v>
      </c>
      <c r="N88" s="1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hidden="1" customHeight="1">
      <c r="A89" s="1"/>
      <c r="B89" s="37"/>
      <c r="C89" s="38"/>
      <c r="D89" s="39"/>
      <c r="E89" s="39"/>
      <c r="F89" s="39"/>
      <c r="G89" s="39"/>
      <c r="H89" s="39"/>
      <c r="I89" s="39"/>
      <c r="J89" s="39"/>
      <c r="K89" s="39"/>
      <c r="L89" s="40"/>
      <c r="M89" s="41"/>
      <c r="N89" s="1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42"/>
      <c r="M90" s="42"/>
      <c r="N90" s="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43"/>
      <c r="M91" s="4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43"/>
      <c r="M92" s="4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43"/>
      <c r="M93" s="4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43"/>
      <c r="M94" s="4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43"/>
      <c r="M95" s="4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43"/>
      <c r="M96" s="4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43"/>
      <c r="M97" s="4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43"/>
      <c r="M98" s="4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43"/>
      <c r="M99" s="4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3"/>
      <c r="M100" s="4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3"/>
      <c r="M101" s="4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3"/>
      <c r="M102" s="4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3"/>
      <c r="M103" s="4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3"/>
      <c r="M104" s="4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3"/>
      <c r="M105" s="4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3"/>
      <c r="M106" s="4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3"/>
      <c r="M107" s="4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3"/>
      <c r="M108" s="4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3"/>
      <c r="M109" s="4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3"/>
      <c r="M110" s="4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3"/>
      <c r="M111" s="4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3"/>
      <c r="M112" s="4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3"/>
      <c r="M113" s="4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3"/>
      <c r="M114" s="4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3"/>
      <c r="M115" s="4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3"/>
      <c r="M116" s="4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3"/>
      <c r="M117" s="4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3"/>
      <c r="M118" s="4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3"/>
      <c r="M119" s="4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3"/>
      <c r="M120" s="4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3"/>
      <c r="M121" s="4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3"/>
      <c r="M122" s="4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3"/>
      <c r="M123" s="4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3"/>
      <c r="M124" s="4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3"/>
      <c r="M125" s="4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3"/>
      <c r="M126" s="4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3"/>
      <c r="M127" s="4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3"/>
      <c r="M128" s="4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3"/>
      <c r="M129" s="4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3"/>
      <c r="M130" s="4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3"/>
      <c r="M131" s="4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3"/>
      <c r="M132" s="4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3"/>
      <c r="M133" s="4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3"/>
      <c r="M134" s="4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3"/>
      <c r="M135" s="4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3"/>
      <c r="M136" s="4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3"/>
      <c r="M137" s="4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3"/>
      <c r="M138" s="4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3"/>
      <c r="M139" s="4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3"/>
      <c r="M140" s="4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3"/>
      <c r="M141" s="4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3"/>
      <c r="M142" s="4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3"/>
      <c r="M143" s="4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3"/>
      <c r="M144" s="4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3"/>
      <c r="M145" s="4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3"/>
      <c r="M146" s="4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3"/>
      <c r="M147" s="4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3"/>
      <c r="M148" s="4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3"/>
      <c r="M149" s="4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3"/>
      <c r="M150" s="4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3"/>
      <c r="M151" s="4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3"/>
      <c r="M152" s="4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3"/>
      <c r="M153" s="4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3"/>
      <c r="M154" s="4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3"/>
      <c r="M155" s="4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3"/>
      <c r="M156" s="4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3"/>
      <c r="M157" s="4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3"/>
      <c r="M158" s="4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3"/>
      <c r="M159" s="4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3"/>
      <c r="M160" s="4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3"/>
      <c r="M161" s="4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3"/>
      <c r="M162" s="4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3"/>
      <c r="M163" s="4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3"/>
      <c r="M164" s="4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3"/>
      <c r="M165" s="4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3"/>
      <c r="M166" s="4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3"/>
      <c r="M167" s="4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3"/>
      <c r="M168" s="4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3"/>
      <c r="M169" s="4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3"/>
      <c r="M170" s="4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3"/>
      <c r="M171" s="4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3"/>
      <c r="M172" s="4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3"/>
      <c r="M173" s="4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3"/>
      <c r="M174" s="4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3"/>
      <c r="M175" s="4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3"/>
      <c r="M176" s="4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3"/>
      <c r="M177" s="4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3"/>
      <c r="M178" s="4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3"/>
      <c r="M179" s="4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3"/>
      <c r="M180" s="4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3"/>
      <c r="M181" s="4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3"/>
      <c r="M182" s="4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3"/>
      <c r="M183" s="4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3"/>
      <c r="M184" s="4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3"/>
      <c r="M185" s="4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3"/>
      <c r="M186" s="4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3"/>
      <c r="M187" s="4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3"/>
      <c r="M188" s="4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3"/>
      <c r="M189" s="4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3"/>
      <c r="M190" s="4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3"/>
      <c r="M191" s="4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3"/>
      <c r="M192" s="4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3"/>
      <c r="M193" s="4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3"/>
      <c r="M194" s="4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3"/>
      <c r="M195" s="4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3"/>
      <c r="M196" s="4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3"/>
      <c r="M197" s="4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3"/>
      <c r="M198" s="4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3"/>
      <c r="M199" s="4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3"/>
      <c r="M200" s="4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3"/>
      <c r="M201" s="4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3"/>
      <c r="M202" s="4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3"/>
      <c r="M203" s="4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3"/>
      <c r="M204" s="4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3"/>
      <c r="M205" s="4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3"/>
      <c r="M206" s="4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3"/>
      <c r="M207" s="4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3"/>
      <c r="M208" s="4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3"/>
      <c r="M209" s="4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3"/>
      <c r="M210" s="4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3"/>
      <c r="M211" s="4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3"/>
      <c r="M212" s="4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3"/>
      <c r="M213" s="4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3"/>
      <c r="M214" s="4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3"/>
      <c r="M215" s="4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3"/>
      <c r="M216" s="4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3"/>
      <c r="M217" s="4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3"/>
      <c r="M218" s="4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3"/>
      <c r="M219" s="4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3"/>
      <c r="M220" s="4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3"/>
      <c r="M221" s="4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3"/>
      <c r="M222" s="4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3"/>
      <c r="M223" s="4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3"/>
      <c r="M224" s="4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3"/>
      <c r="M225" s="4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3"/>
      <c r="M226" s="4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3"/>
      <c r="M227" s="4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3"/>
      <c r="M228" s="4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3"/>
      <c r="M229" s="4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3"/>
      <c r="M230" s="4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3"/>
      <c r="M231" s="4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3"/>
      <c r="M232" s="4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3"/>
      <c r="M233" s="4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3"/>
      <c r="M234" s="4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3"/>
      <c r="M235" s="4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3"/>
      <c r="M236" s="4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3"/>
      <c r="M237" s="4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3"/>
      <c r="M238" s="4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3"/>
      <c r="M239" s="4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3"/>
      <c r="M240" s="4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3"/>
      <c r="M241" s="4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3"/>
      <c r="M242" s="4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3"/>
      <c r="M243" s="4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3"/>
      <c r="M244" s="4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3"/>
      <c r="M245" s="4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3"/>
      <c r="M246" s="4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3"/>
      <c r="M247" s="4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3"/>
      <c r="M248" s="4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3"/>
      <c r="M249" s="4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3"/>
      <c r="M250" s="4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3"/>
      <c r="M251" s="4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3"/>
      <c r="M252" s="4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3"/>
      <c r="M253" s="4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3"/>
      <c r="M254" s="4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3"/>
      <c r="M255" s="4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3"/>
      <c r="M256" s="4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3"/>
      <c r="M257" s="4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3"/>
      <c r="M258" s="4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3"/>
      <c r="M259" s="4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3"/>
      <c r="M260" s="4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3"/>
      <c r="M261" s="4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3"/>
      <c r="M262" s="4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3"/>
      <c r="M263" s="4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3"/>
      <c r="M264" s="4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3"/>
      <c r="M265" s="4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3"/>
      <c r="M266" s="4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3"/>
      <c r="M267" s="4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3"/>
      <c r="M268" s="4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3"/>
      <c r="M269" s="4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3"/>
      <c r="M270" s="4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3"/>
      <c r="M271" s="4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3"/>
      <c r="M272" s="4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3"/>
      <c r="M273" s="4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3"/>
      <c r="M274" s="4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3"/>
      <c r="M275" s="4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3"/>
      <c r="M276" s="4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3"/>
      <c r="M277" s="4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3"/>
      <c r="M278" s="4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3"/>
      <c r="M279" s="4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3"/>
      <c r="M280" s="4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3"/>
      <c r="M281" s="4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3"/>
      <c r="M282" s="4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3"/>
      <c r="M283" s="4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3"/>
      <c r="M284" s="4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3"/>
      <c r="M285" s="4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3"/>
      <c r="M286" s="4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3"/>
      <c r="M287" s="4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3"/>
      <c r="M288" s="4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3"/>
      <c r="M289" s="4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3"/>
      <c r="M290" s="4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3"/>
      <c r="M291" s="4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3"/>
      <c r="M292" s="4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3"/>
      <c r="M293" s="4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3"/>
      <c r="M294" s="4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3"/>
      <c r="M295" s="4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3"/>
      <c r="M296" s="4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3"/>
      <c r="M297" s="4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3"/>
      <c r="M298" s="4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3"/>
      <c r="M299" s="4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3"/>
      <c r="M300" s="4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3"/>
      <c r="M301" s="4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3"/>
      <c r="M302" s="4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3"/>
      <c r="M303" s="4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3"/>
      <c r="M304" s="4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3"/>
      <c r="M305" s="4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3"/>
      <c r="M306" s="4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3"/>
      <c r="M307" s="4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3"/>
      <c r="M308" s="4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3"/>
      <c r="M309" s="4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3"/>
      <c r="M310" s="4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3"/>
      <c r="M311" s="4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3"/>
      <c r="M312" s="4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3"/>
      <c r="M313" s="4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3"/>
      <c r="M314" s="4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3"/>
      <c r="M315" s="4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3"/>
      <c r="M316" s="4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3"/>
      <c r="M317" s="4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3"/>
      <c r="M318" s="4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3"/>
      <c r="M319" s="4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3"/>
      <c r="M320" s="4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3"/>
      <c r="M321" s="4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3"/>
      <c r="M322" s="4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3"/>
      <c r="M323" s="4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3"/>
      <c r="M324" s="4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3"/>
      <c r="M325" s="4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3"/>
      <c r="M326" s="4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3"/>
      <c r="M327" s="4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3"/>
      <c r="M328" s="4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3"/>
      <c r="M329" s="4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3"/>
      <c r="M330" s="4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3"/>
      <c r="M331" s="4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3"/>
      <c r="M332" s="4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3"/>
      <c r="M333" s="4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3"/>
      <c r="M334" s="4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3"/>
      <c r="M335" s="4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3"/>
      <c r="M336" s="4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3"/>
      <c r="M337" s="4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3"/>
      <c r="M338" s="4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3"/>
      <c r="M339" s="4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3"/>
      <c r="M340" s="4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3"/>
      <c r="M341" s="4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3"/>
      <c r="M342" s="4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3"/>
      <c r="M343" s="4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3"/>
      <c r="M344" s="4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3"/>
      <c r="M345" s="4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3"/>
      <c r="M346" s="4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3"/>
      <c r="M347" s="4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3"/>
      <c r="M348" s="4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3"/>
      <c r="M349" s="4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3"/>
      <c r="M350" s="4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3"/>
      <c r="M351" s="4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3"/>
      <c r="M352" s="4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3"/>
      <c r="M353" s="4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3"/>
      <c r="M354" s="4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3"/>
      <c r="M355" s="4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3"/>
      <c r="M356" s="4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3"/>
      <c r="M357" s="4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3"/>
      <c r="M358" s="4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3"/>
      <c r="M359" s="4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3"/>
      <c r="M360" s="4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3"/>
      <c r="M361" s="4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3"/>
      <c r="M362" s="4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3"/>
      <c r="M363" s="4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3"/>
      <c r="M364" s="4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3"/>
      <c r="M365" s="4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3"/>
      <c r="M366" s="4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3"/>
      <c r="M367" s="4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3"/>
      <c r="M368" s="4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3"/>
      <c r="M369" s="4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3"/>
      <c r="M370" s="4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3"/>
      <c r="M371" s="4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3"/>
      <c r="M372" s="4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3"/>
      <c r="M373" s="4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3"/>
      <c r="M374" s="4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3"/>
      <c r="M375" s="4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3"/>
      <c r="M376" s="4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3"/>
      <c r="M377" s="4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3"/>
      <c r="M378" s="4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3"/>
      <c r="M379" s="4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3"/>
      <c r="M380" s="4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3"/>
      <c r="M381" s="4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3"/>
      <c r="M382" s="4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3"/>
      <c r="M383" s="4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3"/>
      <c r="M384" s="4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3"/>
      <c r="M385" s="4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3"/>
      <c r="M386" s="4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3"/>
      <c r="M387" s="4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3"/>
      <c r="M388" s="4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3"/>
      <c r="M389" s="4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3"/>
      <c r="M390" s="4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43"/>
      <c r="M391" s="4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3"/>
      <c r="M392" s="4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43"/>
      <c r="M393" s="4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3"/>
      <c r="M394" s="4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43"/>
      <c r="M395" s="4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3"/>
      <c r="M396" s="4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43"/>
      <c r="M397" s="4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3"/>
      <c r="M398" s="4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43"/>
      <c r="M399" s="4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3"/>
      <c r="M400" s="4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43"/>
      <c r="M401" s="4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3"/>
      <c r="M402" s="4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43"/>
      <c r="M403" s="4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3"/>
      <c r="M404" s="4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43"/>
      <c r="M405" s="4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3"/>
      <c r="M406" s="4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43"/>
      <c r="M407" s="4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3"/>
      <c r="M408" s="4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43"/>
      <c r="M409" s="4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3"/>
      <c r="M410" s="4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43"/>
      <c r="M411" s="4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3"/>
      <c r="M412" s="4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43"/>
      <c r="M413" s="4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3"/>
      <c r="M414" s="4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43"/>
      <c r="M415" s="4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3"/>
      <c r="M416" s="4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43"/>
      <c r="M417" s="4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3"/>
      <c r="M418" s="4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43"/>
      <c r="M419" s="4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3"/>
      <c r="M420" s="4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43"/>
      <c r="M421" s="4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3"/>
      <c r="M422" s="4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43"/>
      <c r="M423" s="4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3"/>
      <c r="M424" s="4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43"/>
      <c r="M425" s="4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3"/>
      <c r="M426" s="4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43"/>
      <c r="M427" s="4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3"/>
      <c r="M428" s="4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43"/>
      <c r="M429" s="4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3"/>
      <c r="M430" s="4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43"/>
      <c r="M431" s="4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3"/>
      <c r="M432" s="4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43"/>
      <c r="M433" s="4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3"/>
      <c r="M434" s="4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43"/>
      <c r="M435" s="4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3"/>
      <c r="M436" s="4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43"/>
      <c r="M437" s="4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3"/>
      <c r="M438" s="4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43"/>
      <c r="M439" s="4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3"/>
      <c r="M440" s="4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43"/>
      <c r="M441" s="4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3"/>
      <c r="M442" s="4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43"/>
      <c r="M443" s="4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3"/>
      <c r="M444" s="4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43"/>
      <c r="M445" s="4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3"/>
      <c r="M446" s="4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43"/>
      <c r="M447" s="4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3"/>
      <c r="M448" s="4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43"/>
      <c r="M449" s="4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3"/>
      <c r="M450" s="4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43"/>
      <c r="M451" s="4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3"/>
      <c r="M452" s="4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43"/>
      <c r="M453" s="4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3"/>
      <c r="M454" s="4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43"/>
      <c r="M455" s="4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3"/>
      <c r="M456" s="4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43"/>
      <c r="M457" s="4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3"/>
      <c r="M458" s="4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43"/>
      <c r="M459" s="4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3"/>
      <c r="M460" s="4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43"/>
      <c r="M461" s="4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3"/>
      <c r="M462" s="4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43"/>
      <c r="M463" s="4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3"/>
      <c r="M464" s="4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43"/>
      <c r="M465" s="4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3"/>
      <c r="M466" s="4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43"/>
      <c r="M467" s="4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3"/>
      <c r="M468" s="4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43"/>
      <c r="M469" s="4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3"/>
      <c r="M470" s="4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43"/>
      <c r="M471" s="4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3"/>
      <c r="M472" s="4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43"/>
      <c r="M473" s="4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3"/>
      <c r="M474" s="4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43"/>
      <c r="M475" s="4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3"/>
      <c r="M476" s="4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43"/>
      <c r="M477" s="4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3"/>
      <c r="M478" s="4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43"/>
      <c r="M479" s="4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3"/>
      <c r="M480" s="4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43"/>
      <c r="M481" s="4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3"/>
      <c r="M482" s="4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43"/>
      <c r="M483" s="4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3"/>
      <c r="M484" s="4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43"/>
      <c r="M485" s="4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3"/>
      <c r="M486" s="4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43"/>
      <c r="M487" s="4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3"/>
      <c r="M488" s="4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43"/>
      <c r="M489" s="4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3"/>
      <c r="M490" s="4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43"/>
      <c r="M491" s="4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3"/>
      <c r="M492" s="4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43"/>
      <c r="M493" s="4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3"/>
      <c r="M494" s="4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43"/>
      <c r="M495" s="4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3"/>
      <c r="M496" s="4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43"/>
      <c r="M497" s="4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3"/>
      <c r="M498" s="4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43"/>
      <c r="M499" s="4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3"/>
      <c r="M500" s="4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43"/>
      <c r="M501" s="4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43"/>
      <c r="M502" s="4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43"/>
      <c r="M503" s="4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43"/>
      <c r="M504" s="4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43"/>
      <c r="M505" s="4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43"/>
      <c r="M506" s="4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43"/>
      <c r="M507" s="4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43"/>
      <c r="M508" s="4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43"/>
      <c r="M509" s="4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43"/>
      <c r="M510" s="4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43"/>
      <c r="M511" s="4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43"/>
      <c r="M512" s="4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43"/>
      <c r="M513" s="4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43"/>
      <c r="M514" s="4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43"/>
      <c r="M515" s="4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43"/>
      <c r="M516" s="4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43"/>
      <c r="M517" s="4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43"/>
      <c r="M518" s="4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43"/>
      <c r="M519" s="4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43"/>
      <c r="M520" s="4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43"/>
      <c r="M521" s="4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43"/>
      <c r="M522" s="4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43"/>
      <c r="M523" s="4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43"/>
      <c r="M524" s="4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43"/>
      <c r="M525" s="4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43"/>
      <c r="M526" s="4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43"/>
      <c r="M527" s="4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43"/>
      <c r="M528" s="4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43"/>
      <c r="M529" s="4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43"/>
      <c r="M530" s="4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43"/>
      <c r="M531" s="4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43"/>
      <c r="M532" s="4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43"/>
      <c r="M533" s="4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43"/>
      <c r="M534" s="4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43"/>
      <c r="M535" s="4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43"/>
      <c r="M536" s="4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43"/>
      <c r="M537" s="4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43"/>
      <c r="M538" s="4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43"/>
      <c r="M539" s="4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43"/>
      <c r="M540" s="4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43"/>
      <c r="M541" s="4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43"/>
      <c r="M542" s="4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43"/>
      <c r="M543" s="4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43"/>
      <c r="M544" s="4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43"/>
      <c r="M545" s="4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43"/>
      <c r="M546" s="4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43"/>
      <c r="M547" s="4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43"/>
      <c r="M548" s="4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43"/>
      <c r="M549" s="4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43"/>
      <c r="M550" s="4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43"/>
      <c r="M551" s="4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43"/>
      <c r="M552" s="4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43"/>
      <c r="M553" s="4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43"/>
      <c r="M554" s="4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43"/>
      <c r="M555" s="4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43"/>
      <c r="M556" s="4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43"/>
      <c r="M557" s="4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43"/>
      <c r="M558" s="4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43"/>
      <c r="M559" s="4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43"/>
      <c r="M560" s="4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43"/>
      <c r="M561" s="4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43"/>
      <c r="M562" s="4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43"/>
      <c r="M563" s="4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43"/>
      <c r="M564" s="4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43"/>
      <c r="M565" s="4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43"/>
      <c r="M566" s="4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43"/>
      <c r="M567" s="4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43"/>
      <c r="M568" s="4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43"/>
      <c r="M569" s="4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43"/>
      <c r="M570" s="4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43"/>
      <c r="M571" s="4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43"/>
      <c r="M572" s="4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43"/>
      <c r="M573" s="4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43"/>
      <c r="M574" s="4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43"/>
      <c r="M575" s="4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43"/>
      <c r="M576" s="4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43"/>
      <c r="M577" s="4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43"/>
      <c r="M578" s="4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43"/>
      <c r="M579" s="4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43"/>
      <c r="M580" s="4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43"/>
      <c r="M581" s="4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43"/>
      <c r="M582" s="4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43"/>
      <c r="M583" s="4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43"/>
      <c r="M584" s="4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43"/>
      <c r="M585" s="4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43"/>
      <c r="M586" s="4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43"/>
      <c r="M587" s="4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43"/>
      <c r="M588" s="4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43"/>
      <c r="M589" s="4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43"/>
      <c r="M590" s="4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43"/>
      <c r="M591" s="4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43"/>
      <c r="M592" s="4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43"/>
      <c r="M593" s="4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43"/>
      <c r="M594" s="4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43"/>
      <c r="M595" s="4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43"/>
      <c r="M596" s="4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43"/>
      <c r="M597" s="4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43"/>
      <c r="M598" s="4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43"/>
      <c r="M599" s="4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43"/>
      <c r="M600" s="4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43"/>
      <c r="M601" s="4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43"/>
      <c r="M602" s="4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43"/>
      <c r="M603" s="4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43"/>
      <c r="M604" s="4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43"/>
      <c r="M605" s="4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43"/>
      <c r="M606" s="4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43"/>
      <c r="M607" s="4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43"/>
      <c r="M608" s="4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43"/>
      <c r="M609" s="4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43"/>
      <c r="M610" s="4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43"/>
      <c r="M611" s="4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43"/>
      <c r="M612" s="4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43"/>
      <c r="M613" s="4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43"/>
      <c r="M614" s="4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43"/>
      <c r="M615" s="4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43"/>
      <c r="M616" s="4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43"/>
      <c r="M617" s="4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43"/>
      <c r="M618" s="4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43"/>
      <c r="M619" s="4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43"/>
      <c r="M620" s="4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43"/>
      <c r="M621" s="4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43"/>
      <c r="M622" s="4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43"/>
      <c r="M623" s="4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43"/>
      <c r="M624" s="4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43"/>
      <c r="M625" s="4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43"/>
      <c r="M626" s="4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43"/>
      <c r="M627" s="4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43"/>
      <c r="M628" s="4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43"/>
      <c r="M629" s="4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43"/>
      <c r="M630" s="4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43"/>
      <c r="M631" s="4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43"/>
      <c r="M632" s="4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43"/>
      <c r="M633" s="4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43"/>
      <c r="M634" s="4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43"/>
      <c r="M635" s="4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43"/>
      <c r="M636" s="4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43"/>
      <c r="M637" s="4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43"/>
      <c r="M638" s="4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43"/>
      <c r="M639" s="4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43"/>
      <c r="M640" s="4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43"/>
      <c r="M641" s="4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43"/>
      <c r="M642" s="4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43"/>
      <c r="M643" s="4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43"/>
      <c r="M644" s="4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43"/>
      <c r="M645" s="4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43"/>
      <c r="M646" s="4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43"/>
      <c r="M647" s="4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43"/>
      <c r="M648" s="4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43"/>
      <c r="M649" s="4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43"/>
      <c r="M650" s="4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43"/>
      <c r="M651" s="4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43"/>
      <c r="M652" s="4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43"/>
      <c r="M653" s="4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43"/>
      <c r="M654" s="4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43"/>
      <c r="M655" s="4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43"/>
      <c r="M656" s="4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43"/>
      <c r="M657" s="4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43"/>
      <c r="M658" s="4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43"/>
      <c r="M659" s="4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43"/>
      <c r="M660" s="4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43"/>
      <c r="M661" s="4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43"/>
      <c r="M662" s="4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43"/>
      <c r="M663" s="4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43"/>
      <c r="M664" s="4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43"/>
      <c r="M665" s="4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43"/>
      <c r="M666" s="4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43"/>
      <c r="M667" s="4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43"/>
      <c r="M668" s="4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43"/>
      <c r="M669" s="4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43"/>
      <c r="M670" s="4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43"/>
      <c r="M671" s="4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43"/>
      <c r="M672" s="4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43"/>
      <c r="M673" s="4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43"/>
      <c r="M674" s="4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43"/>
      <c r="M675" s="4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43"/>
      <c r="M676" s="4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43"/>
      <c r="M677" s="4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43"/>
      <c r="M678" s="4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43"/>
      <c r="M679" s="4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43"/>
      <c r="M680" s="4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43"/>
      <c r="M681" s="4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43"/>
      <c r="M682" s="4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43"/>
      <c r="M683" s="4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43"/>
      <c r="M684" s="4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43"/>
      <c r="M685" s="4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43"/>
      <c r="M686" s="4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43"/>
      <c r="M687" s="4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43"/>
      <c r="M688" s="4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43"/>
      <c r="M689" s="4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43"/>
      <c r="M690" s="4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43"/>
      <c r="M691" s="4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43"/>
      <c r="M692" s="4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43"/>
      <c r="M693" s="4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43"/>
      <c r="M694" s="4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43"/>
      <c r="M695" s="4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43"/>
      <c r="M696" s="4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43"/>
      <c r="M697" s="4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43"/>
      <c r="M698" s="4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43"/>
      <c r="M699" s="4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43"/>
      <c r="M700" s="4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43"/>
      <c r="M701" s="4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43"/>
      <c r="M702" s="4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43"/>
      <c r="M703" s="4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43"/>
      <c r="M704" s="4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43"/>
      <c r="M705" s="4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43"/>
      <c r="M706" s="4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43"/>
      <c r="M707" s="4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43"/>
      <c r="M708" s="4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43"/>
      <c r="M709" s="4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43"/>
      <c r="M710" s="4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43"/>
      <c r="M711" s="4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43"/>
      <c r="M712" s="4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43"/>
      <c r="M713" s="4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43"/>
      <c r="M714" s="4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43"/>
      <c r="M715" s="4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43"/>
      <c r="M716" s="4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43"/>
      <c r="M717" s="4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43"/>
      <c r="M718" s="4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43"/>
      <c r="M719" s="4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43"/>
      <c r="M720" s="4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43"/>
      <c r="M721" s="4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43"/>
      <c r="M722" s="4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43"/>
      <c r="M723" s="4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43"/>
      <c r="M724" s="4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43"/>
      <c r="M725" s="4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43"/>
      <c r="M726" s="4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43"/>
      <c r="M727" s="4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43"/>
      <c r="M728" s="4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43"/>
      <c r="M729" s="4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43"/>
      <c r="M730" s="4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43"/>
      <c r="M731" s="4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43"/>
      <c r="M732" s="4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43"/>
      <c r="M733" s="4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43"/>
      <c r="M734" s="4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43"/>
      <c r="M735" s="4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43"/>
      <c r="M736" s="4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43"/>
      <c r="M737" s="4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43"/>
      <c r="M738" s="4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43"/>
      <c r="M739" s="4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43"/>
      <c r="M740" s="4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43"/>
      <c r="M741" s="4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43"/>
      <c r="M742" s="4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43"/>
      <c r="M743" s="4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43"/>
      <c r="M744" s="4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43"/>
      <c r="M745" s="4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43"/>
      <c r="M746" s="4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43"/>
      <c r="M747" s="4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43"/>
      <c r="M748" s="4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43"/>
      <c r="M749" s="4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43"/>
      <c r="M750" s="4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43"/>
      <c r="M751" s="4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43"/>
      <c r="M752" s="4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43"/>
      <c r="M753" s="4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43"/>
      <c r="M754" s="4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43"/>
      <c r="M755" s="4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43"/>
      <c r="M756" s="4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43"/>
      <c r="M757" s="4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43"/>
      <c r="M758" s="4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43"/>
      <c r="M759" s="4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43"/>
      <c r="M760" s="4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43"/>
      <c r="M761" s="4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43"/>
      <c r="M762" s="4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43"/>
      <c r="M763" s="4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43"/>
      <c r="M764" s="4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43"/>
      <c r="M765" s="4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43"/>
      <c r="M766" s="4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43"/>
      <c r="M767" s="4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43"/>
      <c r="M768" s="4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43"/>
      <c r="M769" s="4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43"/>
      <c r="M770" s="4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43"/>
      <c r="M771" s="4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43"/>
      <c r="M772" s="4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43"/>
      <c r="M773" s="4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43"/>
      <c r="M774" s="4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43"/>
      <c r="M775" s="4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43"/>
      <c r="M776" s="4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43"/>
      <c r="M777" s="4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43"/>
      <c r="M778" s="4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43"/>
      <c r="M779" s="4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43"/>
      <c r="M780" s="4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43"/>
      <c r="M781" s="4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43"/>
      <c r="M782" s="4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43"/>
      <c r="M783" s="4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43"/>
      <c r="M784" s="4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43"/>
      <c r="M785" s="4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43"/>
      <c r="M786" s="4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43"/>
      <c r="M787" s="4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43"/>
      <c r="M788" s="4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43"/>
      <c r="M789" s="4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43"/>
      <c r="M790" s="4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43"/>
      <c r="M791" s="4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43"/>
      <c r="M792" s="4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43"/>
      <c r="M793" s="4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43"/>
      <c r="M794" s="4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43"/>
      <c r="M795" s="4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43"/>
      <c r="M796" s="4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43"/>
      <c r="M797" s="4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43"/>
      <c r="M798" s="4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43"/>
      <c r="M799" s="4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43"/>
      <c r="M800" s="4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43"/>
      <c r="M801" s="4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43"/>
      <c r="M802" s="4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43"/>
      <c r="M803" s="4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43"/>
      <c r="M804" s="4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43"/>
      <c r="M805" s="4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43"/>
      <c r="M806" s="4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43"/>
      <c r="M807" s="4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43"/>
      <c r="M808" s="4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43"/>
      <c r="M809" s="4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43"/>
      <c r="M810" s="4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43"/>
      <c r="M811" s="4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43"/>
      <c r="M812" s="4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43"/>
      <c r="M813" s="4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43"/>
      <c r="M814" s="4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43"/>
      <c r="M815" s="4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43"/>
      <c r="M816" s="4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43"/>
      <c r="M817" s="4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43"/>
      <c r="M818" s="4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43"/>
      <c r="M819" s="4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43"/>
      <c r="M820" s="4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43"/>
      <c r="M821" s="4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43"/>
      <c r="M822" s="4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43"/>
      <c r="M823" s="4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43"/>
      <c r="M824" s="4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43"/>
      <c r="M825" s="4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43"/>
      <c r="M826" s="4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43"/>
      <c r="M827" s="4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43"/>
      <c r="M828" s="4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43"/>
      <c r="M829" s="4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43"/>
      <c r="M830" s="4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43"/>
      <c r="M831" s="4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43"/>
      <c r="M832" s="4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43"/>
      <c r="M833" s="4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43"/>
      <c r="M834" s="4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43"/>
      <c r="M835" s="4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43"/>
      <c r="M836" s="4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43"/>
      <c r="M837" s="4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43"/>
      <c r="M838" s="4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43"/>
      <c r="M839" s="4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43"/>
      <c r="M840" s="4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43"/>
      <c r="M841" s="4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43"/>
      <c r="M842" s="4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43"/>
      <c r="M843" s="4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43"/>
      <c r="M844" s="4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43"/>
      <c r="M845" s="4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43"/>
      <c r="M846" s="4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43"/>
      <c r="M847" s="4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43"/>
      <c r="M848" s="4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43"/>
      <c r="M849" s="4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43"/>
      <c r="M850" s="4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43"/>
      <c r="M851" s="4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43"/>
      <c r="M852" s="4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43"/>
      <c r="M853" s="4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43"/>
      <c r="M854" s="4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43"/>
      <c r="M855" s="4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43"/>
      <c r="M856" s="4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43"/>
      <c r="M857" s="4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43"/>
      <c r="M858" s="4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43"/>
      <c r="M859" s="4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43"/>
      <c r="M860" s="4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43"/>
      <c r="M861" s="4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43"/>
      <c r="M862" s="4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43"/>
      <c r="M863" s="4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43"/>
      <c r="M864" s="4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43"/>
      <c r="M865" s="4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43"/>
      <c r="M866" s="4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43"/>
      <c r="M867" s="4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43"/>
      <c r="M868" s="4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43"/>
      <c r="M869" s="4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43"/>
      <c r="M870" s="4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43"/>
      <c r="M871" s="4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43"/>
      <c r="M872" s="4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43"/>
      <c r="M873" s="4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43"/>
      <c r="M874" s="4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43"/>
      <c r="M875" s="4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43"/>
      <c r="M876" s="4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43"/>
      <c r="M877" s="4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43"/>
      <c r="M878" s="4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43"/>
      <c r="M879" s="4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43"/>
      <c r="M880" s="4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43"/>
      <c r="M881" s="4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43"/>
      <c r="M882" s="4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43"/>
      <c r="M883" s="4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43"/>
      <c r="M884" s="4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43"/>
      <c r="M885" s="4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43"/>
      <c r="M886" s="4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43"/>
      <c r="M887" s="4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43"/>
      <c r="M888" s="4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43"/>
      <c r="M889" s="4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43"/>
      <c r="M890" s="4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43"/>
      <c r="M891" s="4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43"/>
      <c r="M892" s="4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43"/>
      <c r="M893" s="4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43"/>
      <c r="M894" s="4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43"/>
      <c r="M895" s="4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43"/>
      <c r="M896" s="4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43"/>
      <c r="M897" s="4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43"/>
      <c r="M898" s="4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43"/>
      <c r="M899" s="4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43"/>
      <c r="M900" s="4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43"/>
      <c r="M901" s="4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43"/>
      <c r="M902" s="4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43"/>
      <c r="M903" s="4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43"/>
      <c r="M904" s="4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43"/>
      <c r="M905" s="4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43"/>
      <c r="M906" s="4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43"/>
      <c r="M907" s="4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43"/>
      <c r="M908" s="4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43"/>
      <c r="M909" s="4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43"/>
      <c r="M910" s="4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43"/>
      <c r="M911" s="4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43"/>
      <c r="M912" s="4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43"/>
      <c r="M913" s="4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43"/>
      <c r="M914" s="4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43"/>
      <c r="M915" s="4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43"/>
      <c r="M916" s="4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43"/>
      <c r="M917" s="4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43"/>
      <c r="M918" s="4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43"/>
      <c r="M919" s="4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43"/>
      <c r="M920" s="4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43"/>
      <c r="M921" s="4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43"/>
      <c r="M922" s="4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43"/>
      <c r="M923" s="4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43"/>
      <c r="M924" s="4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43"/>
      <c r="M925" s="4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43"/>
      <c r="M926" s="4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43"/>
      <c r="M927" s="4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43"/>
      <c r="M928" s="4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43"/>
      <c r="M929" s="4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43"/>
      <c r="M930" s="4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43"/>
      <c r="M931" s="4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43"/>
      <c r="M932" s="4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43"/>
      <c r="M933" s="4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43"/>
      <c r="M934" s="4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43"/>
      <c r="M935" s="4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43"/>
      <c r="M936" s="4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43"/>
      <c r="M937" s="4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43"/>
      <c r="M938" s="4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43"/>
      <c r="M939" s="4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43"/>
      <c r="M940" s="4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43"/>
      <c r="M941" s="4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43"/>
      <c r="M942" s="4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43"/>
      <c r="M943" s="4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43"/>
      <c r="M944" s="4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43"/>
      <c r="M945" s="4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43"/>
      <c r="M946" s="4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43"/>
      <c r="M947" s="4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43"/>
      <c r="M948" s="4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43"/>
      <c r="M949" s="4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43"/>
      <c r="M950" s="4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43"/>
      <c r="M951" s="4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43"/>
      <c r="M952" s="4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43"/>
      <c r="M953" s="4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43"/>
      <c r="M954" s="4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43"/>
      <c r="M955" s="4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43"/>
      <c r="M956" s="4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43"/>
      <c r="M957" s="4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43"/>
      <c r="M958" s="4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43"/>
      <c r="M959" s="4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43"/>
      <c r="M960" s="4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43"/>
      <c r="M961" s="4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43"/>
      <c r="M962" s="4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43"/>
      <c r="M963" s="4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43"/>
      <c r="M964" s="4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43"/>
      <c r="M965" s="4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43"/>
      <c r="M966" s="4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43"/>
      <c r="M967" s="4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43"/>
      <c r="M968" s="4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43"/>
      <c r="M969" s="4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43"/>
      <c r="M970" s="4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43"/>
      <c r="M971" s="4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43"/>
      <c r="M972" s="4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43"/>
      <c r="M973" s="4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43"/>
      <c r="M974" s="4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43"/>
      <c r="M975" s="4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43"/>
      <c r="M976" s="4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43"/>
      <c r="M977" s="4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43"/>
      <c r="M978" s="4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43"/>
      <c r="M979" s="4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43"/>
      <c r="M980" s="4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43"/>
      <c r="M981" s="4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43"/>
      <c r="M982" s="4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43"/>
      <c r="M983" s="4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43"/>
      <c r="M984" s="4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43"/>
      <c r="M985" s="4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43"/>
      <c r="M986" s="4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43"/>
      <c r="M987" s="4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43"/>
      <c r="M988" s="4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43"/>
      <c r="M989" s="4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43"/>
      <c r="M990" s="4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43"/>
      <c r="M991" s="4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43"/>
      <c r="M992" s="4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43"/>
      <c r="M993" s="4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43"/>
      <c r="M994" s="4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43"/>
      <c r="M995" s="4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43"/>
      <c r="M996" s="4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43"/>
      <c r="M997" s="4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43"/>
      <c r="M998" s="4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43"/>
      <c r="M999" s="4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43"/>
      <c r="M1000" s="4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B2:M2"/>
    <mergeCell ref="D4:M5"/>
    <mergeCell ref="C11:K11"/>
  </mergeCells>
  <printOptions/>
  <pageMargins bottom="0.984251968503937" footer="0.0" header="0.0" left="0.7480314960629921" right="0.7480314960629921" top="0.984251968503937"/>
  <pageSetup paperSize="9" scale="73" orientation="portrait"/>
  <headerFooter>
    <oddFooter>&amp;C800000&amp;F&amp;R800000&amp;P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.63"/>
    <col customWidth="1" min="2" max="2" width="11.5"/>
    <col customWidth="1" min="3" max="3" width="44.5"/>
    <col customWidth="1" min="4" max="4" width="10.38"/>
    <col customWidth="1" min="5" max="5" width="11.5"/>
    <col customWidth="1" hidden="1" min="6" max="7" width="11.5"/>
    <col customWidth="1" min="8" max="8" width="8.63"/>
    <col customWidth="1" min="9" max="9" width="5.63"/>
    <col customWidth="1" min="10" max="15" width="6.63"/>
    <col customWidth="1" min="16" max="16" width="11.63"/>
    <col customWidth="1" min="17" max="17" width="11.5"/>
    <col customWidth="1" min="18" max="18" width="6.5"/>
    <col customWidth="1" min="19" max="26" width="11.5"/>
  </cols>
  <sheetData>
    <row r="1" ht="93.0" customHeight="1">
      <c r="A1" s="44"/>
      <c r="B1" s="44"/>
      <c r="C1" s="44"/>
      <c r="D1" s="45"/>
      <c r="E1" s="45"/>
      <c r="F1" s="45"/>
      <c r="G1" s="45"/>
      <c r="H1" s="46" t="s">
        <v>156</v>
      </c>
      <c r="S1" s="44"/>
      <c r="T1" s="44"/>
      <c r="U1" s="44"/>
      <c r="V1" s="44"/>
      <c r="W1" s="44"/>
      <c r="X1" s="44"/>
      <c r="Y1" s="44"/>
      <c r="Z1" s="44"/>
    </row>
    <row r="2" ht="15.0" customHeight="1">
      <c r="A2" s="44"/>
      <c r="B2" s="44" t="s">
        <v>157</v>
      </c>
      <c r="C2" s="44"/>
      <c r="D2" s="45"/>
      <c r="E2" s="45"/>
      <c r="F2" s="45"/>
      <c r="G2" s="45"/>
      <c r="H2" s="45"/>
      <c r="I2" s="45"/>
      <c r="J2" s="47"/>
      <c r="K2" s="47"/>
      <c r="L2" s="47"/>
      <c r="M2" s="47"/>
      <c r="N2" s="47"/>
      <c r="O2" s="47"/>
      <c r="P2" s="47"/>
      <c r="Q2" s="47"/>
      <c r="R2" s="47"/>
      <c r="S2" s="44"/>
      <c r="T2" s="44"/>
      <c r="U2" s="44"/>
      <c r="V2" s="44"/>
      <c r="W2" s="44"/>
      <c r="X2" s="44"/>
      <c r="Y2" s="44"/>
      <c r="Z2" s="44"/>
    </row>
    <row r="3" ht="15.0" customHeight="1">
      <c r="A3" s="44"/>
      <c r="B3" s="44"/>
      <c r="C3" s="44"/>
      <c r="D3" s="45"/>
      <c r="E3" s="45"/>
      <c r="F3" s="45"/>
      <c r="G3" s="45"/>
      <c r="H3" s="45"/>
      <c r="I3" s="45"/>
      <c r="J3" s="47"/>
      <c r="K3" s="47"/>
      <c r="L3" s="47"/>
      <c r="M3" s="47"/>
      <c r="N3" s="47"/>
      <c r="O3" s="47"/>
      <c r="P3" s="47"/>
      <c r="Q3" s="47"/>
      <c r="R3" s="47"/>
      <c r="S3" s="44"/>
      <c r="T3" s="44"/>
      <c r="U3" s="44"/>
      <c r="V3" s="44"/>
      <c r="W3" s="44"/>
      <c r="X3" s="44"/>
      <c r="Y3" s="44"/>
      <c r="Z3" s="44"/>
    </row>
    <row r="4" ht="18.0" customHeight="1">
      <c r="A4" s="44"/>
      <c r="B4" s="48">
        <v>45809.0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50"/>
      <c r="S4" s="44"/>
      <c r="T4" s="44"/>
      <c r="U4" s="44"/>
      <c r="V4" s="44"/>
      <c r="W4" s="44"/>
      <c r="X4" s="44"/>
      <c r="Y4" s="44"/>
      <c r="Z4" s="44"/>
    </row>
    <row r="5" ht="9.75" customHeight="1">
      <c r="A5" s="44"/>
      <c r="B5" s="51" t="s">
        <v>158</v>
      </c>
      <c r="C5" s="52" t="s">
        <v>13</v>
      </c>
      <c r="D5" s="51" t="s">
        <v>159</v>
      </c>
      <c r="E5" s="53" t="s">
        <v>160</v>
      </c>
      <c r="F5" s="53" t="s">
        <v>161</v>
      </c>
      <c r="G5" s="53" t="s">
        <v>162</v>
      </c>
      <c r="H5" s="53" t="s">
        <v>163</v>
      </c>
      <c r="I5" s="53" t="s">
        <v>164</v>
      </c>
      <c r="J5" s="54" t="s">
        <v>165</v>
      </c>
      <c r="K5" s="55"/>
      <c r="L5" s="55"/>
      <c r="M5" s="55"/>
      <c r="N5" s="55"/>
      <c r="O5" s="56"/>
      <c r="P5" s="57"/>
      <c r="Q5" s="58"/>
      <c r="R5" s="59"/>
      <c r="S5" s="44"/>
      <c r="T5" s="44"/>
      <c r="U5" s="44"/>
      <c r="V5" s="44"/>
      <c r="W5" s="44"/>
      <c r="X5" s="44"/>
      <c r="Y5" s="44"/>
      <c r="Z5" s="44"/>
    </row>
    <row r="6" ht="9.75" customHeight="1">
      <c r="A6" s="44"/>
      <c r="B6" s="60"/>
      <c r="C6" s="60"/>
      <c r="D6" s="60"/>
      <c r="E6" s="60"/>
      <c r="F6" s="60"/>
      <c r="G6" s="60"/>
      <c r="H6" s="60"/>
      <c r="I6" s="60"/>
      <c r="J6" s="61" t="s">
        <v>166</v>
      </c>
      <c r="K6" s="61" t="s">
        <v>167</v>
      </c>
      <c r="L6" s="61" t="s">
        <v>168</v>
      </c>
      <c r="M6" s="61" t="s">
        <v>169</v>
      </c>
      <c r="N6" s="61" t="s">
        <v>170</v>
      </c>
      <c r="O6" s="61" t="s">
        <v>171</v>
      </c>
      <c r="P6" s="57" t="s">
        <v>172</v>
      </c>
      <c r="Q6" s="58" t="s">
        <v>173</v>
      </c>
      <c r="R6" s="59" t="s">
        <v>14</v>
      </c>
      <c r="S6" s="44"/>
      <c r="T6" s="44"/>
      <c r="U6" s="44"/>
      <c r="V6" s="44"/>
      <c r="W6" s="44"/>
      <c r="X6" s="44"/>
      <c r="Y6" s="44"/>
      <c r="Z6" s="44"/>
    </row>
    <row r="7" ht="9.75" customHeight="1">
      <c r="A7" s="62"/>
      <c r="B7" s="63" t="s">
        <v>174</v>
      </c>
      <c r="C7" s="64" t="s">
        <v>175</v>
      </c>
      <c r="D7" s="63"/>
      <c r="E7" s="63"/>
      <c r="F7" s="63"/>
      <c r="G7" s="65"/>
      <c r="H7" s="65"/>
      <c r="I7" s="65"/>
      <c r="J7" s="65"/>
      <c r="K7" s="65"/>
      <c r="L7" s="65"/>
      <c r="M7" s="65"/>
      <c r="N7" s="65"/>
      <c r="O7" s="65"/>
      <c r="P7" s="65"/>
      <c r="Q7" s="66">
        <f>SUM(P7:P10)</f>
        <v>1429.2</v>
      </c>
      <c r="R7" s="65" t="str">
        <f>+'Resumen Metrado'!L13</f>
        <v/>
      </c>
      <c r="S7" s="62"/>
      <c r="T7" s="62"/>
      <c r="U7" s="62"/>
      <c r="V7" s="62"/>
      <c r="W7" s="62"/>
      <c r="X7" s="62"/>
      <c r="Y7" s="62"/>
      <c r="Z7" s="62"/>
    </row>
    <row r="8" ht="9.75" customHeight="1">
      <c r="A8" s="62"/>
      <c r="B8" s="67"/>
      <c r="C8" s="68" t="s">
        <v>176</v>
      </c>
      <c r="D8" s="69"/>
      <c r="E8" s="69"/>
      <c r="F8" s="69"/>
      <c r="G8" s="65"/>
      <c r="H8" s="70"/>
      <c r="I8" s="71"/>
      <c r="J8" s="72"/>
      <c r="K8" s="72"/>
      <c r="L8" s="72"/>
      <c r="M8" s="72"/>
      <c r="N8" s="72"/>
      <c r="O8" s="72"/>
      <c r="P8" s="70"/>
      <c r="Q8" s="66"/>
      <c r="R8" s="65"/>
      <c r="S8" s="62"/>
      <c r="T8" s="62"/>
      <c r="U8" s="62"/>
      <c r="V8" s="62"/>
      <c r="W8" s="62"/>
      <c r="X8" s="62"/>
      <c r="Y8" s="62"/>
      <c r="Z8" s="62"/>
    </row>
    <row r="9" ht="9.75" customHeight="1">
      <c r="A9" s="44"/>
      <c r="B9" s="73"/>
      <c r="C9" s="74" t="s">
        <v>177</v>
      </c>
      <c r="D9" s="69"/>
      <c r="E9" s="69"/>
      <c r="F9" s="69"/>
      <c r="G9" s="65"/>
      <c r="H9" s="65"/>
      <c r="I9" s="65"/>
      <c r="J9" s="72"/>
      <c r="K9" s="72"/>
      <c r="L9" s="72"/>
      <c r="M9" s="72"/>
      <c r="N9" s="72"/>
      <c r="O9" s="72"/>
      <c r="P9" s="65"/>
      <c r="Q9" s="66">
        <f>SUM(P9:P14)</f>
        <v>1498.688</v>
      </c>
      <c r="R9" s="65" t="str">
        <f>+'Resumen Metrado'!L15</f>
        <v>UND</v>
      </c>
      <c r="S9" s="44"/>
      <c r="T9" s="44"/>
      <c r="U9" s="44"/>
      <c r="V9" s="44"/>
      <c r="W9" s="44"/>
      <c r="X9" s="44"/>
      <c r="Y9" s="44"/>
      <c r="Z9" s="44"/>
    </row>
    <row r="10" ht="9.75" customHeight="1">
      <c r="A10" s="44"/>
      <c r="B10" s="70"/>
      <c r="C10" s="74" t="s">
        <v>178</v>
      </c>
      <c r="D10" s="70">
        <v>4.0</v>
      </c>
      <c r="E10" s="70">
        <v>4.5</v>
      </c>
      <c r="F10" s="70"/>
      <c r="G10" s="70"/>
      <c r="H10" s="70">
        <v>20.0</v>
      </c>
      <c r="I10" s="70" t="s">
        <v>171</v>
      </c>
      <c r="J10" s="72">
        <f t="shared" ref="J10:J21" si="1">+IF(I10=$J$6,D10*E10*H10*0.254,0)</f>
        <v>0</v>
      </c>
      <c r="K10" s="72">
        <f t="shared" ref="K10:K21" si="2">+IF(I10=$K$6,D10*E10*H10*0.56,0)</f>
        <v>0</v>
      </c>
      <c r="L10" s="72">
        <f t="shared" ref="L10:L21" si="3">+IF(I10=$L$6,D10*E10*H10*0.994,0)</f>
        <v>0</v>
      </c>
      <c r="M10" s="72">
        <f t="shared" ref="M10:M21" si="4">+IF(I10=$M$6,D10*E10*H10*1.55,0)</f>
        <v>0</v>
      </c>
      <c r="N10" s="72">
        <f t="shared" ref="N10:N21" si="5">+IF(I10=$N$6,D10*E10*H10*2.24,0)</f>
        <v>0</v>
      </c>
      <c r="O10" s="72">
        <f t="shared" ref="O10:O21" si="6">+IF(I10=$O$6,D10*E10*H10*3.97,0)</f>
        <v>1429.2</v>
      </c>
      <c r="P10" s="70">
        <f t="shared" ref="P10:P12" si="7">+SUM(J10:O10)</f>
        <v>1429.2</v>
      </c>
      <c r="Q10" s="75"/>
      <c r="R10" s="76"/>
      <c r="S10" s="44"/>
      <c r="T10" s="44"/>
      <c r="U10" s="44"/>
      <c r="V10" s="44"/>
      <c r="W10" s="44"/>
      <c r="X10" s="44"/>
      <c r="Y10" s="44"/>
      <c r="Z10" s="44"/>
    </row>
    <row r="11" ht="9.75" customHeight="1">
      <c r="A11" s="44"/>
      <c r="B11" s="70"/>
      <c r="C11" s="74" t="s">
        <v>179</v>
      </c>
      <c r="D11" s="70">
        <v>2.0</v>
      </c>
      <c r="E11" s="70">
        <v>1.8</v>
      </c>
      <c r="F11" s="70"/>
      <c r="G11" s="70"/>
      <c r="H11" s="70">
        <v>4.0</v>
      </c>
      <c r="I11" s="70" t="s">
        <v>171</v>
      </c>
      <c r="J11" s="72">
        <f t="shared" si="1"/>
        <v>0</v>
      </c>
      <c r="K11" s="72">
        <f t="shared" si="2"/>
        <v>0</v>
      </c>
      <c r="L11" s="72">
        <f t="shared" si="3"/>
        <v>0</v>
      </c>
      <c r="M11" s="72">
        <f t="shared" si="4"/>
        <v>0</v>
      </c>
      <c r="N11" s="72">
        <f t="shared" si="5"/>
        <v>0</v>
      </c>
      <c r="O11" s="72">
        <f t="shared" si="6"/>
        <v>57.168</v>
      </c>
      <c r="P11" s="70">
        <f t="shared" si="7"/>
        <v>57.168</v>
      </c>
      <c r="Q11" s="75"/>
      <c r="R11" s="76"/>
      <c r="S11" s="44"/>
      <c r="T11" s="44"/>
      <c r="U11" s="44"/>
      <c r="V11" s="44"/>
      <c r="W11" s="44"/>
      <c r="X11" s="44"/>
      <c r="Y11" s="44"/>
      <c r="Z11" s="44"/>
    </row>
    <row r="12" ht="9.75" customHeight="1">
      <c r="A12" s="44"/>
      <c r="B12" s="70"/>
      <c r="C12" s="74"/>
      <c r="D12" s="70">
        <v>20.0</v>
      </c>
      <c r="E12" s="70">
        <v>1.1</v>
      </c>
      <c r="F12" s="70"/>
      <c r="G12" s="70"/>
      <c r="H12" s="70">
        <v>1.0</v>
      </c>
      <c r="I12" s="70" t="s">
        <v>167</v>
      </c>
      <c r="J12" s="72">
        <f t="shared" si="1"/>
        <v>0</v>
      </c>
      <c r="K12" s="72">
        <f t="shared" si="2"/>
        <v>12.32</v>
      </c>
      <c r="L12" s="72">
        <f t="shared" si="3"/>
        <v>0</v>
      </c>
      <c r="M12" s="72">
        <f t="shared" si="4"/>
        <v>0</v>
      </c>
      <c r="N12" s="72">
        <f t="shared" si="5"/>
        <v>0</v>
      </c>
      <c r="O12" s="72">
        <f t="shared" si="6"/>
        <v>0</v>
      </c>
      <c r="P12" s="70">
        <f t="shared" si="7"/>
        <v>12.32</v>
      </c>
      <c r="Q12" s="75"/>
      <c r="R12" s="76"/>
      <c r="S12" s="44"/>
      <c r="T12" s="44"/>
      <c r="U12" s="44"/>
      <c r="V12" s="44"/>
      <c r="W12" s="44"/>
      <c r="X12" s="44"/>
      <c r="Y12" s="44"/>
      <c r="Z12" s="44"/>
    </row>
    <row r="13" ht="9.75" customHeight="1">
      <c r="A13" s="44"/>
      <c r="B13" s="70"/>
      <c r="C13" s="70"/>
      <c r="D13" s="70"/>
      <c r="E13" s="70"/>
      <c r="F13" s="70"/>
      <c r="G13" s="70"/>
      <c r="H13" s="70"/>
      <c r="I13" s="70"/>
      <c r="J13" s="72">
        <f t="shared" si="1"/>
        <v>0</v>
      </c>
      <c r="K13" s="72">
        <f t="shared" si="2"/>
        <v>0</v>
      </c>
      <c r="L13" s="72">
        <f t="shared" si="3"/>
        <v>0</v>
      </c>
      <c r="M13" s="72">
        <f t="shared" si="4"/>
        <v>0</v>
      </c>
      <c r="N13" s="72">
        <f t="shared" si="5"/>
        <v>0</v>
      </c>
      <c r="O13" s="72">
        <f t="shared" si="6"/>
        <v>0</v>
      </c>
      <c r="P13" s="70"/>
      <c r="Q13" s="75"/>
      <c r="R13" s="76"/>
      <c r="S13" s="44"/>
      <c r="T13" s="44"/>
      <c r="U13" s="44"/>
      <c r="V13" s="44"/>
      <c r="W13" s="44"/>
      <c r="X13" s="44"/>
      <c r="Y13" s="44"/>
      <c r="Z13" s="44"/>
    </row>
    <row r="14" ht="9.75" customHeight="1">
      <c r="A14" s="44"/>
      <c r="B14" s="73"/>
      <c r="C14" s="77"/>
      <c r="D14" s="69"/>
      <c r="E14" s="69"/>
      <c r="F14" s="69"/>
      <c r="G14" s="65"/>
      <c r="H14" s="65"/>
      <c r="I14" s="65"/>
      <c r="J14" s="72">
        <f t="shared" si="1"/>
        <v>0</v>
      </c>
      <c r="K14" s="72">
        <f t="shared" si="2"/>
        <v>0</v>
      </c>
      <c r="L14" s="72">
        <f t="shared" si="3"/>
        <v>0</v>
      </c>
      <c r="M14" s="72">
        <f t="shared" si="4"/>
        <v>0</v>
      </c>
      <c r="N14" s="72">
        <f t="shared" si="5"/>
        <v>0</v>
      </c>
      <c r="O14" s="72">
        <f t="shared" si="6"/>
        <v>0</v>
      </c>
      <c r="P14" s="65"/>
      <c r="Q14" s="66"/>
      <c r="R14" s="65"/>
      <c r="S14" s="44"/>
      <c r="T14" s="44"/>
      <c r="U14" s="44"/>
      <c r="V14" s="44"/>
      <c r="W14" s="44"/>
      <c r="X14" s="44"/>
      <c r="Y14" s="44"/>
      <c r="Z14" s="44"/>
    </row>
    <row r="15" ht="9.75" customHeight="1">
      <c r="A15" s="44"/>
      <c r="B15" s="70"/>
      <c r="C15" s="74"/>
      <c r="D15" s="70"/>
      <c r="E15" s="70"/>
      <c r="F15" s="70"/>
      <c r="G15" s="70"/>
      <c r="H15" s="70"/>
      <c r="I15" s="70"/>
      <c r="J15" s="72">
        <f t="shared" si="1"/>
        <v>0</v>
      </c>
      <c r="K15" s="72">
        <f t="shared" si="2"/>
        <v>0</v>
      </c>
      <c r="L15" s="72">
        <f t="shared" si="3"/>
        <v>0</v>
      </c>
      <c r="M15" s="72">
        <f t="shared" si="4"/>
        <v>0</v>
      </c>
      <c r="N15" s="72">
        <f t="shared" si="5"/>
        <v>0</v>
      </c>
      <c r="O15" s="72">
        <f t="shared" si="6"/>
        <v>0</v>
      </c>
      <c r="P15" s="70"/>
      <c r="Q15" s="75"/>
      <c r="R15" s="76"/>
      <c r="S15" s="44"/>
      <c r="T15" s="44"/>
      <c r="U15" s="44"/>
      <c r="V15" s="44"/>
      <c r="W15" s="44"/>
      <c r="X15" s="44"/>
      <c r="Y15" s="44"/>
      <c r="Z15" s="44"/>
    </row>
    <row r="16" ht="9.75" customHeight="1">
      <c r="A16" s="44"/>
      <c r="B16" s="70"/>
      <c r="C16" s="70"/>
      <c r="D16" s="70"/>
      <c r="E16" s="70"/>
      <c r="F16" s="70"/>
      <c r="G16" s="70"/>
      <c r="H16" s="70"/>
      <c r="I16" s="70"/>
      <c r="J16" s="72">
        <f t="shared" si="1"/>
        <v>0</v>
      </c>
      <c r="K16" s="72">
        <f t="shared" si="2"/>
        <v>0</v>
      </c>
      <c r="L16" s="72">
        <f t="shared" si="3"/>
        <v>0</v>
      </c>
      <c r="M16" s="72">
        <f t="shared" si="4"/>
        <v>0</v>
      </c>
      <c r="N16" s="72">
        <f t="shared" si="5"/>
        <v>0</v>
      </c>
      <c r="O16" s="72">
        <f t="shared" si="6"/>
        <v>0</v>
      </c>
      <c r="P16" s="70"/>
      <c r="Q16" s="75"/>
      <c r="R16" s="76"/>
      <c r="S16" s="44"/>
      <c r="T16" s="44"/>
      <c r="U16" s="44"/>
      <c r="V16" s="44"/>
      <c r="W16" s="44"/>
      <c r="X16" s="44"/>
      <c r="Y16" s="44"/>
      <c r="Z16" s="44"/>
    </row>
    <row r="17" ht="9.75" customHeight="1">
      <c r="A17" s="62"/>
      <c r="B17" s="73"/>
      <c r="C17" s="77"/>
      <c r="D17" s="69"/>
      <c r="E17" s="69"/>
      <c r="F17" s="69"/>
      <c r="G17" s="65"/>
      <c r="H17" s="65"/>
      <c r="I17" s="65"/>
      <c r="J17" s="72">
        <f t="shared" si="1"/>
        <v>0</v>
      </c>
      <c r="K17" s="72">
        <f t="shared" si="2"/>
        <v>0</v>
      </c>
      <c r="L17" s="72">
        <f t="shared" si="3"/>
        <v>0</v>
      </c>
      <c r="M17" s="72">
        <f t="shared" si="4"/>
        <v>0</v>
      </c>
      <c r="N17" s="72">
        <f t="shared" si="5"/>
        <v>0</v>
      </c>
      <c r="O17" s="72">
        <f t="shared" si="6"/>
        <v>0</v>
      </c>
      <c r="P17" s="65"/>
      <c r="Q17" s="66"/>
      <c r="R17" s="65"/>
      <c r="S17" s="62"/>
      <c r="T17" s="62"/>
      <c r="U17" s="62"/>
      <c r="V17" s="62"/>
      <c r="W17" s="62"/>
      <c r="X17" s="62"/>
      <c r="Y17" s="62"/>
      <c r="Z17" s="62"/>
    </row>
    <row r="18" ht="9.75" customHeight="1">
      <c r="A18" s="44"/>
      <c r="B18" s="70"/>
      <c r="C18" s="74"/>
      <c r="D18" s="70"/>
      <c r="E18" s="70"/>
      <c r="F18" s="70"/>
      <c r="G18" s="70"/>
      <c r="H18" s="70"/>
      <c r="I18" s="70"/>
      <c r="J18" s="72">
        <f t="shared" si="1"/>
        <v>0</v>
      </c>
      <c r="K18" s="72">
        <f t="shared" si="2"/>
        <v>0</v>
      </c>
      <c r="L18" s="72">
        <f t="shared" si="3"/>
        <v>0</v>
      </c>
      <c r="M18" s="72">
        <f t="shared" si="4"/>
        <v>0</v>
      </c>
      <c r="N18" s="72">
        <f t="shared" si="5"/>
        <v>0</v>
      </c>
      <c r="O18" s="72">
        <f t="shared" si="6"/>
        <v>0</v>
      </c>
      <c r="P18" s="70"/>
      <c r="Q18" s="75"/>
      <c r="R18" s="76"/>
      <c r="S18" s="44"/>
      <c r="T18" s="44"/>
      <c r="U18" s="44"/>
      <c r="V18" s="44"/>
      <c r="W18" s="44"/>
      <c r="X18" s="44"/>
      <c r="Y18" s="44"/>
      <c r="Z18" s="44"/>
    </row>
    <row r="19" ht="9.75" customHeight="1">
      <c r="A19" s="44"/>
      <c r="B19" s="70"/>
      <c r="C19" s="70"/>
      <c r="D19" s="70"/>
      <c r="E19" s="70"/>
      <c r="F19" s="70"/>
      <c r="G19" s="70"/>
      <c r="H19" s="70"/>
      <c r="I19" s="70"/>
      <c r="J19" s="72">
        <f t="shared" si="1"/>
        <v>0</v>
      </c>
      <c r="K19" s="72">
        <f t="shared" si="2"/>
        <v>0</v>
      </c>
      <c r="L19" s="72">
        <f t="shared" si="3"/>
        <v>0</v>
      </c>
      <c r="M19" s="72">
        <f t="shared" si="4"/>
        <v>0</v>
      </c>
      <c r="N19" s="72">
        <f t="shared" si="5"/>
        <v>0</v>
      </c>
      <c r="O19" s="72">
        <f t="shared" si="6"/>
        <v>0</v>
      </c>
      <c r="P19" s="70"/>
      <c r="Q19" s="75"/>
      <c r="R19" s="76"/>
      <c r="S19" s="44"/>
      <c r="T19" s="44"/>
      <c r="U19" s="44"/>
      <c r="V19" s="44"/>
      <c r="W19" s="44"/>
      <c r="X19" s="44"/>
      <c r="Y19" s="44"/>
      <c r="Z19" s="44"/>
    </row>
    <row r="20" ht="9.75" customHeight="1">
      <c r="A20" s="44"/>
      <c r="B20" s="73"/>
      <c r="C20" s="77"/>
      <c r="D20" s="69"/>
      <c r="E20" s="69"/>
      <c r="F20" s="69"/>
      <c r="G20" s="65"/>
      <c r="H20" s="65"/>
      <c r="I20" s="65"/>
      <c r="J20" s="72">
        <f t="shared" si="1"/>
        <v>0</v>
      </c>
      <c r="K20" s="72">
        <f t="shared" si="2"/>
        <v>0</v>
      </c>
      <c r="L20" s="72">
        <f t="shared" si="3"/>
        <v>0</v>
      </c>
      <c r="M20" s="72">
        <f t="shared" si="4"/>
        <v>0</v>
      </c>
      <c r="N20" s="72">
        <f t="shared" si="5"/>
        <v>0</v>
      </c>
      <c r="O20" s="72">
        <f t="shared" si="6"/>
        <v>0</v>
      </c>
      <c r="P20" s="65"/>
      <c r="Q20" s="66"/>
      <c r="R20" s="65"/>
      <c r="S20" s="44"/>
      <c r="T20" s="44"/>
      <c r="U20" s="44"/>
      <c r="V20" s="44"/>
      <c r="W20" s="44"/>
      <c r="X20" s="44"/>
      <c r="Y20" s="44"/>
      <c r="Z20" s="44"/>
    </row>
    <row r="21" ht="9.75" customHeight="1">
      <c r="A21" s="44"/>
      <c r="B21" s="70"/>
      <c r="C21" s="74"/>
      <c r="D21" s="70"/>
      <c r="E21" s="70"/>
      <c r="F21" s="70"/>
      <c r="G21" s="70"/>
      <c r="H21" s="70"/>
      <c r="I21" s="70"/>
      <c r="J21" s="72">
        <f t="shared" si="1"/>
        <v>0</v>
      </c>
      <c r="K21" s="72">
        <f t="shared" si="2"/>
        <v>0</v>
      </c>
      <c r="L21" s="72">
        <f t="shared" si="3"/>
        <v>0</v>
      </c>
      <c r="M21" s="72">
        <f t="shared" si="4"/>
        <v>0</v>
      </c>
      <c r="N21" s="72">
        <f t="shared" si="5"/>
        <v>0</v>
      </c>
      <c r="O21" s="72">
        <f t="shared" si="6"/>
        <v>0</v>
      </c>
      <c r="P21" s="70"/>
      <c r="Q21" s="75"/>
      <c r="R21" s="76"/>
      <c r="S21" s="44"/>
      <c r="T21" s="44"/>
      <c r="U21" s="44"/>
      <c r="V21" s="44"/>
      <c r="W21" s="44"/>
      <c r="X21" s="44"/>
      <c r="Y21" s="44"/>
      <c r="Z21" s="44"/>
    </row>
    <row r="22" ht="9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78"/>
      <c r="R22" s="44"/>
      <c r="S22" s="44"/>
      <c r="T22" s="44"/>
      <c r="U22" s="44"/>
      <c r="V22" s="44"/>
      <c r="W22" s="44"/>
      <c r="X22" s="44"/>
      <c r="Y22" s="44"/>
      <c r="Z22" s="44"/>
    </row>
    <row r="23" ht="9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78"/>
      <c r="R23" s="44"/>
      <c r="S23" s="44"/>
      <c r="T23" s="44"/>
      <c r="U23" s="44"/>
      <c r="V23" s="44"/>
      <c r="W23" s="44"/>
      <c r="X23" s="44"/>
      <c r="Y23" s="44"/>
      <c r="Z23" s="44"/>
    </row>
    <row r="24" ht="9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78"/>
      <c r="R24" s="44"/>
      <c r="S24" s="44"/>
      <c r="T24" s="44"/>
      <c r="U24" s="44"/>
      <c r="V24" s="44"/>
      <c r="W24" s="44"/>
      <c r="X24" s="44"/>
      <c r="Y24" s="44"/>
      <c r="Z24" s="44"/>
    </row>
    <row r="25" ht="9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78"/>
      <c r="R25" s="44"/>
      <c r="S25" s="44"/>
      <c r="T25" s="44"/>
      <c r="U25" s="44"/>
      <c r="V25" s="44"/>
      <c r="W25" s="44"/>
      <c r="X25" s="44"/>
      <c r="Y25" s="44"/>
      <c r="Z25" s="44"/>
    </row>
    <row r="26" ht="9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78"/>
      <c r="R26" s="44"/>
      <c r="S26" s="44"/>
      <c r="T26" s="44"/>
      <c r="U26" s="44"/>
      <c r="V26" s="44"/>
      <c r="W26" s="44"/>
      <c r="X26" s="44"/>
      <c r="Y26" s="44"/>
      <c r="Z26" s="44"/>
    </row>
    <row r="27" ht="9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78"/>
      <c r="R27" s="44"/>
      <c r="S27" s="44"/>
      <c r="T27" s="44"/>
      <c r="U27" s="44"/>
      <c r="V27" s="44"/>
      <c r="W27" s="44"/>
      <c r="X27" s="44"/>
      <c r="Y27" s="44"/>
      <c r="Z27" s="44"/>
    </row>
    <row r="28" ht="9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78"/>
      <c r="R28" s="44"/>
      <c r="S28" s="44"/>
      <c r="T28" s="44"/>
      <c r="U28" s="44"/>
      <c r="V28" s="44"/>
      <c r="W28" s="44"/>
      <c r="X28" s="44"/>
      <c r="Y28" s="44"/>
      <c r="Z28" s="44"/>
    </row>
    <row r="29" ht="9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78"/>
      <c r="R29" s="44"/>
      <c r="S29" s="44"/>
      <c r="T29" s="44"/>
      <c r="U29" s="44"/>
      <c r="V29" s="44"/>
      <c r="W29" s="44"/>
      <c r="X29" s="44"/>
      <c r="Y29" s="44"/>
      <c r="Z29" s="44"/>
    </row>
    <row r="30" ht="9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78"/>
      <c r="R30" s="44"/>
      <c r="S30" s="44"/>
      <c r="T30" s="44"/>
      <c r="U30" s="44"/>
      <c r="V30" s="44"/>
      <c r="W30" s="44"/>
      <c r="X30" s="44"/>
      <c r="Y30" s="44"/>
      <c r="Z30" s="44"/>
    </row>
    <row r="31" ht="9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78"/>
      <c r="R31" s="44"/>
      <c r="S31" s="44"/>
      <c r="T31" s="44"/>
      <c r="U31" s="44"/>
      <c r="V31" s="44"/>
      <c r="W31" s="44"/>
      <c r="X31" s="44"/>
      <c r="Y31" s="44"/>
      <c r="Z31" s="44"/>
    </row>
    <row r="32" ht="9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78"/>
      <c r="R32" s="44"/>
      <c r="S32" s="44"/>
      <c r="T32" s="44"/>
      <c r="U32" s="44"/>
      <c r="V32" s="44"/>
      <c r="W32" s="44"/>
      <c r="X32" s="44"/>
      <c r="Y32" s="44"/>
      <c r="Z32" s="44"/>
    </row>
    <row r="33" ht="9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78"/>
      <c r="R33" s="44"/>
      <c r="S33" s="44"/>
      <c r="T33" s="44"/>
      <c r="U33" s="44"/>
      <c r="V33" s="44"/>
      <c r="W33" s="44"/>
      <c r="X33" s="44"/>
      <c r="Y33" s="44"/>
      <c r="Z33" s="44"/>
    </row>
    <row r="34" ht="9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78"/>
      <c r="R34" s="44"/>
      <c r="S34" s="44"/>
      <c r="T34" s="44"/>
      <c r="U34" s="44"/>
      <c r="V34" s="44"/>
      <c r="W34" s="44"/>
      <c r="X34" s="44"/>
      <c r="Y34" s="44"/>
      <c r="Z34" s="44"/>
    </row>
    <row r="35" ht="9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78"/>
      <c r="R35" s="44"/>
      <c r="S35" s="44"/>
      <c r="T35" s="44"/>
      <c r="U35" s="44"/>
      <c r="V35" s="44"/>
      <c r="W35" s="44"/>
      <c r="X35" s="44"/>
      <c r="Y35" s="44"/>
      <c r="Z35" s="44"/>
    </row>
    <row r="36" ht="9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78"/>
      <c r="R36" s="44"/>
      <c r="S36" s="44"/>
      <c r="T36" s="44"/>
      <c r="U36" s="44"/>
      <c r="V36" s="44"/>
      <c r="W36" s="44"/>
      <c r="X36" s="44"/>
      <c r="Y36" s="44"/>
      <c r="Z36" s="44"/>
    </row>
    <row r="37" ht="9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78"/>
      <c r="R37" s="44"/>
      <c r="S37" s="44"/>
      <c r="T37" s="44"/>
      <c r="U37" s="44"/>
      <c r="V37" s="44"/>
      <c r="W37" s="44"/>
      <c r="X37" s="44"/>
      <c r="Y37" s="44"/>
      <c r="Z37" s="44"/>
    </row>
    <row r="38" ht="9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78"/>
      <c r="R38" s="44"/>
      <c r="S38" s="44"/>
      <c r="T38" s="44"/>
      <c r="U38" s="44"/>
      <c r="V38" s="44"/>
      <c r="W38" s="44"/>
      <c r="X38" s="44"/>
      <c r="Y38" s="44"/>
      <c r="Z38" s="44"/>
    </row>
    <row r="39" ht="9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78"/>
      <c r="R39" s="44"/>
      <c r="S39" s="44"/>
      <c r="T39" s="44"/>
      <c r="U39" s="44"/>
      <c r="V39" s="44"/>
      <c r="W39" s="44"/>
      <c r="X39" s="44"/>
      <c r="Y39" s="44"/>
      <c r="Z39" s="44"/>
    </row>
    <row r="40" ht="9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78"/>
      <c r="R40" s="44"/>
      <c r="S40" s="44"/>
      <c r="T40" s="44"/>
      <c r="U40" s="44"/>
      <c r="V40" s="44"/>
      <c r="W40" s="44"/>
      <c r="X40" s="44"/>
      <c r="Y40" s="44"/>
      <c r="Z40" s="44"/>
    </row>
    <row r="41" ht="9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78"/>
      <c r="R41" s="44"/>
      <c r="S41" s="44"/>
      <c r="T41" s="44"/>
      <c r="U41" s="44"/>
      <c r="V41" s="44"/>
      <c r="W41" s="44"/>
      <c r="X41" s="44"/>
      <c r="Y41" s="44"/>
      <c r="Z41" s="44"/>
    </row>
    <row r="42" ht="9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78"/>
      <c r="R42" s="44"/>
      <c r="S42" s="44"/>
      <c r="T42" s="44"/>
      <c r="U42" s="44"/>
      <c r="V42" s="44"/>
      <c r="W42" s="44"/>
      <c r="X42" s="44"/>
      <c r="Y42" s="44"/>
      <c r="Z42" s="44"/>
    </row>
    <row r="43" ht="9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78"/>
      <c r="R43" s="44"/>
      <c r="S43" s="44"/>
      <c r="T43" s="44"/>
      <c r="U43" s="44"/>
      <c r="V43" s="44"/>
      <c r="W43" s="44"/>
      <c r="X43" s="44"/>
      <c r="Y43" s="44"/>
      <c r="Z43" s="44"/>
    </row>
    <row r="44" ht="9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78"/>
      <c r="R44" s="44"/>
      <c r="S44" s="44"/>
      <c r="T44" s="44"/>
      <c r="U44" s="44"/>
      <c r="V44" s="44"/>
      <c r="W44" s="44"/>
      <c r="X44" s="44"/>
      <c r="Y44" s="44"/>
      <c r="Z44" s="44"/>
    </row>
    <row r="45" ht="9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78"/>
      <c r="R45" s="44"/>
      <c r="S45" s="44"/>
      <c r="T45" s="44"/>
      <c r="U45" s="44"/>
      <c r="V45" s="44"/>
      <c r="W45" s="44"/>
      <c r="X45" s="44"/>
      <c r="Y45" s="44"/>
      <c r="Z45" s="44"/>
    </row>
    <row r="46" ht="9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78"/>
      <c r="R46" s="44"/>
      <c r="S46" s="44"/>
      <c r="T46" s="44"/>
      <c r="U46" s="44"/>
      <c r="V46" s="44"/>
      <c r="W46" s="44"/>
      <c r="X46" s="44"/>
      <c r="Y46" s="44"/>
      <c r="Z46" s="44"/>
    </row>
    <row r="47" ht="9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78"/>
      <c r="R47" s="44"/>
      <c r="S47" s="44"/>
      <c r="T47" s="44"/>
      <c r="U47" s="44"/>
      <c r="V47" s="44"/>
      <c r="W47" s="44"/>
      <c r="X47" s="44"/>
      <c r="Y47" s="44"/>
      <c r="Z47" s="44"/>
    </row>
    <row r="48" ht="9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78"/>
      <c r="R48" s="44"/>
      <c r="S48" s="44"/>
      <c r="T48" s="44"/>
      <c r="U48" s="44"/>
      <c r="V48" s="44"/>
      <c r="W48" s="44"/>
      <c r="X48" s="44"/>
      <c r="Y48" s="44"/>
      <c r="Z48" s="44"/>
    </row>
    <row r="49" ht="9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78"/>
      <c r="R49" s="44"/>
      <c r="S49" s="44"/>
      <c r="T49" s="44"/>
      <c r="U49" s="44"/>
      <c r="V49" s="44"/>
      <c r="W49" s="44"/>
      <c r="X49" s="44"/>
      <c r="Y49" s="44"/>
      <c r="Z49" s="44"/>
    </row>
    <row r="50" ht="9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78"/>
      <c r="R50" s="44"/>
      <c r="S50" s="44"/>
      <c r="T50" s="44"/>
      <c r="U50" s="44"/>
      <c r="V50" s="44"/>
      <c r="W50" s="44"/>
      <c r="X50" s="44"/>
      <c r="Y50" s="44"/>
      <c r="Z50" s="44"/>
    </row>
    <row r="51" ht="9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78"/>
      <c r="R51" s="44"/>
      <c r="S51" s="44"/>
      <c r="T51" s="44"/>
      <c r="U51" s="44"/>
      <c r="V51" s="44"/>
      <c r="W51" s="44"/>
      <c r="X51" s="44"/>
      <c r="Y51" s="44"/>
      <c r="Z51" s="44"/>
    </row>
    <row r="52" ht="9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78"/>
      <c r="R52" s="44"/>
      <c r="S52" s="44"/>
      <c r="T52" s="44"/>
      <c r="U52" s="44"/>
      <c r="V52" s="44"/>
      <c r="W52" s="44"/>
      <c r="X52" s="44"/>
      <c r="Y52" s="44"/>
      <c r="Z52" s="44"/>
    </row>
    <row r="53" ht="9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78"/>
      <c r="R53" s="44"/>
      <c r="S53" s="44"/>
      <c r="T53" s="44"/>
      <c r="U53" s="44"/>
      <c r="V53" s="44"/>
      <c r="W53" s="44"/>
      <c r="X53" s="44"/>
      <c r="Y53" s="44"/>
      <c r="Z53" s="44"/>
    </row>
    <row r="54" ht="9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78"/>
      <c r="R54" s="44"/>
      <c r="S54" s="44"/>
      <c r="T54" s="44"/>
      <c r="U54" s="44"/>
      <c r="V54" s="44"/>
      <c r="W54" s="44"/>
      <c r="X54" s="44"/>
      <c r="Y54" s="44"/>
      <c r="Z54" s="44"/>
    </row>
    <row r="55" ht="9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78"/>
      <c r="R55" s="44"/>
      <c r="S55" s="44"/>
      <c r="T55" s="44"/>
      <c r="U55" s="44"/>
      <c r="V55" s="44"/>
      <c r="W55" s="44"/>
      <c r="X55" s="44"/>
      <c r="Y55" s="44"/>
      <c r="Z55" s="44"/>
    </row>
    <row r="56" ht="9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78"/>
      <c r="R56" s="44"/>
      <c r="S56" s="44"/>
      <c r="T56" s="44"/>
      <c r="U56" s="44"/>
      <c r="V56" s="44"/>
      <c r="W56" s="44"/>
      <c r="X56" s="44"/>
      <c r="Y56" s="44"/>
      <c r="Z56" s="44"/>
    </row>
    <row r="57" ht="9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78"/>
      <c r="R57" s="44"/>
      <c r="S57" s="44"/>
      <c r="T57" s="44"/>
      <c r="U57" s="44"/>
      <c r="V57" s="44"/>
      <c r="W57" s="44"/>
      <c r="X57" s="44"/>
      <c r="Y57" s="44"/>
      <c r="Z57" s="44"/>
    </row>
    <row r="58" ht="9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78"/>
      <c r="R58" s="44"/>
      <c r="S58" s="44"/>
      <c r="T58" s="44"/>
      <c r="U58" s="44"/>
      <c r="V58" s="44"/>
      <c r="W58" s="44"/>
      <c r="X58" s="44"/>
      <c r="Y58" s="44"/>
      <c r="Z58" s="44"/>
    </row>
    <row r="59" ht="9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78"/>
      <c r="R59" s="44"/>
      <c r="S59" s="44"/>
      <c r="T59" s="44"/>
      <c r="U59" s="44"/>
      <c r="V59" s="44"/>
      <c r="W59" s="44"/>
      <c r="X59" s="44"/>
      <c r="Y59" s="44"/>
      <c r="Z59" s="44"/>
    </row>
    <row r="60" ht="9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78"/>
      <c r="R60" s="44"/>
      <c r="S60" s="44"/>
      <c r="T60" s="44"/>
      <c r="U60" s="44"/>
      <c r="V60" s="44"/>
      <c r="W60" s="44"/>
      <c r="X60" s="44"/>
      <c r="Y60" s="44"/>
      <c r="Z60" s="44"/>
    </row>
    <row r="61" ht="9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78"/>
      <c r="R61" s="44"/>
      <c r="S61" s="44"/>
      <c r="T61" s="44"/>
      <c r="U61" s="44"/>
      <c r="V61" s="44"/>
      <c r="W61" s="44"/>
      <c r="X61" s="44"/>
      <c r="Y61" s="44"/>
      <c r="Z61" s="44"/>
    </row>
    <row r="62" ht="9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78"/>
      <c r="R62" s="44"/>
      <c r="S62" s="44"/>
      <c r="T62" s="44"/>
      <c r="U62" s="44"/>
      <c r="V62" s="44"/>
      <c r="W62" s="44"/>
      <c r="X62" s="44"/>
      <c r="Y62" s="44"/>
      <c r="Z62" s="44"/>
    </row>
    <row r="63" ht="9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78"/>
      <c r="R63" s="44"/>
      <c r="S63" s="44"/>
      <c r="T63" s="44"/>
      <c r="U63" s="44"/>
      <c r="V63" s="44"/>
      <c r="W63" s="44"/>
      <c r="X63" s="44"/>
      <c r="Y63" s="44"/>
      <c r="Z63" s="44"/>
    </row>
    <row r="64" ht="9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78"/>
      <c r="R64" s="44"/>
      <c r="S64" s="44"/>
      <c r="T64" s="44"/>
      <c r="U64" s="44"/>
      <c r="V64" s="44"/>
      <c r="W64" s="44"/>
      <c r="X64" s="44"/>
      <c r="Y64" s="44"/>
      <c r="Z64" s="44"/>
    </row>
    <row r="65" ht="9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78"/>
      <c r="R65" s="44"/>
      <c r="S65" s="44"/>
      <c r="T65" s="44"/>
      <c r="U65" s="44"/>
      <c r="V65" s="44"/>
      <c r="W65" s="44"/>
      <c r="X65" s="44"/>
      <c r="Y65" s="44"/>
      <c r="Z65" s="44"/>
    </row>
    <row r="66" ht="9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78"/>
      <c r="R66" s="44"/>
      <c r="S66" s="44"/>
      <c r="T66" s="44"/>
      <c r="U66" s="44"/>
      <c r="V66" s="44"/>
      <c r="W66" s="44"/>
      <c r="X66" s="44"/>
      <c r="Y66" s="44"/>
      <c r="Z66" s="44"/>
    </row>
    <row r="67" ht="9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78"/>
      <c r="R67" s="44"/>
      <c r="S67" s="44"/>
      <c r="T67" s="44"/>
      <c r="U67" s="44"/>
      <c r="V67" s="44"/>
      <c r="W67" s="44"/>
      <c r="X67" s="44"/>
      <c r="Y67" s="44"/>
      <c r="Z67" s="44"/>
    </row>
    <row r="68" ht="9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78"/>
      <c r="R68" s="44"/>
      <c r="S68" s="44"/>
      <c r="T68" s="44"/>
      <c r="U68" s="44"/>
      <c r="V68" s="44"/>
      <c r="W68" s="44"/>
      <c r="X68" s="44"/>
      <c r="Y68" s="44"/>
      <c r="Z68" s="44"/>
    </row>
    <row r="69" ht="9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78"/>
      <c r="R69" s="44"/>
      <c r="S69" s="44"/>
      <c r="T69" s="44"/>
      <c r="U69" s="44"/>
      <c r="V69" s="44"/>
      <c r="W69" s="44"/>
      <c r="X69" s="44"/>
      <c r="Y69" s="44"/>
      <c r="Z69" s="44"/>
    </row>
    <row r="70" ht="9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78"/>
      <c r="R70" s="44"/>
      <c r="S70" s="44"/>
      <c r="T70" s="44"/>
      <c r="U70" s="44"/>
      <c r="V70" s="44"/>
      <c r="W70" s="44"/>
      <c r="X70" s="44"/>
      <c r="Y70" s="44"/>
      <c r="Z70" s="44"/>
    </row>
    <row r="71" ht="9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78"/>
      <c r="R71" s="44"/>
      <c r="S71" s="44"/>
      <c r="T71" s="44"/>
      <c r="U71" s="44"/>
      <c r="V71" s="44"/>
      <c r="W71" s="44"/>
      <c r="X71" s="44"/>
      <c r="Y71" s="44"/>
      <c r="Z71" s="44"/>
    </row>
    <row r="72" ht="9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78"/>
      <c r="R72" s="44"/>
      <c r="S72" s="44"/>
      <c r="T72" s="44"/>
      <c r="U72" s="44"/>
      <c r="V72" s="44"/>
      <c r="W72" s="44"/>
      <c r="X72" s="44"/>
      <c r="Y72" s="44"/>
      <c r="Z72" s="44"/>
    </row>
    <row r="73" ht="9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78"/>
      <c r="R73" s="44"/>
      <c r="S73" s="44"/>
      <c r="T73" s="44"/>
      <c r="U73" s="44"/>
      <c r="V73" s="44"/>
      <c r="W73" s="44"/>
      <c r="X73" s="44"/>
      <c r="Y73" s="44"/>
      <c r="Z73" s="44"/>
    </row>
    <row r="74" ht="9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78"/>
      <c r="R74" s="44"/>
      <c r="S74" s="44"/>
      <c r="T74" s="44"/>
      <c r="U74" s="44"/>
      <c r="V74" s="44"/>
      <c r="W74" s="44"/>
      <c r="X74" s="44"/>
      <c r="Y74" s="44"/>
      <c r="Z74" s="44"/>
    </row>
    <row r="75" ht="9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78"/>
      <c r="R75" s="44"/>
      <c r="S75" s="44"/>
      <c r="T75" s="44"/>
      <c r="U75" s="44"/>
      <c r="V75" s="44"/>
      <c r="W75" s="44"/>
      <c r="X75" s="44"/>
      <c r="Y75" s="44"/>
      <c r="Z75" s="44"/>
    </row>
    <row r="76" ht="9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78"/>
      <c r="R76" s="44"/>
      <c r="S76" s="44"/>
      <c r="T76" s="44"/>
      <c r="U76" s="44"/>
      <c r="V76" s="44"/>
      <c r="W76" s="44"/>
      <c r="X76" s="44"/>
      <c r="Y76" s="44"/>
      <c r="Z76" s="44"/>
    </row>
    <row r="77" ht="9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78"/>
      <c r="R77" s="44"/>
      <c r="S77" s="44"/>
      <c r="T77" s="44"/>
      <c r="U77" s="44"/>
      <c r="V77" s="44"/>
      <c r="W77" s="44"/>
      <c r="X77" s="44"/>
      <c r="Y77" s="44"/>
      <c r="Z77" s="44"/>
    </row>
    <row r="78" ht="9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78"/>
      <c r="R78" s="44"/>
      <c r="S78" s="44"/>
      <c r="T78" s="44"/>
      <c r="U78" s="44"/>
      <c r="V78" s="44"/>
      <c r="W78" s="44"/>
      <c r="X78" s="44"/>
      <c r="Y78" s="44"/>
      <c r="Z78" s="44"/>
    </row>
    <row r="79" ht="9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78"/>
      <c r="R79" s="44"/>
      <c r="S79" s="44"/>
      <c r="T79" s="44"/>
      <c r="U79" s="44"/>
      <c r="V79" s="44"/>
      <c r="W79" s="44"/>
      <c r="X79" s="44"/>
      <c r="Y79" s="44"/>
      <c r="Z79" s="44"/>
    </row>
    <row r="80" ht="9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78"/>
      <c r="R80" s="44"/>
      <c r="S80" s="44"/>
      <c r="T80" s="44"/>
      <c r="U80" s="44"/>
      <c r="V80" s="44"/>
      <c r="W80" s="44"/>
      <c r="X80" s="44"/>
      <c r="Y80" s="44"/>
      <c r="Z80" s="44"/>
    </row>
    <row r="81" ht="9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78"/>
      <c r="R81" s="44"/>
      <c r="S81" s="44"/>
      <c r="T81" s="44"/>
      <c r="U81" s="44"/>
      <c r="V81" s="44"/>
      <c r="W81" s="44"/>
      <c r="X81" s="44"/>
      <c r="Y81" s="44"/>
      <c r="Z81" s="44"/>
    </row>
    <row r="82" ht="9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78"/>
      <c r="R82" s="44"/>
      <c r="S82" s="44"/>
      <c r="T82" s="44"/>
      <c r="U82" s="44"/>
      <c r="V82" s="44"/>
      <c r="W82" s="44"/>
      <c r="X82" s="44"/>
      <c r="Y82" s="44"/>
      <c r="Z82" s="44"/>
    </row>
    <row r="83" ht="9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78"/>
      <c r="R83" s="44"/>
      <c r="S83" s="44"/>
      <c r="T83" s="44"/>
      <c r="U83" s="44"/>
      <c r="V83" s="44"/>
      <c r="W83" s="44"/>
      <c r="X83" s="44"/>
      <c r="Y83" s="44"/>
      <c r="Z83" s="44"/>
    </row>
    <row r="84" ht="9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78"/>
      <c r="R84" s="44"/>
      <c r="S84" s="44"/>
      <c r="T84" s="44"/>
      <c r="U84" s="44"/>
      <c r="V84" s="44"/>
      <c r="W84" s="44"/>
      <c r="X84" s="44"/>
      <c r="Y84" s="44"/>
      <c r="Z84" s="44"/>
    </row>
    <row r="85" ht="9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78"/>
      <c r="R85" s="44"/>
      <c r="S85" s="44"/>
      <c r="T85" s="44"/>
      <c r="U85" s="44"/>
      <c r="V85" s="44"/>
      <c r="W85" s="44"/>
      <c r="X85" s="44"/>
      <c r="Y85" s="44"/>
      <c r="Z85" s="44"/>
    </row>
    <row r="86" ht="9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78"/>
      <c r="R86" s="44"/>
      <c r="S86" s="44"/>
      <c r="T86" s="44"/>
      <c r="U86" s="44"/>
      <c r="V86" s="44"/>
      <c r="W86" s="44"/>
      <c r="X86" s="44"/>
      <c r="Y86" s="44"/>
      <c r="Z86" s="44"/>
    </row>
    <row r="87" ht="9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78"/>
      <c r="R87" s="44"/>
      <c r="S87" s="44"/>
      <c r="T87" s="44"/>
      <c r="U87" s="44"/>
      <c r="V87" s="44"/>
      <c r="W87" s="44"/>
      <c r="X87" s="44"/>
      <c r="Y87" s="44"/>
      <c r="Z87" s="44"/>
    </row>
    <row r="88" ht="9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78"/>
      <c r="R88" s="44"/>
      <c r="S88" s="44"/>
      <c r="T88" s="44"/>
      <c r="U88" s="44"/>
      <c r="V88" s="44"/>
      <c r="W88" s="44"/>
      <c r="X88" s="44"/>
      <c r="Y88" s="44"/>
      <c r="Z88" s="44"/>
    </row>
    <row r="89" ht="9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78"/>
      <c r="R89" s="44"/>
      <c r="S89" s="44"/>
      <c r="T89" s="44"/>
      <c r="U89" s="44"/>
      <c r="V89" s="44"/>
      <c r="W89" s="44"/>
      <c r="X89" s="44"/>
      <c r="Y89" s="44"/>
      <c r="Z89" s="44"/>
    </row>
    <row r="90" ht="9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78"/>
      <c r="R90" s="44"/>
      <c r="S90" s="44"/>
      <c r="T90" s="44"/>
      <c r="U90" s="44"/>
      <c r="V90" s="44"/>
      <c r="W90" s="44"/>
      <c r="X90" s="44"/>
      <c r="Y90" s="44"/>
      <c r="Z90" s="44"/>
    </row>
    <row r="91" ht="9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78"/>
      <c r="R91" s="44"/>
      <c r="S91" s="44"/>
      <c r="T91" s="44"/>
      <c r="U91" s="44"/>
      <c r="V91" s="44"/>
      <c r="W91" s="44"/>
      <c r="X91" s="44"/>
      <c r="Y91" s="44"/>
      <c r="Z91" s="44"/>
    </row>
    <row r="92" ht="9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78"/>
      <c r="R92" s="44"/>
      <c r="S92" s="44"/>
      <c r="T92" s="44"/>
      <c r="U92" s="44"/>
      <c r="V92" s="44"/>
      <c r="W92" s="44"/>
      <c r="X92" s="44"/>
      <c r="Y92" s="44"/>
      <c r="Z92" s="44"/>
    </row>
    <row r="93" ht="9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78"/>
      <c r="R93" s="44"/>
      <c r="S93" s="44"/>
      <c r="T93" s="44"/>
      <c r="U93" s="44"/>
      <c r="V93" s="44"/>
      <c r="W93" s="44"/>
      <c r="X93" s="44"/>
      <c r="Y93" s="44"/>
      <c r="Z93" s="44"/>
    </row>
    <row r="94" ht="9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78"/>
      <c r="R94" s="44"/>
      <c r="S94" s="44"/>
      <c r="T94" s="44"/>
      <c r="U94" s="44"/>
      <c r="V94" s="44"/>
      <c r="W94" s="44"/>
      <c r="X94" s="44"/>
      <c r="Y94" s="44"/>
      <c r="Z94" s="44"/>
    </row>
    <row r="95" ht="9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78"/>
      <c r="R95" s="44"/>
      <c r="S95" s="44"/>
      <c r="T95" s="44"/>
      <c r="U95" s="44"/>
      <c r="V95" s="44"/>
      <c r="W95" s="44"/>
      <c r="X95" s="44"/>
      <c r="Y95" s="44"/>
      <c r="Z95" s="44"/>
    </row>
    <row r="96" ht="9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78"/>
      <c r="R96" s="44"/>
      <c r="S96" s="44"/>
      <c r="T96" s="44"/>
      <c r="U96" s="44"/>
      <c r="V96" s="44"/>
      <c r="W96" s="44"/>
      <c r="X96" s="44"/>
      <c r="Y96" s="44"/>
      <c r="Z96" s="44"/>
    </row>
    <row r="97" ht="9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78"/>
      <c r="R97" s="44"/>
      <c r="S97" s="44"/>
      <c r="T97" s="44"/>
      <c r="U97" s="44"/>
      <c r="V97" s="44"/>
      <c r="W97" s="44"/>
      <c r="X97" s="44"/>
      <c r="Y97" s="44"/>
      <c r="Z97" s="44"/>
    </row>
    <row r="98" ht="9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78"/>
      <c r="R98" s="44"/>
      <c r="S98" s="44"/>
      <c r="T98" s="44"/>
      <c r="U98" s="44"/>
      <c r="V98" s="44"/>
      <c r="W98" s="44"/>
      <c r="X98" s="44"/>
      <c r="Y98" s="44"/>
      <c r="Z98" s="44"/>
    </row>
    <row r="99" ht="9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78"/>
      <c r="R99" s="44"/>
      <c r="S99" s="44"/>
      <c r="T99" s="44"/>
      <c r="U99" s="44"/>
      <c r="V99" s="44"/>
      <c r="W99" s="44"/>
      <c r="X99" s="44"/>
      <c r="Y99" s="44"/>
      <c r="Z99" s="44"/>
    </row>
    <row r="100" ht="9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78"/>
      <c r="R100" s="44"/>
      <c r="S100" s="44"/>
      <c r="T100" s="44"/>
      <c r="U100" s="44"/>
      <c r="V100" s="44"/>
      <c r="W100" s="44"/>
      <c r="X100" s="44"/>
      <c r="Y100" s="44"/>
      <c r="Z100" s="44"/>
    </row>
    <row r="101" ht="9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78"/>
      <c r="R101" s="44"/>
      <c r="S101" s="44"/>
      <c r="T101" s="44"/>
      <c r="U101" s="44"/>
      <c r="V101" s="44"/>
      <c r="W101" s="44"/>
      <c r="X101" s="44"/>
      <c r="Y101" s="44"/>
      <c r="Z101" s="44"/>
    </row>
    <row r="102" ht="9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78"/>
      <c r="R102" s="44"/>
      <c r="S102" s="44"/>
      <c r="T102" s="44"/>
      <c r="U102" s="44"/>
      <c r="V102" s="44"/>
      <c r="W102" s="44"/>
      <c r="X102" s="44"/>
      <c r="Y102" s="44"/>
      <c r="Z102" s="44"/>
    </row>
    <row r="103" ht="9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78"/>
      <c r="R103" s="44"/>
      <c r="S103" s="44"/>
      <c r="T103" s="44"/>
      <c r="U103" s="44"/>
      <c r="V103" s="44"/>
      <c r="W103" s="44"/>
      <c r="X103" s="44"/>
      <c r="Y103" s="44"/>
      <c r="Z103" s="44"/>
    </row>
    <row r="104" ht="9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78"/>
      <c r="R104" s="44"/>
      <c r="S104" s="44"/>
      <c r="T104" s="44"/>
      <c r="U104" s="44"/>
      <c r="V104" s="44"/>
      <c r="W104" s="44"/>
      <c r="X104" s="44"/>
      <c r="Y104" s="44"/>
      <c r="Z104" s="44"/>
    </row>
    <row r="105" ht="9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78"/>
      <c r="R105" s="44"/>
      <c r="S105" s="44"/>
      <c r="T105" s="44"/>
      <c r="U105" s="44"/>
      <c r="V105" s="44"/>
      <c r="W105" s="44"/>
      <c r="X105" s="44"/>
      <c r="Y105" s="44"/>
      <c r="Z105" s="44"/>
    </row>
    <row r="106" ht="9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78"/>
      <c r="R106" s="44"/>
      <c r="S106" s="44"/>
      <c r="T106" s="44"/>
      <c r="U106" s="44"/>
      <c r="V106" s="44"/>
      <c r="W106" s="44"/>
      <c r="X106" s="44"/>
      <c r="Y106" s="44"/>
      <c r="Z106" s="44"/>
    </row>
    <row r="107" ht="9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78"/>
      <c r="R107" s="44"/>
      <c r="S107" s="44"/>
      <c r="T107" s="44"/>
      <c r="U107" s="44"/>
      <c r="V107" s="44"/>
      <c r="W107" s="44"/>
      <c r="X107" s="44"/>
      <c r="Y107" s="44"/>
      <c r="Z107" s="44"/>
    </row>
    <row r="108" ht="9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78"/>
      <c r="R108" s="44"/>
      <c r="S108" s="44"/>
      <c r="T108" s="44"/>
      <c r="U108" s="44"/>
      <c r="V108" s="44"/>
      <c r="W108" s="44"/>
      <c r="X108" s="44"/>
      <c r="Y108" s="44"/>
      <c r="Z108" s="44"/>
    </row>
    <row r="109" ht="9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78"/>
      <c r="R109" s="44"/>
      <c r="S109" s="44"/>
      <c r="T109" s="44"/>
      <c r="U109" s="44"/>
      <c r="V109" s="44"/>
      <c r="W109" s="44"/>
      <c r="X109" s="44"/>
      <c r="Y109" s="44"/>
      <c r="Z109" s="44"/>
    </row>
    <row r="110" ht="9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78"/>
      <c r="R110" s="44"/>
      <c r="S110" s="44"/>
      <c r="T110" s="44"/>
      <c r="U110" s="44"/>
      <c r="V110" s="44"/>
      <c r="W110" s="44"/>
      <c r="X110" s="44"/>
      <c r="Y110" s="44"/>
      <c r="Z110" s="44"/>
    </row>
    <row r="111" ht="9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78"/>
      <c r="R111" s="44"/>
      <c r="S111" s="44"/>
      <c r="T111" s="44"/>
      <c r="U111" s="44"/>
      <c r="V111" s="44"/>
      <c r="W111" s="44"/>
      <c r="X111" s="44"/>
      <c r="Y111" s="44"/>
      <c r="Z111" s="44"/>
    </row>
    <row r="112" ht="9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78"/>
      <c r="R112" s="44"/>
      <c r="S112" s="44"/>
      <c r="T112" s="44"/>
      <c r="U112" s="44"/>
      <c r="V112" s="44"/>
      <c r="W112" s="44"/>
      <c r="X112" s="44"/>
      <c r="Y112" s="44"/>
      <c r="Z112" s="44"/>
    </row>
    <row r="113" ht="9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78"/>
      <c r="R113" s="44"/>
      <c r="S113" s="44"/>
      <c r="T113" s="44"/>
      <c r="U113" s="44"/>
      <c r="V113" s="44"/>
      <c r="W113" s="44"/>
      <c r="X113" s="44"/>
      <c r="Y113" s="44"/>
      <c r="Z113" s="44"/>
    </row>
    <row r="114" ht="9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78"/>
      <c r="R114" s="44"/>
      <c r="S114" s="44"/>
      <c r="T114" s="44"/>
      <c r="U114" s="44"/>
      <c r="V114" s="44"/>
      <c r="W114" s="44"/>
      <c r="X114" s="44"/>
      <c r="Y114" s="44"/>
      <c r="Z114" s="44"/>
    </row>
    <row r="115" ht="9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78"/>
      <c r="R115" s="44"/>
      <c r="S115" s="44"/>
      <c r="T115" s="44"/>
      <c r="U115" s="44"/>
      <c r="V115" s="44"/>
      <c r="W115" s="44"/>
      <c r="X115" s="44"/>
      <c r="Y115" s="44"/>
      <c r="Z115" s="44"/>
    </row>
    <row r="116" ht="9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78"/>
      <c r="R116" s="44"/>
      <c r="S116" s="44"/>
      <c r="T116" s="44"/>
      <c r="U116" s="44"/>
      <c r="V116" s="44"/>
      <c r="W116" s="44"/>
      <c r="X116" s="44"/>
      <c r="Y116" s="44"/>
      <c r="Z116" s="44"/>
    </row>
    <row r="117" ht="9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78"/>
      <c r="R117" s="44"/>
      <c r="S117" s="44"/>
      <c r="T117" s="44"/>
      <c r="U117" s="44"/>
      <c r="V117" s="44"/>
      <c r="W117" s="44"/>
      <c r="X117" s="44"/>
      <c r="Y117" s="44"/>
      <c r="Z117" s="44"/>
    </row>
    <row r="118" ht="9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78"/>
      <c r="R118" s="44"/>
      <c r="S118" s="44"/>
      <c r="T118" s="44"/>
      <c r="U118" s="44"/>
      <c r="V118" s="44"/>
      <c r="W118" s="44"/>
      <c r="X118" s="44"/>
      <c r="Y118" s="44"/>
      <c r="Z118" s="44"/>
    </row>
    <row r="119" ht="9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78"/>
      <c r="R119" s="44"/>
      <c r="S119" s="44"/>
      <c r="T119" s="44"/>
      <c r="U119" s="44"/>
      <c r="V119" s="44"/>
      <c r="W119" s="44"/>
      <c r="X119" s="44"/>
      <c r="Y119" s="44"/>
      <c r="Z119" s="44"/>
    </row>
    <row r="120" ht="9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78"/>
      <c r="R120" s="44"/>
      <c r="S120" s="44"/>
      <c r="T120" s="44"/>
      <c r="U120" s="44"/>
      <c r="V120" s="44"/>
      <c r="W120" s="44"/>
      <c r="X120" s="44"/>
      <c r="Y120" s="44"/>
      <c r="Z120" s="44"/>
    </row>
    <row r="121" ht="9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78"/>
      <c r="R121" s="44"/>
      <c r="S121" s="44"/>
      <c r="T121" s="44"/>
      <c r="U121" s="44"/>
      <c r="V121" s="44"/>
      <c r="W121" s="44"/>
      <c r="X121" s="44"/>
      <c r="Y121" s="44"/>
      <c r="Z121" s="44"/>
    </row>
    <row r="122" ht="9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78"/>
      <c r="R122" s="44"/>
      <c r="S122" s="44"/>
      <c r="T122" s="44"/>
      <c r="U122" s="44"/>
      <c r="V122" s="44"/>
      <c r="W122" s="44"/>
      <c r="X122" s="44"/>
      <c r="Y122" s="44"/>
      <c r="Z122" s="44"/>
    </row>
    <row r="123" ht="9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78"/>
      <c r="R123" s="44"/>
      <c r="S123" s="44"/>
      <c r="T123" s="44"/>
      <c r="U123" s="44"/>
      <c r="V123" s="44"/>
      <c r="W123" s="44"/>
      <c r="X123" s="44"/>
      <c r="Y123" s="44"/>
      <c r="Z123" s="44"/>
    </row>
    <row r="124" ht="9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78"/>
      <c r="R124" s="44"/>
      <c r="S124" s="44"/>
      <c r="T124" s="44"/>
      <c r="U124" s="44"/>
      <c r="V124" s="44"/>
      <c r="W124" s="44"/>
      <c r="X124" s="44"/>
      <c r="Y124" s="44"/>
      <c r="Z124" s="44"/>
    </row>
    <row r="125" ht="9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78"/>
      <c r="R125" s="44"/>
      <c r="S125" s="44"/>
      <c r="T125" s="44"/>
      <c r="U125" s="44"/>
      <c r="V125" s="44"/>
      <c r="W125" s="44"/>
      <c r="X125" s="44"/>
      <c r="Y125" s="44"/>
      <c r="Z125" s="44"/>
    </row>
    <row r="126" ht="9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78"/>
      <c r="R126" s="44"/>
      <c r="S126" s="44"/>
      <c r="T126" s="44"/>
      <c r="U126" s="44"/>
      <c r="V126" s="44"/>
      <c r="W126" s="44"/>
      <c r="X126" s="44"/>
      <c r="Y126" s="44"/>
      <c r="Z126" s="44"/>
    </row>
    <row r="127" ht="9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78"/>
      <c r="R127" s="44"/>
      <c r="S127" s="44"/>
      <c r="T127" s="44"/>
      <c r="U127" s="44"/>
      <c r="V127" s="44"/>
      <c r="W127" s="44"/>
      <c r="X127" s="44"/>
      <c r="Y127" s="44"/>
      <c r="Z127" s="44"/>
    </row>
    <row r="128" ht="9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78"/>
      <c r="R128" s="44"/>
      <c r="S128" s="44"/>
      <c r="T128" s="44"/>
      <c r="U128" s="44"/>
      <c r="V128" s="44"/>
      <c r="W128" s="44"/>
      <c r="X128" s="44"/>
      <c r="Y128" s="44"/>
      <c r="Z128" s="44"/>
    </row>
    <row r="129" ht="9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78"/>
      <c r="R129" s="44"/>
      <c r="S129" s="44"/>
      <c r="T129" s="44"/>
      <c r="U129" s="44"/>
      <c r="V129" s="44"/>
      <c r="W129" s="44"/>
      <c r="X129" s="44"/>
      <c r="Y129" s="44"/>
      <c r="Z129" s="44"/>
    </row>
    <row r="130" ht="9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78"/>
      <c r="R130" s="44"/>
      <c r="S130" s="44"/>
      <c r="T130" s="44"/>
      <c r="U130" s="44"/>
      <c r="V130" s="44"/>
      <c r="W130" s="44"/>
      <c r="X130" s="44"/>
      <c r="Y130" s="44"/>
      <c r="Z130" s="44"/>
    </row>
    <row r="131" ht="9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78"/>
      <c r="R131" s="44"/>
      <c r="S131" s="44"/>
      <c r="T131" s="44"/>
      <c r="U131" s="44"/>
      <c r="V131" s="44"/>
      <c r="W131" s="44"/>
      <c r="X131" s="44"/>
      <c r="Y131" s="44"/>
      <c r="Z131" s="44"/>
    </row>
    <row r="132" ht="9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78"/>
      <c r="R132" s="44"/>
      <c r="S132" s="44"/>
      <c r="T132" s="44"/>
      <c r="U132" s="44"/>
      <c r="V132" s="44"/>
      <c r="W132" s="44"/>
      <c r="X132" s="44"/>
      <c r="Y132" s="44"/>
      <c r="Z132" s="44"/>
    </row>
    <row r="133" ht="9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78"/>
      <c r="R133" s="44"/>
      <c r="S133" s="44"/>
      <c r="T133" s="44"/>
      <c r="U133" s="44"/>
      <c r="V133" s="44"/>
      <c r="W133" s="44"/>
      <c r="X133" s="44"/>
      <c r="Y133" s="44"/>
      <c r="Z133" s="44"/>
    </row>
    <row r="134" ht="9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78"/>
      <c r="R134" s="44"/>
      <c r="S134" s="44"/>
      <c r="T134" s="44"/>
      <c r="U134" s="44"/>
      <c r="V134" s="44"/>
      <c r="W134" s="44"/>
      <c r="X134" s="44"/>
      <c r="Y134" s="44"/>
      <c r="Z134" s="44"/>
    </row>
    <row r="135" ht="9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78"/>
      <c r="R135" s="44"/>
      <c r="S135" s="44"/>
      <c r="T135" s="44"/>
      <c r="U135" s="44"/>
      <c r="V135" s="44"/>
      <c r="W135" s="44"/>
      <c r="X135" s="44"/>
      <c r="Y135" s="44"/>
      <c r="Z135" s="44"/>
    </row>
    <row r="136" ht="9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78"/>
      <c r="R136" s="44"/>
      <c r="S136" s="44"/>
      <c r="T136" s="44"/>
      <c r="U136" s="44"/>
      <c r="V136" s="44"/>
      <c r="W136" s="44"/>
      <c r="X136" s="44"/>
      <c r="Y136" s="44"/>
      <c r="Z136" s="44"/>
    </row>
    <row r="137" ht="9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78"/>
      <c r="R137" s="44"/>
      <c r="S137" s="44"/>
      <c r="T137" s="44"/>
      <c r="U137" s="44"/>
      <c r="V137" s="44"/>
      <c r="W137" s="44"/>
      <c r="X137" s="44"/>
      <c r="Y137" s="44"/>
      <c r="Z137" s="44"/>
    </row>
    <row r="138" ht="9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78"/>
      <c r="R138" s="44"/>
      <c r="S138" s="44"/>
      <c r="T138" s="44"/>
      <c r="U138" s="44"/>
      <c r="V138" s="44"/>
      <c r="W138" s="44"/>
      <c r="X138" s="44"/>
      <c r="Y138" s="44"/>
      <c r="Z138" s="44"/>
    </row>
    <row r="139" ht="9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78"/>
      <c r="R139" s="44"/>
      <c r="S139" s="44"/>
      <c r="T139" s="44"/>
      <c r="U139" s="44"/>
      <c r="V139" s="44"/>
      <c r="W139" s="44"/>
      <c r="X139" s="44"/>
      <c r="Y139" s="44"/>
      <c r="Z139" s="44"/>
    </row>
    <row r="140" ht="9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78"/>
      <c r="R140" s="44"/>
      <c r="S140" s="44"/>
      <c r="T140" s="44"/>
      <c r="U140" s="44"/>
      <c r="V140" s="44"/>
      <c r="W140" s="44"/>
      <c r="X140" s="44"/>
      <c r="Y140" s="44"/>
      <c r="Z140" s="44"/>
    </row>
    <row r="141" ht="9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78"/>
      <c r="R141" s="44"/>
      <c r="S141" s="44"/>
      <c r="T141" s="44"/>
      <c r="U141" s="44"/>
      <c r="V141" s="44"/>
      <c r="W141" s="44"/>
      <c r="X141" s="44"/>
      <c r="Y141" s="44"/>
      <c r="Z141" s="44"/>
    </row>
    <row r="142" ht="9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78"/>
      <c r="R142" s="44"/>
      <c r="S142" s="44"/>
      <c r="T142" s="44"/>
      <c r="U142" s="44"/>
      <c r="V142" s="44"/>
      <c r="W142" s="44"/>
      <c r="X142" s="44"/>
      <c r="Y142" s="44"/>
      <c r="Z142" s="44"/>
    </row>
    <row r="143" ht="9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78"/>
      <c r="R143" s="44"/>
      <c r="S143" s="44"/>
      <c r="T143" s="44"/>
      <c r="U143" s="44"/>
      <c r="V143" s="44"/>
      <c r="W143" s="44"/>
      <c r="X143" s="44"/>
      <c r="Y143" s="44"/>
      <c r="Z143" s="44"/>
    </row>
    <row r="144" ht="9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78"/>
      <c r="R144" s="44"/>
      <c r="S144" s="44"/>
      <c r="T144" s="44"/>
      <c r="U144" s="44"/>
      <c r="V144" s="44"/>
      <c r="W144" s="44"/>
      <c r="X144" s="44"/>
      <c r="Y144" s="44"/>
      <c r="Z144" s="44"/>
    </row>
    <row r="145" ht="9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78"/>
      <c r="R145" s="44"/>
      <c r="S145" s="44"/>
      <c r="T145" s="44"/>
      <c r="U145" s="44"/>
      <c r="V145" s="44"/>
      <c r="W145" s="44"/>
      <c r="X145" s="44"/>
      <c r="Y145" s="44"/>
      <c r="Z145" s="44"/>
    </row>
    <row r="146" ht="9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78"/>
      <c r="R146" s="44"/>
      <c r="S146" s="44"/>
      <c r="T146" s="44"/>
      <c r="U146" s="44"/>
      <c r="V146" s="44"/>
      <c r="W146" s="44"/>
      <c r="X146" s="44"/>
      <c r="Y146" s="44"/>
      <c r="Z146" s="44"/>
    </row>
    <row r="147" ht="9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78"/>
      <c r="R147" s="44"/>
      <c r="S147" s="44"/>
      <c r="T147" s="44"/>
      <c r="U147" s="44"/>
      <c r="V147" s="44"/>
      <c r="W147" s="44"/>
      <c r="X147" s="44"/>
      <c r="Y147" s="44"/>
      <c r="Z147" s="44"/>
    </row>
    <row r="148" ht="9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78"/>
      <c r="R148" s="44"/>
      <c r="S148" s="44"/>
      <c r="T148" s="44"/>
      <c r="U148" s="44"/>
      <c r="V148" s="44"/>
      <c r="W148" s="44"/>
      <c r="X148" s="44"/>
      <c r="Y148" s="44"/>
      <c r="Z148" s="44"/>
    </row>
    <row r="149" ht="9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78"/>
      <c r="R149" s="44"/>
      <c r="S149" s="44"/>
      <c r="T149" s="44"/>
      <c r="U149" s="44"/>
      <c r="V149" s="44"/>
      <c r="W149" s="44"/>
      <c r="X149" s="44"/>
      <c r="Y149" s="44"/>
      <c r="Z149" s="44"/>
    </row>
    <row r="150" ht="9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78"/>
      <c r="R150" s="44"/>
      <c r="S150" s="44"/>
      <c r="T150" s="44"/>
      <c r="U150" s="44"/>
      <c r="V150" s="44"/>
      <c r="W150" s="44"/>
      <c r="X150" s="44"/>
      <c r="Y150" s="44"/>
      <c r="Z150" s="44"/>
    </row>
    <row r="151" ht="9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78"/>
      <c r="R151" s="44"/>
      <c r="S151" s="44"/>
      <c r="T151" s="44"/>
      <c r="U151" s="44"/>
      <c r="V151" s="44"/>
      <c r="W151" s="44"/>
      <c r="X151" s="44"/>
      <c r="Y151" s="44"/>
      <c r="Z151" s="44"/>
    </row>
    <row r="152" ht="9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78"/>
      <c r="R152" s="44"/>
      <c r="S152" s="44"/>
      <c r="T152" s="44"/>
      <c r="U152" s="44"/>
      <c r="V152" s="44"/>
      <c r="W152" s="44"/>
      <c r="X152" s="44"/>
      <c r="Y152" s="44"/>
      <c r="Z152" s="44"/>
    </row>
    <row r="153" ht="9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78"/>
      <c r="R153" s="44"/>
      <c r="S153" s="44"/>
      <c r="T153" s="44"/>
      <c r="U153" s="44"/>
      <c r="V153" s="44"/>
      <c r="W153" s="44"/>
      <c r="X153" s="44"/>
      <c r="Y153" s="44"/>
      <c r="Z153" s="44"/>
    </row>
    <row r="154" ht="9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78"/>
      <c r="R154" s="44"/>
      <c r="S154" s="44"/>
      <c r="T154" s="44"/>
      <c r="U154" s="44"/>
      <c r="V154" s="44"/>
      <c r="W154" s="44"/>
      <c r="X154" s="44"/>
      <c r="Y154" s="44"/>
      <c r="Z154" s="44"/>
    </row>
    <row r="155" ht="9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78"/>
      <c r="R155" s="44"/>
      <c r="S155" s="44"/>
      <c r="T155" s="44"/>
      <c r="U155" s="44"/>
      <c r="V155" s="44"/>
      <c r="W155" s="44"/>
      <c r="X155" s="44"/>
      <c r="Y155" s="44"/>
      <c r="Z155" s="44"/>
    </row>
    <row r="156" ht="9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78"/>
      <c r="R156" s="44"/>
      <c r="S156" s="44"/>
      <c r="T156" s="44"/>
      <c r="U156" s="44"/>
      <c r="V156" s="44"/>
      <c r="W156" s="44"/>
      <c r="X156" s="44"/>
      <c r="Y156" s="44"/>
      <c r="Z156" s="44"/>
    </row>
    <row r="157" ht="9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78"/>
      <c r="R157" s="44"/>
      <c r="S157" s="44"/>
      <c r="T157" s="44"/>
      <c r="U157" s="44"/>
      <c r="V157" s="44"/>
      <c r="W157" s="44"/>
      <c r="X157" s="44"/>
      <c r="Y157" s="44"/>
      <c r="Z157" s="44"/>
    </row>
    <row r="158" ht="9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78"/>
      <c r="R158" s="44"/>
      <c r="S158" s="44"/>
      <c r="T158" s="44"/>
      <c r="U158" s="44"/>
      <c r="V158" s="44"/>
      <c r="W158" s="44"/>
      <c r="X158" s="44"/>
      <c r="Y158" s="44"/>
      <c r="Z158" s="44"/>
    </row>
    <row r="159" ht="9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78"/>
      <c r="R159" s="44"/>
      <c r="S159" s="44"/>
      <c r="T159" s="44"/>
      <c r="U159" s="44"/>
      <c r="V159" s="44"/>
      <c r="W159" s="44"/>
      <c r="X159" s="44"/>
      <c r="Y159" s="44"/>
      <c r="Z159" s="44"/>
    </row>
    <row r="160" ht="9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78"/>
      <c r="R160" s="44"/>
      <c r="S160" s="44"/>
      <c r="T160" s="44"/>
      <c r="U160" s="44"/>
      <c r="V160" s="44"/>
      <c r="W160" s="44"/>
      <c r="X160" s="44"/>
      <c r="Y160" s="44"/>
      <c r="Z160" s="44"/>
    </row>
    <row r="161" ht="9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78"/>
      <c r="R161" s="44"/>
      <c r="S161" s="44"/>
      <c r="T161" s="44"/>
      <c r="U161" s="44"/>
      <c r="V161" s="44"/>
      <c r="W161" s="44"/>
      <c r="X161" s="44"/>
      <c r="Y161" s="44"/>
      <c r="Z161" s="44"/>
    </row>
    <row r="162" ht="9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78"/>
      <c r="R162" s="44"/>
      <c r="S162" s="44"/>
      <c r="T162" s="44"/>
      <c r="U162" s="44"/>
      <c r="V162" s="44"/>
      <c r="W162" s="44"/>
      <c r="X162" s="44"/>
      <c r="Y162" s="44"/>
      <c r="Z162" s="44"/>
    </row>
    <row r="163" ht="9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78"/>
      <c r="R163" s="44"/>
      <c r="S163" s="44"/>
      <c r="T163" s="44"/>
      <c r="U163" s="44"/>
      <c r="V163" s="44"/>
      <c r="W163" s="44"/>
      <c r="X163" s="44"/>
      <c r="Y163" s="44"/>
      <c r="Z163" s="44"/>
    </row>
    <row r="164" ht="9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78"/>
      <c r="R164" s="44"/>
      <c r="S164" s="44"/>
      <c r="T164" s="44"/>
      <c r="U164" s="44"/>
      <c r="V164" s="44"/>
      <c r="W164" s="44"/>
      <c r="X164" s="44"/>
      <c r="Y164" s="44"/>
      <c r="Z164" s="44"/>
    </row>
    <row r="165" ht="9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78"/>
      <c r="R165" s="44"/>
      <c r="S165" s="44"/>
      <c r="T165" s="44"/>
      <c r="U165" s="44"/>
      <c r="V165" s="44"/>
      <c r="W165" s="44"/>
      <c r="X165" s="44"/>
      <c r="Y165" s="44"/>
      <c r="Z165" s="44"/>
    </row>
    <row r="166" ht="9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78"/>
      <c r="R166" s="44"/>
      <c r="S166" s="44"/>
      <c r="T166" s="44"/>
      <c r="U166" s="44"/>
      <c r="V166" s="44"/>
      <c r="W166" s="44"/>
      <c r="X166" s="44"/>
      <c r="Y166" s="44"/>
      <c r="Z166" s="44"/>
    </row>
    <row r="167" ht="9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78"/>
      <c r="R167" s="44"/>
      <c r="S167" s="44"/>
      <c r="T167" s="44"/>
      <c r="U167" s="44"/>
      <c r="V167" s="44"/>
      <c r="W167" s="44"/>
      <c r="X167" s="44"/>
      <c r="Y167" s="44"/>
      <c r="Z167" s="44"/>
    </row>
    <row r="168" ht="9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78"/>
      <c r="R168" s="44"/>
      <c r="S168" s="44"/>
      <c r="T168" s="44"/>
      <c r="U168" s="44"/>
      <c r="V168" s="44"/>
      <c r="W168" s="44"/>
      <c r="X168" s="44"/>
      <c r="Y168" s="44"/>
      <c r="Z168" s="44"/>
    </row>
    <row r="169" ht="9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78"/>
      <c r="R169" s="44"/>
      <c r="S169" s="44"/>
      <c r="T169" s="44"/>
      <c r="U169" s="44"/>
      <c r="V169" s="44"/>
      <c r="W169" s="44"/>
      <c r="X169" s="44"/>
      <c r="Y169" s="44"/>
      <c r="Z169" s="44"/>
    </row>
    <row r="170" ht="9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78"/>
      <c r="R170" s="44"/>
      <c r="S170" s="44"/>
      <c r="T170" s="44"/>
      <c r="U170" s="44"/>
      <c r="V170" s="44"/>
      <c r="W170" s="44"/>
      <c r="X170" s="44"/>
      <c r="Y170" s="44"/>
      <c r="Z170" s="44"/>
    </row>
    <row r="171" ht="9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78"/>
      <c r="R171" s="44"/>
      <c r="S171" s="44"/>
      <c r="T171" s="44"/>
      <c r="U171" s="44"/>
      <c r="V171" s="44"/>
      <c r="W171" s="44"/>
      <c r="X171" s="44"/>
      <c r="Y171" s="44"/>
      <c r="Z171" s="44"/>
    </row>
    <row r="172" ht="9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78"/>
      <c r="R172" s="44"/>
      <c r="S172" s="44"/>
      <c r="T172" s="44"/>
      <c r="U172" s="44"/>
      <c r="V172" s="44"/>
      <c r="W172" s="44"/>
      <c r="X172" s="44"/>
      <c r="Y172" s="44"/>
      <c r="Z172" s="44"/>
    </row>
    <row r="173" ht="9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78"/>
      <c r="R173" s="44"/>
      <c r="S173" s="44"/>
      <c r="T173" s="44"/>
      <c r="U173" s="44"/>
      <c r="V173" s="44"/>
      <c r="W173" s="44"/>
      <c r="X173" s="44"/>
      <c r="Y173" s="44"/>
      <c r="Z173" s="44"/>
    </row>
    <row r="174" ht="9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78"/>
      <c r="R174" s="44"/>
      <c r="S174" s="44"/>
      <c r="T174" s="44"/>
      <c r="U174" s="44"/>
      <c r="V174" s="44"/>
      <c r="W174" s="44"/>
      <c r="X174" s="44"/>
      <c r="Y174" s="44"/>
      <c r="Z174" s="44"/>
    </row>
    <row r="175" ht="9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78"/>
      <c r="R175" s="44"/>
      <c r="S175" s="44"/>
      <c r="T175" s="44"/>
      <c r="U175" s="44"/>
      <c r="V175" s="44"/>
      <c r="W175" s="44"/>
      <c r="X175" s="44"/>
      <c r="Y175" s="44"/>
      <c r="Z175" s="44"/>
    </row>
    <row r="176" ht="9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78"/>
      <c r="R176" s="44"/>
      <c r="S176" s="44"/>
      <c r="T176" s="44"/>
      <c r="U176" s="44"/>
      <c r="V176" s="44"/>
      <c r="W176" s="44"/>
      <c r="X176" s="44"/>
      <c r="Y176" s="44"/>
      <c r="Z176" s="44"/>
    </row>
    <row r="177" ht="9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78"/>
      <c r="R177" s="44"/>
      <c r="S177" s="44"/>
      <c r="T177" s="44"/>
      <c r="U177" s="44"/>
      <c r="V177" s="44"/>
      <c r="W177" s="44"/>
      <c r="X177" s="44"/>
      <c r="Y177" s="44"/>
      <c r="Z177" s="44"/>
    </row>
    <row r="178" ht="9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78"/>
      <c r="R178" s="44"/>
      <c r="S178" s="44"/>
      <c r="T178" s="44"/>
      <c r="U178" s="44"/>
      <c r="V178" s="44"/>
      <c r="W178" s="44"/>
      <c r="X178" s="44"/>
      <c r="Y178" s="44"/>
      <c r="Z178" s="44"/>
    </row>
    <row r="179" ht="9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78"/>
      <c r="R179" s="44"/>
      <c r="S179" s="44"/>
      <c r="T179" s="44"/>
      <c r="U179" s="44"/>
      <c r="V179" s="44"/>
      <c r="W179" s="44"/>
      <c r="X179" s="44"/>
      <c r="Y179" s="44"/>
      <c r="Z179" s="44"/>
    </row>
    <row r="180" ht="9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78"/>
      <c r="R180" s="44"/>
      <c r="S180" s="44"/>
      <c r="T180" s="44"/>
      <c r="U180" s="44"/>
      <c r="V180" s="44"/>
      <c r="W180" s="44"/>
      <c r="X180" s="44"/>
      <c r="Y180" s="44"/>
      <c r="Z180" s="44"/>
    </row>
    <row r="181" ht="9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78"/>
      <c r="R181" s="44"/>
      <c r="S181" s="44"/>
      <c r="T181" s="44"/>
      <c r="U181" s="44"/>
      <c r="V181" s="44"/>
      <c r="W181" s="44"/>
      <c r="X181" s="44"/>
      <c r="Y181" s="44"/>
      <c r="Z181" s="44"/>
    </row>
    <row r="182" ht="9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78"/>
      <c r="R182" s="44"/>
      <c r="S182" s="44"/>
      <c r="T182" s="44"/>
      <c r="U182" s="44"/>
      <c r="V182" s="44"/>
      <c r="W182" s="44"/>
      <c r="X182" s="44"/>
      <c r="Y182" s="44"/>
      <c r="Z182" s="44"/>
    </row>
    <row r="183" ht="9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78"/>
      <c r="R183" s="44"/>
      <c r="S183" s="44"/>
      <c r="T183" s="44"/>
      <c r="U183" s="44"/>
      <c r="V183" s="44"/>
      <c r="W183" s="44"/>
      <c r="X183" s="44"/>
      <c r="Y183" s="44"/>
      <c r="Z183" s="44"/>
    </row>
    <row r="184" ht="9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78"/>
      <c r="R184" s="44"/>
      <c r="S184" s="44"/>
      <c r="T184" s="44"/>
      <c r="U184" s="44"/>
      <c r="V184" s="44"/>
      <c r="W184" s="44"/>
      <c r="X184" s="44"/>
      <c r="Y184" s="44"/>
      <c r="Z184" s="44"/>
    </row>
    <row r="185" ht="9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78"/>
      <c r="R185" s="44"/>
      <c r="S185" s="44"/>
      <c r="T185" s="44"/>
      <c r="U185" s="44"/>
      <c r="V185" s="44"/>
      <c r="W185" s="44"/>
      <c r="X185" s="44"/>
      <c r="Y185" s="44"/>
      <c r="Z185" s="44"/>
    </row>
    <row r="186" ht="9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78"/>
      <c r="R186" s="44"/>
      <c r="S186" s="44"/>
      <c r="T186" s="44"/>
      <c r="U186" s="44"/>
      <c r="V186" s="44"/>
      <c r="W186" s="44"/>
      <c r="X186" s="44"/>
      <c r="Y186" s="44"/>
      <c r="Z186" s="44"/>
    </row>
    <row r="187" ht="9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78"/>
      <c r="R187" s="44"/>
      <c r="S187" s="44"/>
      <c r="T187" s="44"/>
      <c r="U187" s="44"/>
      <c r="V187" s="44"/>
      <c r="W187" s="44"/>
      <c r="X187" s="44"/>
      <c r="Y187" s="44"/>
      <c r="Z187" s="44"/>
    </row>
    <row r="188" ht="9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78"/>
      <c r="R188" s="44"/>
      <c r="S188" s="44"/>
      <c r="T188" s="44"/>
      <c r="U188" s="44"/>
      <c r="V188" s="44"/>
      <c r="W188" s="44"/>
      <c r="X188" s="44"/>
      <c r="Y188" s="44"/>
      <c r="Z188" s="44"/>
    </row>
    <row r="189" ht="9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78"/>
      <c r="R189" s="44"/>
      <c r="S189" s="44"/>
      <c r="T189" s="44"/>
      <c r="U189" s="44"/>
      <c r="V189" s="44"/>
      <c r="W189" s="44"/>
      <c r="X189" s="44"/>
      <c r="Y189" s="44"/>
      <c r="Z189" s="44"/>
    </row>
    <row r="190" ht="9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78"/>
      <c r="R190" s="44"/>
      <c r="S190" s="44"/>
      <c r="T190" s="44"/>
      <c r="U190" s="44"/>
      <c r="V190" s="44"/>
      <c r="W190" s="44"/>
      <c r="X190" s="44"/>
      <c r="Y190" s="44"/>
      <c r="Z190" s="44"/>
    </row>
    <row r="191" ht="9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78"/>
      <c r="R191" s="44"/>
      <c r="S191" s="44"/>
      <c r="T191" s="44"/>
      <c r="U191" s="44"/>
      <c r="V191" s="44"/>
      <c r="W191" s="44"/>
      <c r="X191" s="44"/>
      <c r="Y191" s="44"/>
      <c r="Z191" s="44"/>
    </row>
    <row r="192" ht="9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78"/>
      <c r="R192" s="44"/>
      <c r="S192" s="44"/>
      <c r="T192" s="44"/>
      <c r="U192" s="44"/>
      <c r="V192" s="44"/>
      <c r="W192" s="44"/>
      <c r="X192" s="44"/>
      <c r="Y192" s="44"/>
      <c r="Z192" s="44"/>
    </row>
    <row r="193" ht="9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78"/>
      <c r="R193" s="44"/>
      <c r="S193" s="44"/>
      <c r="T193" s="44"/>
      <c r="U193" s="44"/>
      <c r="V193" s="44"/>
      <c r="W193" s="44"/>
      <c r="X193" s="44"/>
      <c r="Y193" s="44"/>
      <c r="Z193" s="44"/>
    </row>
    <row r="194" ht="9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78"/>
      <c r="R194" s="44"/>
      <c r="S194" s="44"/>
      <c r="T194" s="44"/>
      <c r="U194" s="44"/>
      <c r="V194" s="44"/>
      <c r="W194" s="44"/>
      <c r="X194" s="44"/>
      <c r="Y194" s="44"/>
      <c r="Z194" s="44"/>
    </row>
    <row r="195" ht="9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78"/>
      <c r="R195" s="44"/>
      <c r="S195" s="44"/>
      <c r="T195" s="44"/>
      <c r="U195" s="44"/>
      <c r="V195" s="44"/>
      <c r="W195" s="44"/>
      <c r="X195" s="44"/>
      <c r="Y195" s="44"/>
      <c r="Z195" s="44"/>
    </row>
    <row r="196" ht="9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78"/>
      <c r="R196" s="44"/>
      <c r="S196" s="44"/>
      <c r="T196" s="44"/>
      <c r="U196" s="44"/>
      <c r="V196" s="44"/>
      <c r="W196" s="44"/>
      <c r="X196" s="44"/>
      <c r="Y196" s="44"/>
      <c r="Z196" s="44"/>
    </row>
    <row r="197" ht="9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78"/>
      <c r="R197" s="44"/>
      <c r="S197" s="44"/>
      <c r="T197" s="44"/>
      <c r="U197" s="44"/>
      <c r="V197" s="44"/>
      <c r="W197" s="44"/>
      <c r="X197" s="44"/>
      <c r="Y197" s="44"/>
      <c r="Z197" s="44"/>
    </row>
    <row r="198" ht="9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78"/>
      <c r="R198" s="44"/>
      <c r="S198" s="44"/>
      <c r="T198" s="44"/>
      <c r="U198" s="44"/>
      <c r="V198" s="44"/>
      <c r="W198" s="44"/>
      <c r="X198" s="44"/>
      <c r="Y198" s="44"/>
      <c r="Z198" s="44"/>
    </row>
    <row r="199" ht="9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78"/>
      <c r="R199" s="44"/>
      <c r="S199" s="44"/>
      <c r="T199" s="44"/>
      <c r="U199" s="44"/>
      <c r="V199" s="44"/>
      <c r="W199" s="44"/>
      <c r="X199" s="44"/>
      <c r="Y199" s="44"/>
      <c r="Z199" s="44"/>
    </row>
    <row r="200" ht="9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78"/>
      <c r="R200" s="44"/>
      <c r="S200" s="44"/>
      <c r="T200" s="44"/>
      <c r="U200" s="44"/>
      <c r="V200" s="44"/>
      <c r="W200" s="44"/>
      <c r="X200" s="44"/>
      <c r="Y200" s="44"/>
      <c r="Z200" s="44"/>
    </row>
    <row r="201" ht="9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78"/>
      <c r="R201" s="44"/>
      <c r="S201" s="44"/>
      <c r="T201" s="44"/>
      <c r="U201" s="44"/>
      <c r="V201" s="44"/>
      <c r="W201" s="44"/>
      <c r="X201" s="44"/>
      <c r="Y201" s="44"/>
      <c r="Z201" s="44"/>
    </row>
    <row r="202" ht="9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78"/>
      <c r="R202" s="44"/>
      <c r="S202" s="44"/>
      <c r="T202" s="44"/>
      <c r="U202" s="44"/>
      <c r="V202" s="44"/>
      <c r="W202" s="44"/>
      <c r="X202" s="44"/>
      <c r="Y202" s="44"/>
      <c r="Z202" s="44"/>
    </row>
    <row r="203" ht="9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78"/>
      <c r="R203" s="44"/>
      <c r="S203" s="44"/>
      <c r="T203" s="44"/>
      <c r="U203" s="44"/>
      <c r="V203" s="44"/>
      <c r="W203" s="44"/>
      <c r="X203" s="44"/>
      <c r="Y203" s="44"/>
      <c r="Z203" s="44"/>
    </row>
    <row r="204" ht="9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78"/>
      <c r="R204" s="44"/>
      <c r="S204" s="44"/>
      <c r="T204" s="44"/>
      <c r="U204" s="44"/>
      <c r="V204" s="44"/>
      <c r="W204" s="44"/>
      <c r="X204" s="44"/>
      <c r="Y204" s="44"/>
      <c r="Z204" s="44"/>
    </row>
    <row r="205" ht="9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78"/>
      <c r="R205" s="44"/>
      <c r="S205" s="44"/>
      <c r="T205" s="44"/>
      <c r="U205" s="44"/>
      <c r="V205" s="44"/>
      <c r="W205" s="44"/>
      <c r="X205" s="44"/>
      <c r="Y205" s="44"/>
      <c r="Z205" s="44"/>
    </row>
    <row r="206" ht="9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78"/>
      <c r="R206" s="44"/>
      <c r="S206" s="44"/>
      <c r="T206" s="44"/>
      <c r="U206" s="44"/>
      <c r="V206" s="44"/>
      <c r="W206" s="44"/>
      <c r="X206" s="44"/>
      <c r="Y206" s="44"/>
      <c r="Z206" s="44"/>
    </row>
    <row r="207" ht="9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78"/>
      <c r="R207" s="44"/>
      <c r="S207" s="44"/>
      <c r="T207" s="44"/>
      <c r="U207" s="44"/>
      <c r="V207" s="44"/>
      <c r="W207" s="44"/>
      <c r="X207" s="44"/>
      <c r="Y207" s="44"/>
      <c r="Z207" s="44"/>
    </row>
    <row r="208" ht="9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78"/>
      <c r="R208" s="44"/>
      <c r="S208" s="44"/>
      <c r="T208" s="44"/>
      <c r="U208" s="44"/>
      <c r="V208" s="44"/>
      <c r="W208" s="44"/>
      <c r="X208" s="44"/>
      <c r="Y208" s="44"/>
      <c r="Z208" s="44"/>
    </row>
    <row r="209" ht="9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78"/>
      <c r="R209" s="44"/>
      <c r="S209" s="44"/>
      <c r="T209" s="44"/>
      <c r="U209" s="44"/>
      <c r="V209" s="44"/>
      <c r="W209" s="44"/>
      <c r="X209" s="44"/>
      <c r="Y209" s="44"/>
      <c r="Z209" s="44"/>
    </row>
    <row r="210" ht="9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78"/>
      <c r="R210" s="44"/>
      <c r="S210" s="44"/>
      <c r="T210" s="44"/>
      <c r="U210" s="44"/>
      <c r="V210" s="44"/>
      <c r="W210" s="44"/>
      <c r="X210" s="44"/>
      <c r="Y210" s="44"/>
      <c r="Z210" s="44"/>
    </row>
    <row r="211" ht="9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78"/>
      <c r="R211" s="44"/>
      <c r="S211" s="44"/>
      <c r="T211" s="44"/>
      <c r="U211" s="44"/>
      <c r="V211" s="44"/>
      <c r="W211" s="44"/>
      <c r="X211" s="44"/>
      <c r="Y211" s="44"/>
      <c r="Z211" s="44"/>
    </row>
    <row r="212" ht="9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78"/>
      <c r="R212" s="44"/>
      <c r="S212" s="44"/>
      <c r="T212" s="44"/>
      <c r="U212" s="44"/>
      <c r="V212" s="44"/>
      <c r="W212" s="44"/>
      <c r="X212" s="44"/>
      <c r="Y212" s="44"/>
      <c r="Z212" s="44"/>
    </row>
    <row r="213" ht="9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78"/>
      <c r="R213" s="44"/>
      <c r="S213" s="44"/>
      <c r="T213" s="44"/>
      <c r="U213" s="44"/>
      <c r="V213" s="44"/>
      <c r="W213" s="44"/>
      <c r="X213" s="44"/>
      <c r="Y213" s="44"/>
      <c r="Z213" s="44"/>
    </row>
    <row r="214" ht="9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78"/>
      <c r="R214" s="44"/>
      <c r="S214" s="44"/>
      <c r="T214" s="44"/>
      <c r="U214" s="44"/>
      <c r="V214" s="44"/>
      <c r="W214" s="44"/>
      <c r="X214" s="44"/>
      <c r="Y214" s="44"/>
      <c r="Z214" s="44"/>
    </row>
    <row r="215" ht="9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78"/>
      <c r="R215" s="44"/>
      <c r="S215" s="44"/>
      <c r="T215" s="44"/>
      <c r="U215" s="44"/>
      <c r="V215" s="44"/>
      <c r="W215" s="44"/>
      <c r="X215" s="44"/>
      <c r="Y215" s="44"/>
      <c r="Z215" s="44"/>
    </row>
    <row r="216" ht="9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78"/>
      <c r="R216" s="44"/>
      <c r="S216" s="44"/>
      <c r="T216" s="44"/>
      <c r="U216" s="44"/>
      <c r="V216" s="44"/>
      <c r="W216" s="44"/>
      <c r="X216" s="44"/>
      <c r="Y216" s="44"/>
      <c r="Z216" s="44"/>
    </row>
    <row r="217" ht="9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78"/>
      <c r="R217" s="44"/>
      <c r="S217" s="44"/>
      <c r="T217" s="44"/>
      <c r="U217" s="44"/>
      <c r="V217" s="44"/>
      <c r="W217" s="44"/>
      <c r="X217" s="44"/>
      <c r="Y217" s="44"/>
      <c r="Z217" s="44"/>
    </row>
    <row r="218" ht="9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78"/>
      <c r="R218" s="44"/>
      <c r="S218" s="44"/>
      <c r="T218" s="44"/>
      <c r="U218" s="44"/>
      <c r="V218" s="44"/>
      <c r="W218" s="44"/>
      <c r="X218" s="44"/>
      <c r="Y218" s="44"/>
      <c r="Z218" s="44"/>
    </row>
    <row r="219" ht="9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78"/>
      <c r="R219" s="44"/>
      <c r="S219" s="44"/>
      <c r="T219" s="44"/>
      <c r="U219" s="44"/>
      <c r="V219" s="44"/>
      <c r="W219" s="44"/>
      <c r="X219" s="44"/>
      <c r="Y219" s="44"/>
      <c r="Z219" s="44"/>
    </row>
    <row r="220" ht="9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78"/>
      <c r="R220" s="44"/>
      <c r="S220" s="44"/>
      <c r="T220" s="44"/>
      <c r="U220" s="44"/>
      <c r="V220" s="44"/>
      <c r="W220" s="44"/>
      <c r="X220" s="44"/>
      <c r="Y220" s="44"/>
      <c r="Z220" s="44"/>
    </row>
    <row r="221" ht="9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78"/>
      <c r="R221" s="44"/>
      <c r="S221" s="44"/>
      <c r="T221" s="44"/>
      <c r="U221" s="44"/>
      <c r="V221" s="44"/>
      <c r="W221" s="44"/>
      <c r="X221" s="44"/>
      <c r="Y221" s="44"/>
      <c r="Z221" s="44"/>
    </row>
    <row r="222" ht="9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78"/>
      <c r="R222" s="44"/>
      <c r="S222" s="44"/>
      <c r="T222" s="44"/>
      <c r="U222" s="44"/>
      <c r="V222" s="44"/>
      <c r="W222" s="44"/>
      <c r="X222" s="44"/>
      <c r="Y222" s="44"/>
      <c r="Z222" s="44"/>
    </row>
    <row r="223" ht="9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78"/>
      <c r="R223" s="44"/>
      <c r="S223" s="44"/>
      <c r="T223" s="44"/>
      <c r="U223" s="44"/>
      <c r="V223" s="44"/>
      <c r="W223" s="44"/>
      <c r="X223" s="44"/>
      <c r="Y223" s="44"/>
      <c r="Z223" s="44"/>
    </row>
    <row r="224" ht="9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78"/>
      <c r="R224" s="44"/>
      <c r="S224" s="44"/>
      <c r="T224" s="44"/>
      <c r="U224" s="44"/>
      <c r="V224" s="44"/>
      <c r="W224" s="44"/>
      <c r="X224" s="44"/>
      <c r="Y224" s="44"/>
      <c r="Z224" s="44"/>
    </row>
    <row r="225" ht="9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78"/>
      <c r="R225" s="44"/>
      <c r="S225" s="44"/>
      <c r="T225" s="44"/>
      <c r="U225" s="44"/>
      <c r="V225" s="44"/>
      <c r="W225" s="44"/>
      <c r="X225" s="44"/>
      <c r="Y225" s="44"/>
      <c r="Z225" s="44"/>
    </row>
    <row r="226" ht="9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78"/>
      <c r="R226" s="44"/>
      <c r="S226" s="44"/>
      <c r="T226" s="44"/>
      <c r="U226" s="44"/>
      <c r="V226" s="44"/>
      <c r="W226" s="44"/>
      <c r="X226" s="44"/>
      <c r="Y226" s="44"/>
      <c r="Z226" s="44"/>
    </row>
    <row r="227" ht="9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78"/>
      <c r="R227" s="44"/>
      <c r="S227" s="44"/>
      <c r="T227" s="44"/>
      <c r="U227" s="44"/>
      <c r="V227" s="44"/>
      <c r="W227" s="44"/>
      <c r="X227" s="44"/>
      <c r="Y227" s="44"/>
      <c r="Z227" s="44"/>
    </row>
    <row r="228" ht="9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78"/>
      <c r="R228" s="44"/>
      <c r="S228" s="44"/>
      <c r="T228" s="44"/>
      <c r="U228" s="44"/>
      <c r="V228" s="44"/>
      <c r="W228" s="44"/>
      <c r="X228" s="44"/>
      <c r="Y228" s="44"/>
      <c r="Z228" s="44"/>
    </row>
    <row r="229" ht="9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78"/>
      <c r="R229" s="44"/>
      <c r="S229" s="44"/>
      <c r="T229" s="44"/>
      <c r="U229" s="44"/>
      <c r="V229" s="44"/>
      <c r="W229" s="44"/>
      <c r="X229" s="44"/>
      <c r="Y229" s="44"/>
      <c r="Z229" s="44"/>
    </row>
    <row r="230" ht="9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78"/>
      <c r="R230" s="44"/>
      <c r="S230" s="44"/>
      <c r="T230" s="44"/>
      <c r="U230" s="44"/>
      <c r="V230" s="44"/>
      <c r="W230" s="44"/>
      <c r="X230" s="44"/>
      <c r="Y230" s="44"/>
      <c r="Z230" s="44"/>
    </row>
    <row r="231" ht="9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78"/>
      <c r="R231" s="44"/>
      <c r="S231" s="44"/>
      <c r="T231" s="44"/>
      <c r="U231" s="44"/>
      <c r="V231" s="44"/>
      <c r="W231" s="44"/>
      <c r="X231" s="44"/>
      <c r="Y231" s="44"/>
      <c r="Z231" s="44"/>
    </row>
    <row r="232" ht="9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78"/>
      <c r="R232" s="44"/>
      <c r="S232" s="44"/>
      <c r="T232" s="44"/>
      <c r="U232" s="44"/>
      <c r="V232" s="44"/>
      <c r="W232" s="44"/>
      <c r="X232" s="44"/>
      <c r="Y232" s="44"/>
      <c r="Z232" s="44"/>
    </row>
    <row r="233" ht="9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78"/>
      <c r="R233" s="44"/>
      <c r="S233" s="44"/>
      <c r="T233" s="44"/>
      <c r="U233" s="44"/>
      <c r="V233" s="44"/>
      <c r="W233" s="44"/>
      <c r="X233" s="44"/>
      <c r="Y233" s="44"/>
      <c r="Z233" s="44"/>
    </row>
    <row r="234" ht="9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78"/>
      <c r="R234" s="44"/>
      <c r="S234" s="44"/>
      <c r="T234" s="44"/>
      <c r="U234" s="44"/>
      <c r="V234" s="44"/>
      <c r="W234" s="44"/>
      <c r="X234" s="44"/>
      <c r="Y234" s="44"/>
      <c r="Z234" s="44"/>
    </row>
    <row r="235" ht="9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78"/>
      <c r="R235" s="44"/>
      <c r="S235" s="44"/>
      <c r="T235" s="44"/>
      <c r="U235" s="44"/>
      <c r="V235" s="44"/>
      <c r="W235" s="44"/>
      <c r="X235" s="44"/>
      <c r="Y235" s="44"/>
      <c r="Z235" s="44"/>
    </row>
    <row r="236" ht="9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78"/>
      <c r="R236" s="44"/>
      <c r="S236" s="44"/>
      <c r="T236" s="44"/>
      <c r="U236" s="44"/>
      <c r="V236" s="44"/>
      <c r="W236" s="44"/>
      <c r="X236" s="44"/>
      <c r="Y236" s="44"/>
      <c r="Z236" s="44"/>
    </row>
    <row r="237" ht="9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78"/>
      <c r="R237" s="44"/>
      <c r="S237" s="44"/>
      <c r="T237" s="44"/>
      <c r="U237" s="44"/>
      <c r="V237" s="44"/>
      <c r="W237" s="44"/>
      <c r="X237" s="44"/>
      <c r="Y237" s="44"/>
      <c r="Z237" s="44"/>
    </row>
    <row r="238" ht="9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78"/>
      <c r="R238" s="44"/>
      <c r="S238" s="44"/>
      <c r="T238" s="44"/>
      <c r="U238" s="44"/>
      <c r="V238" s="44"/>
      <c r="W238" s="44"/>
      <c r="X238" s="44"/>
      <c r="Y238" s="44"/>
      <c r="Z238" s="44"/>
    </row>
    <row r="239" ht="9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78"/>
      <c r="R239" s="44"/>
      <c r="S239" s="44"/>
      <c r="T239" s="44"/>
      <c r="U239" s="44"/>
      <c r="V239" s="44"/>
      <c r="W239" s="44"/>
      <c r="X239" s="44"/>
      <c r="Y239" s="44"/>
      <c r="Z239" s="44"/>
    </row>
    <row r="240" ht="9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78"/>
      <c r="R240" s="44"/>
      <c r="S240" s="44"/>
      <c r="T240" s="44"/>
      <c r="U240" s="44"/>
      <c r="V240" s="44"/>
      <c r="W240" s="44"/>
      <c r="X240" s="44"/>
      <c r="Y240" s="44"/>
      <c r="Z240" s="44"/>
    </row>
    <row r="241" ht="9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78"/>
      <c r="R241" s="44"/>
      <c r="S241" s="44"/>
      <c r="T241" s="44"/>
      <c r="U241" s="44"/>
      <c r="V241" s="44"/>
      <c r="W241" s="44"/>
      <c r="X241" s="44"/>
      <c r="Y241" s="44"/>
      <c r="Z241" s="44"/>
    </row>
    <row r="242" ht="9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78"/>
      <c r="R242" s="44"/>
      <c r="S242" s="44"/>
      <c r="T242" s="44"/>
      <c r="U242" s="44"/>
      <c r="V242" s="44"/>
      <c r="W242" s="44"/>
      <c r="X242" s="44"/>
      <c r="Y242" s="44"/>
      <c r="Z242" s="44"/>
    </row>
    <row r="243" ht="9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78"/>
      <c r="R243" s="44"/>
      <c r="S243" s="44"/>
      <c r="T243" s="44"/>
      <c r="U243" s="44"/>
      <c r="V243" s="44"/>
      <c r="W243" s="44"/>
      <c r="X243" s="44"/>
      <c r="Y243" s="44"/>
      <c r="Z243" s="44"/>
    </row>
    <row r="244" ht="9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78"/>
      <c r="R244" s="44"/>
      <c r="S244" s="44"/>
      <c r="T244" s="44"/>
      <c r="U244" s="44"/>
      <c r="V244" s="44"/>
      <c r="W244" s="44"/>
      <c r="X244" s="44"/>
      <c r="Y244" s="44"/>
      <c r="Z244" s="44"/>
    </row>
    <row r="245" ht="9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78"/>
      <c r="R245" s="44"/>
      <c r="S245" s="44"/>
      <c r="T245" s="44"/>
      <c r="U245" s="44"/>
      <c r="V245" s="44"/>
      <c r="W245" s="44"/>
      <c r="X245" s="44"/>
      <c r="Y245" s="44"/>
      <c r="Z245" s="44"/>
    </row>
    <row r="246" ht="9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78"/>
      <c r="R246" s="44"/>
      <c r="S246" s="44"/>
      <c r="T246" s="44"/>
      <c r="U246" s="44"/>
      <c r="V246" s="44"/>
      <c r="W246" s="44"/>
      <c r="X246" s="44"/>
      <c r="Y246" s="44"/>
      <c r="Z246" s="44"/>
    </row>
    <row r="247" ht="9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78"/>
      <c r="R247" s="44"/>
      <c r="S247" s="44"/>
      <c r="T247" s="44"/>
      <c r="U247" s="44"/>
      <c r="V247" s="44"/>
      <c r="W247" s="44"/>
      <c r="X247" s="44"/>
      <c r="Y247" s="44"/>
      <c r="Z247" s="44"/>
    </row>
    <row r="248" ht="9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78"/>
      <c r="R248" s="44"/>
      <c r="S248" s="44"/>
      <c r="T248" s="44"/>
      <c r="U248" s="44"/>
      <c r="V248" s="44"/>
      <c r="W248" s="44"/>
      <c r="X248" s="44"/>
      <c r="Y248" s="44"/>
      <c r="Z248" s="44"/>
    </row>
    <row r="249" ht="9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78"/>
      <c r="R249" s="44"/>
      <c r="S249" s="44"/>
      <c r="T249" s="44"/>
      <c r="U249" s="44"/>
      <c r="V249" s="44"/>
      <c r="W249" s="44"/>
      <c r="X249" s="44"/>
      <c r="Y249" s="44"/>
      <c r="Z249" s="44"/>
    </row>
    <row r="250" ht="9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78"/>
      <c r="R250" s="44"/>
      <c r="S250" s="44"/>
      <c r="T250" s="44"/>
      <c r="U250" s="44"/>
      <c r="V250" s="44"/>
      <c r="W250" s="44"/>
      <c r="X250" s="44"/>
      <c r="Y250" s="44"/>
      <c r="Z250" s="44"/>
    </row>
    <row r="251" ht="9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78"/>
      <c r="R251" s="44"/>
      <c r="S251" s="44"/>
      <c r="T251" s="44"/>
      <c r="U251" s="44"/>
      <c r="V251" s="44"/>
      <c r="W251" s="44"/>
      <c r="X251" s="44"/>
      <c r="Y251" s="44"/>
      <c r="Z251" s="44"/>
    </row>
    <row r="252" ht="9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78"/>
      <c r="R252" s="44"/>
      <c r="S252" s="44"/>
      <c r="T252" s="44"/>
      <c r="U252" s="44"/>
      <c r="V252" s="44"/>
      <c r="W252" s="44"/>
      <c r="X252" s="44"/>
      <c r="Y252" s="44"/>
      <c r="Z252" s="44"/>
    </row>
    <row r="253" ht="9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78"/>
      <c r="R253" s="44"/>
      <c r="S253" s="44"/>
      <c r="T253" s="44"/>
      <c r="U253" s="44"/>
      <c r="V253" s="44"/>
      <c r="W253" s="44"/>
      <c r="X253" s="44"/>
      <c r="Y253" s="44"/>
      <c r="Z253" s="44"/>
    </row>
    <row r="254" ht="9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78"/>
      <c r="R254" s="44"/>
      <c r="S254" s="44"/>
      <c r="T254" s="44"/>
      <c r="U254" s="44"/>
      <c r="V254" s="44"/>
      <c r="W254" s="44"/>
      <c r="X254" s="44"/>
      <c r="Y254" s="44"/>
      <c r="Z254" s="44"/>
    </row>
    <row r="255" ht="9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78"/>
      <c r="R255" s="44"/>
      <c r="S255" s="44"/>
      <c r="T255" s="44"/>
      <c r="U255" s="44"/>
      <c r="V255" s="44"/>
      <c r="W255" s="44"/>
      <c r="X255" s="44"/>
      <c r="Y255" s="44"/>
      <c r="Z255" s="44"/>
    </row>
    <row r="256" ht="9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78"/>
      <c r="R256" s="44"/>
      <c r="S256" s="44"/>
      <c r="T256" s="44"/>
      <c r="U256" s="44"/>
      <c r="V256" s="44"/>
      <c r="W256" s="44"/>
      <c r="X256" s="44"/>
      <c r="Y256" s="44"/>
      <c r="Z256" s="44"/>
    </row>
    <row r="257" ht="9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78"/>
      <c r="R257" s="44"/>
      <c r="S257" s="44"/>
      <c r="T257" s="44"/>
      <c r="U257" s="44"/>
      <c r="V257" s="44"/>
      <c r="W257" s="44"/>
      <c r="X257" s="44"/>
      <c r="Y257" s="44"/>
      <c r="Z257" s="44"/>
    </row>
    <row r="258" ht="9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78"/>
      <c r="R258" s="44"/>
      <c r="S258" s="44"/>
      <c r="T258" s="44"/>
      <c r="U258" s="44"/>
      <c r="V258" s="44"/>
      <c r="W258" s="44"/>
      <c r="X258" s="44"/>
      <c r="Y258" s="44"/>
      <c r="Z258" s="44"/>
    </row>
    <row r="259" ht="9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78"/>
      <c r="R259" s="44"/>
      <c r="S259" s="44"/>
      <c r="T259" s="44"/>
      <c r="U259" s="44"/>
      <c r="V259" s="44"/>
      <c r="W259" s="44"/>
      <c r="X259" s="44"/>
      <c r="Y259" s="44"/>
      <c r="Z259" s="44"/>
    </row>
    <row r="260" ht="9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78"/>
      <c r="R260" s="44"/>
      <c r="S260" s="44"/>
      <c r="T260" s="44"/>
      <c r="U260" s="44"/>
      <c r="V260" s="44"/>
      <c r="W260" s="44"/>
      <c r="X260" s="44"/>
      <c r="Y260" s="44"/>
      <c r="Z260" s="44"/>
    </row>
    <row r="261" ht="9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78"/>
      <c r="R261" s="44"/>
      <c r="S261" s="44"/>
      <c r="T261" s="44"/>
      <c r="U261" s="44"/>
      <c r="V261" s="44"/>
      <c r="W261" s="44"/>
      <c r="X261" s="44"/>
      <c r="Y261" s="44"/>
      <c r="Z261" s="44"/>
    </row>
    <row r="262" ht="9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78"/>
      <c r="R262" s="44"/>
      <c r="S262" s="44"/>
      <c r="T262" s="44"/>
      <c r="U262" s="44"/>
      <c r="V262" s="44"/>
      <c r="W262" s="44"/>
      <c r="X262" s="44"/>
      <c r="Y262" s="44"/>
      <c r="Z262" s="44"/>
    </row>
    <row r="263" ht="9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78"/>
      <c r="R263" s="44"/>
      <c r="S263" s="44"/>
      <c r="T263" s="44"/>
      <c r="U263" s="44"/>
      <c r="V263" s="44"/>
      <c r="W263" s="44"/>
      <c r="X263" s="44"/>
      <c r="Y263" s="44"/>
      <c r="Z263" s="44"/>
    </row>
    <row r="264" ht="9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78"/>
      <c r="R264" s="44"/>
      <c r="S264" s="44"/>
      <c r="T264" s="44"/>
      <c r="U264" s="44"/>
      <c r="V264" s="44"/>
      <c r="W264" s="44"/>
      <c r="X264" s="44"/>
      <c r="Y264" s="44"/>
      <c r="Z264" s="44"/>
    </row>
    <row r="265" ht="9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78"/>
      <c r="R265" s="44"/>
      <c r="S265" s="44"/>
      <c r="T265" s="44"/>
      <c r="U265" s="44"/>
      <c r="V265" s="44"/>
      <c r="W265" s="44"/>
      <c r="X265" s="44"/>
      <c r="Y265" s="44"/>
      <c r="Z265" s="44"/>
    </row>
    <row r="266" ht="9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78"/>
      <c r="R266" s="44"/>
      <c r="S266" s="44"/>
      <c r="T266" s="44"/>
      <c r="U266" s="44"/>
      <c r="V266" s="44"/>
      <c r="W266" s="44"/>
      <c r="X266" s="44"/>
      <c r="Y266" s="44"/>
      <c r="Z266" s="44"/>
    </row>
    <row r="267" ht="9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78"/>
      <c r="R267" s="44"/>
      <c r="S267" s="44"/>
      <c r="T267" s="44"/>
      <c r="U267" s="44"/>
      <c r="V267" s="44"/>
      <c r="W267" s="44"/>
      <c r="X267" s="44"/>
      <c r="Y267" s="44"/>
      <c r="Z267" s="44"/>
    </row>
    <row r="268" ht="9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78"/>
      <c r="R268" s="44"/>
      <c r="S268" s="44"/>
      <c r="T268" s="44"/>
      <c r="U268" s="44"/>
      <c r="V268" s="44"/>
      <c r="W268" s="44"/>
      <c r="X268" s="44"/>
      <c r="Y268" s="44"/>
      <c r="Z268" s="44"/>
    </row>
    <row r="269" ht="9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78"/>
      <c r="R269" s="44"/>
      <c r="S269" s="44"/>
      <c r="T269" s="44"/>
      <c r="U269" s="44"/>
      <c r="V269" s="44"/>
      <c r="W269" s="44"/>
      <c r="X269" s="44"/>
      <c r="Y269" s="44"/>
      <c r="Z269" s="44"/>
    </row>
    <row r="270" ht="9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78"/>
      <c r="R270" s="44"/>
      <c r="S270" s="44"/>
      <c r="T270" s="44"/>
      <c r="U270" s="44"/>
      <c r="V270" s="44"/>
      <c r="W270" s="44"/>
      <c r="X270" s="44"/>
      <c r="Y270" s="44"/>
      <c r="Z270" s="44"/>
    </row>
    <row r="271" ht="9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78"/>
      <c r="R271" s="44"/>
      <c r="S271" s="44"/>
      <c r="T271" s="44"/>
      <c r="U271" s="44"/>
      <c r="V271" s="44"/>
      <c r="W271" s="44"/>
      <c r="X271" s="44"/>
      <c r="Y271" s="44"/>
      <c r="Z271" s="44"/>
    </row>
    <row r="272" ht="9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78"/>
      <c r="R272" s="44"/>
      <c r="S272" s="44"/>
      <c r="T272" s="44"/>
      <c r="U272" s="44"/>
      <c r="V272" s="44"/>
      <c r="W272" s="44"/>
      <c r="X272" s="44"/>
      <c r="Y272" s="44"/>
      <c r="Z272" s="44"/>
    </row>
    <row r="273" ht="9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78"/>
      <c r="R273" s="44"/>
      <c r="S273" s="44"/>
      <c r="T273" s="44"/>
      <c r="U273" s="44"/>
      <c r="V273" s="44"/>
      <c r="W273" s="44"/>
      <c r="X273" s="44"/>
      <c r="Y273" s="44"/>
      <c r="Z273" s="44"/>
    </row>
    <row r="274" ht="9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78"/>
      <c r="R274" s="44"/>
      <c r="S274" s="44"/>
      <c r="T274" s="44"/>
      <c r="U274" s="44"/>
      <c r="V274" s="44"/>
      <c r="W274" s="44"/>
      <c r="X274" s="44"/>
      <c r="Y274" s="44"/>
      <c r="Z274" s="44"/>
    </row>
    <row r="275" ht="9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78"/>
      <c r="R275" s="44"/>
      <c r="S275" s="44"/>
      <c r="T275" s="44"/>
      <c r="U275" s="44"/>
      <c r="V275" s="44"/>
      <c r="W275" s="44"/>
      <c r="X275" s="44"/>
      <c r="Y275" s="44"/>
      <c r="Z275" s="44"/>
    </row>
    <row r="276" ht="9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78"/>
      <c r="R276" s="44"/>
      <c r="S276" s="44"/>
      <c r="T276" s="44"/>
      <c r="U276" s="44"/>
      <c r="V276" s="44"/>
      <c r="W276" s="44"/>
      <c r="X276" s="44"/>
      <c r="Y276" s="44"/>
      <c r="Z276" s="44"/>
    </row>
    <row r="277" ht="9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78"/>
      <c r="R277" s="44"/>
      <c r="S277" s="44"/>
      <c r="T277" s="44"/>
      <c r="U277" s="44"/>
      <c r="V277" s="44"/>
      <c r="W277" s="44"/>
      <c r="X277" s="44"/>
      <c r="Y277" s="44"/>
      <c r="Z277" s="44"/>
    </row>
    <row r="278" ht="9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78"/>
      <c r="R278" s="44"/>
      <c r="S278" s="44"/>
      <c r="T278" s="44"/>
      <c r="U278" s="44"/>
      <c r="V278" s="44"/>
      <c r="W278" s="44"/>
      <c r="X278" s="44"/>
      <c r="Y278" s="44"/>
      <c r="Z278" s="44"/>
    </row>
    <row r="279" ht="9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78"/>
      <c r="R279" s="44"/>
      <c r="S279" s="44"/>
      <c r="T279" s="44"/>
      <c r="U279" s="44"/>
      <c r="V279" s="44"/>
      <c r="W279" s="44"/>
      <c r="X279" s="44"/>
      <c r="Y279" s="44"/>
      <c r="Z279" s="44"/>
    </row>
    <row r="280" ht="9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78"/>
      <c r="R280" s="44"/>
      <c r="S280" s="44"/>
      <c r="T280" s="44"/>
      <c r="U280" s="44"/>
      <c r="V280" s="44"/>
      <c r="W280" s="44"/>
      <c r="X280" s="44"/>
      <c r="Y280" s="44"/>
      <c r="Z280" s="44"/>
    </row>
    <row r="281" ht="9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78"/>
      <c r="R281" s="44"/>
      <c r="S281" s="44"/>
      <c r="T281" s="44"/>
      <c r="U281" s="44"/>
      <c r="V281" s="44"/>
      <c r="W281" s="44"/>
      <c r="X281" s="44"/>
      <c r="Y281" s="44"/>
      <c r="Z281" s="44"/>
    </row>
    <row r="282" ht="9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78"/>
      <c r="R282" s="44"/>
      <c r="S282" s="44"/>
      <c r="T282" s="44"/>
      <c r="U282" s="44"/>
      <c r="V282" s="44"/>
      <c r="W282" s="44"/>
      <c r="X282" s="44"/>
      <c r="Y282" s="44"/>
      <c r="Z282" s="44"/>
    </row>
    <row r="283" ht="9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78"/>
      <c r="R283" s="44"/>
      <c r="S283" s="44"/>
      <c r="T283" s="44"/>
      <c r="U283" s="44"/>
      <c r="V283" s="44"/>
      <c r="W283" s="44"/>
      <c r="X283" s="44"/>
      <c r="Y283" s="44"/>
      <c r="Z283" s="44"/>
    </row>
    <row r="284" ht="9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78"/>
      <c r="R284" s="44"/>
      <c r="S284" s="44"/>
      <c r="T284" s="44"/>
      <c r="U284" s="44"/>
      <c r="V284" s="44"/>
      <c r="W284" s="44"/>
      <c r="X284" s="44"/>
      <c r="Y284" s="44"/>
      <c r="Z284" s="44"/>
    </row>
    <row r="285" ht="9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78"/>
      <c r="R285" s="44"/>
      <c r="S285" s="44"/>
      <c r="T285" s="44"/>
      <c r="U285" s="44"/>
      <c r="V285" s="44"/>
      <c r="W285" s="44"/>
      <c r="X285" s="44"/>
      <c r="Y285" s="44"/>
      <c r="Z285" s="44"/>
    </row>
    <row r="286" ht="9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78"/>
      <c r="R286" s="44"/>
      <c r="S286" s="44"/>
      <c r="T286" s="44"/>
      <c r="U286" s="44"/>
      <c r="V286" s="44"/>
      <c r="W286" s="44"/>
      <c r="X286" s="44"/>
      <c r="Y286" s="44"/>
      <c r="Z286" s="44"/>
    </row>
    <row r="287" ht="9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78"/>
      <c r="R287" s="44"/>
      <c r="S287" s="44"/>
      <c r="T287" s="44"/>
      <c r="U287" s="44"/>
      <c r="V287" s="44"/>
      <c r="W287" s="44"/>
      <c r="X287" s="44"/>
      <c r="Y287" s="44"/>
      <c r="Z287" s="44"/>
    </row>
    <row r="288" ht="9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78"/>
      <c r="R288" s="44"/>
      <c r="S288" s="44"/>
      <c r="T288" s="44"/>
      <c r="U288" s="44"/>
      <c r="V288" s="44"/>
      <c r="W288" s="44"/>
      <c r="X288" s="44"/>
      <c r="Y288" s="44"/>
      <c r="Z288" s="44"/>
    </row>
    <row r="289" ht="9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78"/>
      <c r="R289" s="44"/>
      <c r="S289" s="44"/>
      <c r="T289" s="44"/>
      <c r="U289" s="44"/>
      <c r="V289" s="44"/>
      <c r="W289" s="44"/>
      <c r="X289" s="44"/>
      <c r="Y289" s="44"/>
      <c r="Z289" s="44"/>
    </row>
    <row r="290" ht="9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78"/>
      <c r="R290" s="44"/>
      <c r="S290" s="44"/>
      <c r="T290" s="44"/>
      <c r="U290" s="44"/>
      <c r="V290" s="44"/>
      <c r="W290" s="44"/>
      <c r="X290" s="44"/>
      <c r="Y290" s="44"/>
      <c r="Z290" s="44"/>
    </row>
    <row r="291" ht="9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78"/>
      <c r="R291" s="44"/>
      <c r="S291" s="44"/>
      <c r="T291" s="44"/>
      <c r="U291" s="44"/>
      <c r="V291" s="44"/>
      <c r="W291" s="44"/>
      <c r="X291" s="44"/>
      <c r="Y291" s="44"/>
      <c r="Z291" s="44"/>
    </row>
    <row r="292" ht="9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78"/>
      <c r="R292" s="44"/>
      <c r="S292" s="44"/>
      <c r="T292" s="44"/>
      <c r="U292" s="44"/>
      <c r="V292" s="44"/>
      <c r="W292" s="44"/>
      <c r="X292" s="44"/>
      <c r="Y292" s="44"/>
      <c r="Z292" s="44"/>
    </row>
    <row r="293" ht="9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78"/>
      <c r="R293" s="44"/>
      <c r="S293" s="44"/>
      <c r="T293" s="44"/>
      <c r="U293" s="44"/>
      <c r="V293" s="44"/>
      <c r="W293" s="44"/>
      <c r="X293" s="44"/>
      <c r="Y293" s="44"/>
      <c r="Z293" s="44"/>
    </row>
    <row r="294" ht="9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78"/>
      <c r="R294" s="44"/>
      <c r="S294" s="44"/>
      <c r="T294" s="44"/>
      <c r="U294" s="44"/>
      <c r="V294" s="44"/>
      <c r="W294" s="44"/>
      <c r="X294" s="44"/>
      <c r="Y294" s="44"/>
      <c r="Z294" s="44"/>
    </row>
    <row r="295" ht="9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78"/>
      <c r="R295" s="44"/>
      <c r="S295" s="44"/>
      <c r="T295" s="44"/>
      <c r="U295" s="44"/>
      <c r="V295" s="44"/>
      <c r="W295" s="44"/>
      <c r="X295" s="44"/>
      <c r="Y295" s="44"/>
      <c r="Z295" s="44"/>
    </row>
    <row r="296" ht="9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78"/>
      <c r="R296" s="44"/>
      <c r="S296" s="44"/>
      <c r="T296" s="44"/>
      <c r="U296" s="44"/>
      <c r="V296" s="44"/>
      <c r="W296" s="44"/>
      <c r="X296" s="44"/>
      <c r="Y296" s="44"/>
      <c r="Z296" s="44"/>
    </row>
    <row r="297" ht="9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78"/>
      <c r="R297" s="44"/>
      <c r="S297" s="44"/>
      <c r="T297" s="44"/>
      <c r="U297" s="44"/>
      <c r="V297" s="44"/>
      <c r="W297" s="44"/>
      <c r="X297" s="44"/>
      <c r="Y297" s="44"/>
      <c r="Z297" s="44"/>
    </row>
    <row r="298" ht="9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78"/>
      <c r="R298" s="44"/>
      <c r="S298" s="44"/>
      <c r="T298" s="44"/>
      <c r="U298" s="44"/>
      <c r="V298" s="44"/>
      <c r="W298" s="44"/>
      <c r="X298" s="44"/>
      <c r="Y298" s="44"/>
      <c r="Z298" s="44"/>
    </row>
    <row r="299" ht="9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78"/>
      <c r="R299" s="44"/>
      <c r="S299" s="44"/>
      <c r="T299" s="44"/>
      <c r="U299" s="44"/>
      <c r="V299" s="44"/>
      <c r="W299" s="44"/>
      <c r="X299" s="44"/>
      <c r="Y299" s="44"/>
      <c r="Z299" s="44"/>
    </row>
    <row r="300" ht="9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78"/>
      <c r="R300" s="44"/>
      <c r="S300" s="44"/>
      <c r="T300" s="44"/>
      <c r="U300" s="44"/>
      <c r="V300" s="44"/>
      <c r="W300" s="44"/>
      <c r="X300" s="44"/>
      <c r="Y300" s="44"/>
      <c r="Z300" s="44"/>
    </row>
    <row r="301" ht="9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78"/>
      <c r="R301" s="44"/>
      <c r="S301" s="44"/>
      <c r="T301" s="44"/>
      <c r="U301" s="44"/>
      <c r="V301" s="44"/>
      <c r="W301" s="44"/>
      <c r="X301" s="44"/>
      <c r="Y301" s="44"/>
      <c r="Z301" s="44"/>
    </row>
    <row r="302" ht="9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78"/>
      <c r="R302" s="44"/>
      <c r="S302" s="44"/>
      <c r="T302" s="44"/>
      <c r="U302" s="44"/>
      <c r="V302" s="44"/>
      <c r="W302" s="44"/>
      <c r="X302" s="44"/>
      <c r="Y302" s="44"/>
      <c r="Z302" s="44"/>
    </row>
    <row r="303" ht="9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78"/>
      <c r="R303" s="44"/>
      <c r="S303" s="44"/>
      <c r="T303" s="44"/>
      <c r="U303" s="44"/>
      <c r="V303" s="44"/>
      <c r="W303" s="44"/>
      <c r="X303" s="44"/>
      <c r="Y303" s="44"/>
      <c r="Z303" s="44"/>
    </row>
    <row r="304" ht="9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78"/>
      <c r="R304" s="44"/>
      <c r="S304" s="44"/>
      <c r="T304" s="44"/>
      <c r="U304" s="44"/>
      <c r="V304" s="44"/>
      <c r="W304" s="44"/>
      <c r="X304" s="44"/>
      <c r="Y304" s="44"/>
      <c r="Z304" s="44"/>
    </row>
    <row r="305" ht="9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78"/>
      <c r="R305" s="44"/>
      <c r="S305" s="44"/>
      <c r="T305" s="44"/>
      <c r="U305" s="44"/>
      <c r="V305" s="44"/>
      <c r="W305" s="44"/>
      <c r="X305" s="44"/>
      <c r="Y305" s="44"/>
      <c r="Z305" s="44"/>
    </row>
    <row r="306" ht="9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78"/>
      <c r="R306" s="44"/>
      <c r="S306" s="44"/>
      <c r="T306" s="44"/>
      <c r="U306" s="44"/>
      <c r="V306" s="44"/>
      <c r="W306" s="44"/>
      <c r="X306" s="44"/>
      <c r="Y306" s="44"/>
      <c r="Z306" s="44"/>
    </row>
    <row r="307" ht="9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78"/>
      <c r="R307" s="44"/>
      <c r="S307" s="44"/>
      <c r="T307" s="44"/>
      <c r="U307" s="44"/>
      <c r="V307" s="44"/>
      <c r="W307" s="44"/>
      <c r="X307" s="44"/>
      <c r="Y307" s="44"/>
      <c r="Z307" s="44"/>
    </row>
    <row r="308" ht="9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78"/>
      <c r="R308" s="44"/>
      <c r="S308" s="44"/>
      <c r="T308" s="44"/>
      <c r="U308" s="44"/>
      <c r="V308" s="44"/>
      <c r="W308" s="44"/>
      <c r="X308" s="44"/>
      <c r="Y308" s="44"/>
      <c r="Z308" s="44"/>
    </row>
    <row r="309" ht="9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78"/>
      <c r="R309" s="44"/>
      <c r="S309" s="44"/>
      <c r="T309" s="44"/>
      <c r="U309" s="44"/>
      <c r="V309" s="44"/>
      <c r="W309" s="44"/>
      <c r="X309" s="44"/>
      <c r="Y309" s="44"/>
      <c r="Z309" s="44"/>
    </row>
    <row r="310" ht="9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78"/>
      <c r="R310" s="44"/>
      <c r="S310" s="44"/>
      <c r="T310" s="44"/>
      <c r="U310" s="44"/>
      <c r="V310" s="44"/>
      <c r="W310" s="44"/>
      <c r="X310" s="44"/>
      <c r="Y310" s="44"/>
      <c r="Z310" s="44"/>
    </row>
    <row r="311" ht="9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78"/>
      <c r="R311" s="44"/>
      <c r="S311" s="44"/>
      <c r="T311" s="44"/>
      <c r="U311" s="44"/>
      <c r="V311" s="44"/>
      <c r="W311" s="44"/>
      <c r="X311" s="44"/>
      <c r="Y311" s="44"/>
      <c r="Z311" s="44"/>
    </row>
    <row r="312" ht="9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78"/>
      <c r="R312" s="44"/>
      <c r="S312" s="44"/>
      <c r="T312" s="44"/>
      <c r="U312" s="44"/>
      <c r="V312" s="44"/>
      <c r="W312" s="44"/>
      <c r="X312" s="44"/>
      <c r="Y312" s="44"/>
      <c r="Z312" s="44"/>
    </row>
    <row r="313" ht="9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78"/>
      <c r="R313" s="44"/>
      <c r="S313" s="44"/>
      <c r="T313" s="44"/>
      <c r="U313" s="44"/>
      <c r="V313" s="44"/>
      <c r="W313" s="44"/>
      <c r="X313" s="44"/>
      <c r="Y313" s="44"/>
      <c r="Z313" s="44"/>
    </row>
    <row r="314" ht="9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78"/>
      <c r="R314" s="44"/>
      <c r="S314" s="44"/>
      <c r="T314" s="44"/>
      <c r="U314" s="44"/>
      <c r="V314" s="44"/>
      <c r="W314" s="44"/>
      <c r="X314" s="44"/>
      <c r="Y314" s="44"/>
      <c r="Z314" s="44"/>
    </row>
    <row r="315" ht="9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78"/>
      <c r="R315" s="44"/>
      <c r="S315" s="44"/>
      <c r="T315" s="44"/>
      <c r="U315" s="44"/>
      <c r="V315" s="44"/>
      <c r="W315" s="44"/>
      <c r="X315" s="44"/>
      <c r="Y315" s="44"/>
      <c r="Z315" s="44"/>
    </row>
    <row r="316" ht="9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78"/>
      <c r="R316" s="44"/>
      <c r="S316" s="44"/>
      <c r="T316" s="44"/>
      <c r="U316" s="44"/>
      <c r="V316" s="44"/>
      <c r="W316" s="44"/>
      <c r="X316" s="44"/>
      <c r="Y316" s="44"/>
      <c r="Z316" s="44"/>
    </row>
    <row r="317" ht="9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78"/>
      <c r="R317" s="44"/>
      <c r="S317" s="44"/>
      <c r="T317" s="44"/>
      <c r="U317" s="44"/>
      <c r="V317" s="44"/>
      <c r="W317" s="44"/>
      <c r="X317" s="44"/>
      <c r="Y317" s="44"/>
      <c r="Z317" s="44"/>
    </row>
    <row r="318" ht="9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78"/>
      <c r="R318" s="44"/>
      <c r="S318" s="44"/>
      <c r="T318" s="44"/>
      <c r="U318" s="44"/>
      <c r="V318" s="44"/>
      <c r="W318" s="44"/>
      <c r="X318" s="44"/>
      <c r="Y318" s="44"/>
      <c r="Z318" s="44"/>
    </row>
    <row r="319" ht="9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78"/>
      <c r="R319" s="44"/>
      <c r="S319" s="44"/>
      <c r="T319" s="44"/>
      <c r="U319" s="44"/>
      <c r="V319" s="44"/>
      <c r="W319" s="44"/>
      <c r="X319" s="44"/>
      <c r="Y319" s="44"/>
      <c r="Z319" s="44"/>
    </row>
    <row r="320" ht="9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78"/>
      <c r="R320" s="44"/>
      <c r="S320" s="44"/>
      <c r="T320" s="44"/>
      <c r="U320" s="44"/>
      <c r="V320" s="44"/>
      <c r="W320" s="44"/>
      <c r="X320" s="44"/>
      <c r="Y320" s="44"/>
      <c r="Z320" s="44"/>
    </row>
    <row r="321" ht="9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78"/>
      <c r="R321" s="44"/>
      <c r="S321" s="44"/>
      <c r="T321" s="44"/>
      <c r="U321" s="44"/>
      <c r="V321" s="44"/>
      <c r="W321" s="44"/>
      <c r="X321" s="44"/>
      <c r="Y321" s="44"/>
      <c r="Z321" s="44"/>
    </row>
    <row r="322" ht="9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78"/>
      <c r="R322" s="44"/>
      <c r="S322" s="44"/>
      <c r="T322" s="44"/>
      <c r="U322" s="44"/>
      <c r="V322" s="44"/>
      <c r="W322" s="44"/>
      <c r="X322" s="44"/>
      <c r="Y322" s="44"/>
      <c r="Z322" s="44"/>
    </row>
    <row r="323" ht="9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78"/>
      <c r="R323" s="44"/>
      <c r="S323" s="44"/>
      <c r="T323" s="44"/>
      <c r="U323" s="44"/>
      <c r="V323" s="44"/>
      <c r="W323" s="44"/>
      <c r="X323" s="44"/>
      <c r="Y323" s="44"/>
      <c r="Z323" s="44"/>
    </row>
    <row r="324" ht="9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78"/>
      <c r="R324" s="44"/>
      <c r="S324" s="44"/>
      <c r="T324" s="44"/>
      <c r="U324" s="44"/>
      <c r="V324" s="44"/>
      <c r="W324" s="44"/>
      <c r="X324" s="44"/>
      <c r="Y324" s="44"/>
      <c r="Z324" s="44"/>
    </row>
    <row r="325" ht="9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78"/>
      <c r="R325" s="44"/>
      <c r="S325" s="44"/>
      <c r="T325" s="44"/>
      <c r="U325" s="44"/>
      <c r="V325" s="44"/>
      <c r="W325" s="44"/>
      <c r="X325" s="44"/>
      <c r="Y325" s="44"/>
      <c r="Z325" s="44"/>
    </row>
    <row r="326" ht="9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78"/>
      <c r="R326" s="44"/>
      <c r="S326" s="44"/>
      <c r="T326" s="44"/>
      <c r="U326" s="44"/>
      <c r="V326" s="44"/>
      <c r="W326" s="44"/>
      <c r="X326" s="44"/>
      <c r="Y326" s="44"/>
      <c r="Z326" s="44"/>
    </row>
    <row r="327" ht="9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78"/>
      <c r="R327" s="44"/>
      <c r="S327" s="44"/>
      <c r="T327" s="44"/>
      <c r="U327" s="44"/>
      <c r="V327" s="44"/>
      <c r="W327" s="44"/>
      <c r="X327" s="44"/>
      <c r="Y327" s="44"/>
      <c r="Z327" s="44"/>
    </row>
    <row r="328" ht="9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78"/>
      <c r="R328" s="44"/>
      <c r="S328" s="44"/>
      <c r="T328" s="44"/>
      <c r="U328" s="44"/>
      <c r="V328" s="44"/>
      <c r="W328" s="44"/>
      <c r="X328" s="44"/>
      <c r="Y328" s="44"/>
      <c r="Z328" s="44"/>
    </row>
    <row r="329" ht="9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78"/>
      <c r="R329" s="44"/>
      <c r="S329" s="44"/>
      <c r="T329" s="44"/>
      <c r="U329" s="44"/>
      <c r="V329" s="44"/>
      <c r="W329" s="44"/>
      <c r="X329" s="44"/>
      <c r="Y329" s="44"/>
      <c r="Z329" s="44"/>
    </row>
    <row r="330" ht="9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78"/>
      <c r="R330" s="44"/>
      <c r="S330" s="44"/>
      <c r="T330" s="44"/>
      <c r="U330" s="44"/>
      <c r="V330" s="44"/>
      <c r="W330" s="44"/>
      <c r="X330" s="44"/>
      <c r="Y330" s="44"/>
      <c r="Z330" s="44"/>
    </row>
    <row r="331" ht="9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78"/>
      <c r="R331" s="44"/>
      <c r="S331" s="44"/>
      <c r="T331" s="44"/>
      <c r="U331" s="44"/>
      <c r="V331" s="44"/>
      <c r="W331" s="44"/>
      <c r="X331" s="44"/>
      <c r="Y331" s="44"/>
      <c r="Z331" s="44"/>
    </row>
    <row r="332" ht="9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78"/>
      <c r="R332" s="44"/>
      <c r="S332" s="44"/>
      <c r="T332" s="44"/>
      <c r="U332" s="44"/>
      <c r="V332" s="44"/>
      <c r="W332" s="44"/>
      <c r="X332" s="44"/>
      <c r="Y332" s="44"/>
      <c r="Z332" s="44"/>
    </row>
    <row r="333" ht="9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78"/>
      <c r="R333" s="44"/>
      <c r="S333" s="44"/>
      <c r="T333" s="44"/>
      <c r="U333" s="44"/>
      <c r="V333" s="44"/>
      <c r="W333" s="44"/>
      <c r="X333" s="44"/>
      <c r="Y333" s="44"/>
      <c r="Z333" s="44"/>
    </row>
    <row r="334" ht="9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78"/>
      <c r="R334" s="44"/>
      <c r="S334" s="44"/>
      <c r="T334" s="44"/>
      <c r="U334" s="44"/>
      <c r="V334" s="44"/>
      <c r="W334" s="44"/>
      <c r="X334" s="44"/>
      <c r="Y334" s="44"/>
      <c r="Z334" s="44"/>
    </row>
    <row r="335" ht="9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78"/>
      <c r="R335" s="44"/>
      <c r="S335" s="44"/>
      <c r="T335" s="44"/>
      <c r="U335" s="44"/>
      <c r="V335" s="44"/>
      <c r="W335" s="44"/>
      <c r="X335" s="44"/>
      <c r="Y335" s="44"/>
      <c r="Z335" s="44"/>
    </row>
    <row r="336" ht="9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78"/>
      <c r="R336" s="44"/>
      <c r="S336" s="44"/>
      <c r="T336" s="44"/>
      <c r="U336" s="44"/>
      <c r="V336" s="44"/>
      <c r="W336" s="44"/>
      <c r="X336" s="44"/>
      <c r="Y336" s="44"/>
      <c r="Z336" s="44"/>
    </row>
    <row r="337" ht="9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78"/>
      <c r="R337" s="44"/>
      <c r="S337" s="44"/>
      <c r="T337" s="44"/>
      <c r="U337" s="44"/>
      <c r="V337" s="44"/>
      <c r="W337" s="44"/>
      <c r="X337" s="44"/>
      <c r="Y337" s="44"/>
      <c r="Z337" s="44"/>
    </row>
    <row r="338" ht="9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78"/>
      <c r="R338" s="44"/>
      <c r="S338" s="44"/>
      <c r="T338" s="44"/>
      <c r="U338" s="44"/>
      <c r="V338" s="44"/>
      <c r="W338" s="44"/>
      <c r="X338" s="44"/>
      <c r="Y338" s="44"/>
      <c r="Z338" s="44"/>
    </row>
    <row r="339" ht="9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78"/>
      <c r="R339" s="44"/>
      <c r="S339" s="44"/>
      <c r="T339" s="44"/>
      <c r="U339" s="44"/>
      <c r="V339" s="44"/>
      <c r="W339" s="44"/>
      <c r="X339" s="44"/>
      <c r="Y339" s="44"/>
      <c r="Z339" s="44"/>
    </row>
    <row r="340" ht="9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78"/>
      <c r="R340" s="44"/>
      <c r="S340" s="44"/>
      <c r="T340" s="44"/>
      <c r="U340" s="44"/>
      <c r="V340" s="44"/>
      <c r="W340" s="44"/>
      <c r="X340" s="44"/>
      <c r="Y340" s="44"/>
      <c r="Z340" s="44"/>
    </row>
    <row r="341" ht="9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78"/>
      <c r="R341" s="44"/>
      <c r="S341" s="44"/>
      <c r="T341" s="44"/>
      <c r="U341" s="44"/>
      <c r="V341" s="44"/>
      <c r="W341" s="44"/>
      <c r="X341" s="44"/>
      <c r="Y341" s="44"/>
      <c r="Z341" s="44"/>
    </row>
    <row r="342" ht="9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78"/>
      <c r="R342" s="44"/>
      <c r="S342" s="44"/>
      <c r="T342" s="44"/>
      <c r="U342" s="44"/>
      <c r="V342" s="44"/>
      <c r="W342" s="44"/>
      <c r="X342" s="44"/>
      <c r="Y342" s="44"/>
      <c r="Z342" s="44"/>
    </row>
    <row r="343" ht="9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78"/>
      <c r="R343" s="44"/>
      <c r="S343" s="44"/>
      <c r="T343" s="44"/>
      <c r="U343" s="44"/>
      <c r="V343" s="44"/>
      <c r="W343" s="44"/>
      <c r="X343" s="44"/>
      <c r="Y343" s="44"/>
      <c r="Z343" s="44"/>
    </row>
    <row r="344" ht="9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78"/>
      <c r="R344" s="44"/>
      <c r="S344" s="44"/>
      <c r="T344" s="44"/>
      <c r="U344" s="44"/>
      <c r="V344" s="44"/>
      <c r="W344" s="44"/>
      <c r="X344" s="44"/>
      <c r="Y344" s="44"/>
      <c r="Z344" s="44"/>
    </row>
    <row r="345" ht="9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78"/>
      <c r="R345" s="44"/>
      <c r="S345" s="44"/>
      <c r="T345" s="44"/>
      <c r="U345" s="44"/>
      <c r="V345" s="44"/>
      <c r="W345" s="44"/>
      <c r="X345" s="44"/>
      <c r="Y345" s="44"/>
      <c r="Z345" s="44"/>
    </row>
    <row r="346" ht="9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78"/>
      <c r="R346" s="44"/>
      <c r="S346" s="44"/>
      <c r="T346" s="44"/>
      <c r="U346" s="44"/>
      <c r="V346" s="44"/>
      <c r="W346" s="44"/>
      <c r="X346" s="44"/>
      <c r="Y346" s="44"/>
      <c r="Z346" s="44"/>
    </row>
    <row r="347" ht="9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78"/>
      <c r="R347" s="44"/>
      <c r="S347" s="44"/>
      <c r="T347" s="44"/>
      <c r="U347" s="44"/>
      <c r="V347" s="44"/>
      <c r="W347" s="44"/>
      <c r="X347" s="44"/>
      <c r="Y347" s="44"/>
      <c r="Z347" s="44"/>
    </row>
    <row r="348" ht="9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78"/>
      <c r="R348" s="44"/>
      <c r="S348" s="44"/>
      <c r="T348" s="44"/>
      <c r="U348" s="44"/>
      <c r="V348" s="44"/>
      <c r="W348" s="44"/>
      <c r="X348" s="44"/>
      <c r="Y348" s="44"/>
      <c r="Z348" s="44"/>
    </row>
    <row r="349" ht="9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78"/>
      <c r="R349" s="44"/>
      <c r="S349" s="44"/>
      <c r="T349" s="44"/>
      <c r="U349" s="44"/>
      <c r="V349" s="44"/>
      <c r="W349" s="44"/>
      <c r="X349" s="44"/>
      <c r="Y349" s="44"/>
      <c r="Z349" s="44"/>
    </row>
    <row r="350" ht="9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78"/>
      <c r="R350" s="44"/>
      <c r="S350" s="44"/>
      <c r="T350" s="44"/>
      <c r="U350" s="44"/>
      <c r="V350" s="44"/>
      <c r="W350" s="44"/>
      <c r="X350" s="44"/>
      <c r="Y350" s="44"/>
      <c r="Z350" s="44"/>
    </row>
    <row r="351" ht="9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78"/>
      <c r="R351" s="44"/>
      <c r="S351" s="44"/>
      <c r="T351" s="44"/>
      <c r="U351" s="44"/>
      <c r="V351" s="44"/>
      <c r="W351" s="44"/>
      <c r="X351" s="44"/>
      <c r="Y351" s="44"/>
      <c r="Z351" s="44"/>
    </row>
    <row r="352" ht="9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78"/>
      <c r="R352" s="44"/>
      <c r="S352" s="44"/>
      <c r="T352" s="44"/>
      <c r="U352" s="44"/>
      <c r="V352" s="44"/>
      <c r="W352" s="44"/>
      <c r="X352" s="44"/>
      <c r="Y352" s="44"/>
      <c r="Z352" s="44"/>
    </row>
    <row r="353" ht="9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78"/>
      <c r="R353" s="44"/>
      <c r="S353" s="44"/>
      <c r="T353" s="44"/>
      <c r="U353" s="44"/>
      <c r="V353" s="44"/>
      <c r="W353" s="44"/>
      <c r="X353" s="44"/>
      <c r="Y353" s="44"/>
      <c r="Z353" s="44"/>
    </row>
    <row r="354" ht="9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78"/>
      <c r="R354" s="44"/>
      <c r="S354" s="44"/>
      <c r="T354" s="44"/>
      <c r="U354" s="44"/>
      <c r="V354" s="44"/>
      <c r="W354" s="44"/>
      <c r="X354" s="44"/>
      <c r="Y354" s="44"/>
      <c r="Z354" s="44"/>
    </row>
    <row r="355" ht="9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78"/>
      <c r="R355" s="44"/>
      <c r="S355" s="44"/>
      <c r="T355" s="44"/>
      <c r="U355" s="44"/>
      <c r="V355" s="44"/>
      <c r="W355" s="44"/>
      <c r="X355" s="44"/>
      <c r="Y355" s="44"/>
      <c r="Z355" s="44"/>
    </row>
    <row r="356" ht="9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78"/>
      <c r="R356" s="44"/>
      <c r="S356" s="44"/>
      <c r="T356" s="44"/>
      <c r="U356" s="44"/>
      <c r="V356" s="44"/>
      <c r="W356" s="44"/>
      <c r="X356" s="44"/>
      <c r="Y356" s="44"/>
      <c r="Z356" s="44"/>
    </row>
    <row r="357" ht="9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78"/>
      <c r="R357" s="44"/>
      <c r="S357" s="44"/>
      <c r="T357" s="44"/>
      <c r="U357" s="44"/>
      <c r="V357" s="44"/>
      <c r="W357" s="44"/>
      <c r="X357" s="44"/>
      <c r="Y357" s="44"/>
      <c r="Z357" s="44"/>
    </row>
    <row r="358" ht="9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78"/>
      <c r="R358" s="44"/>
      <c r="S358" s="44"/>
      <c r="T358" s="44"/>
      <c r="U358" s="44"/>
      <c r="V358" s="44"/>
      <c r="W358" s="44"/>
      <c r="X358" s="44"/>
      <c r="Y358" s="44"/>
      <c r="Z358" s="44"/>
    </row>
    <row r="359" ht="9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78"/>
      <c r="R359" s="44"/>
      <c r="S359" s="44"/>
      <c r="T359" s="44"/>
      <c r="U359" s="44"/>
      <c r="V359" s="44"/>
      <c r="W359" s="44"/>
      <c r="X359" s="44"/>
      <c r="Y359" s="44"/>
      <c r="Z359" s="44"/>
    </row>
    <row r="360" ht="9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78"/>
      <c r="R360" s="44"/>
      <c r="S360" s="44"/>
      <c r="T360" s="44"/>
      <c r="U360" s="44"/>
      <c r="V360" s="44"/>
      <c r="W360" s="44"/>
      <c r="X360" s="44"/>
      <c r="Y360" s="44"/>
      <c r="Z360" s="44"/>
    </row>
    <row r="361" ht="9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78"/>
      <c r="R361" s="44"/>
      <c r="S361" s="44"/>
      <c r="T361" s="44"/>
      <c r="U361" s="44"/>
      <c r="V361" s="44"/>
      <c r="W361" s="44"/>
      <c r="X361" s="44"/>
      <c r="Y361" s="44"/>
      <c r="Z361" s="44"/>
    </row>
    <row r="362" ht="9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78"/>
      <c r="R362" s="44"/>
      <c r="S362" s="44"/>
      <c r="T362" s="44"/>
      <c r="U362" s="44"/>
      <c r="V362" s="44"/>
      <c r="W362" s="44"/>
      <c r="X362" s="44"/>
      <c r="Y362" s="44"/>
      <c r="Z362" s="44"/>
    </row>
    <row r="363" ht="9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78"/>
      <c r="R363" s="44"/>
      <c r="S363" s="44"/>
      <c r="T363" s="44"/>
      <c r="U363" s="44"/>
      <c r="V363" s="44"/>
      <c r="W363" s="44"/>
      <c r="X363" s="44"/>
      <c r="Y363" s="44"/>
      <c r="Z363" s="44"/>
    </row>
    <row r="364" ht="9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78"/>
      <c r="R364" s="44"/>
      <c r="S364" s="44"/>
      <c r="T364" s="44"/>
      <c r="U364" s="44"/>
      <c r="V364" s="44"/>
      <c r="W364" s="44"/>
      <c r="X364" s="44"/>
      <c r="Y364" s="44"/>
      <c r="Z364" s="44"/>
    </row>
    <row r="365" ht="9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78"/>
      <c r="R365" s="44"/>
      <c r="S365" s="44"/>
      <c r="T365" s="44"/>
      <c r="U365" s="44"/>
      <c r="V365" s="44"/>
      <c r="W365" s="44"/>
      <c r="X365" s="44"/>
      <c r="Y365" s="44"/>
      <c r="Z365" s="44"/>
    </row>
    <row r="366" ht="9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78"/>
      <c r="R366" s="44"/>
      <c r="S366" s="44"/>
      <c r="T366" s="44"/>
      <c r="U366" s="44"/>
      <c r="V366" s="44"/>
      <c r="W366" s="44"/>
      <c r="X366" s="44"/>
      <c r="Y366" s="44"/>
      <c r="Z366" s="44"/>
    </row>
    <row r="367" ht="9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78"/>
      <c r="R367" s="44"/>
      <c r="S367" s="44"/>
      <c r="T367" s="44"/>
      <c r="U367" s="44"/>
      <c r="V367" s="44"/>
      <c r="W367" s="44"/>
      <c r="X367" s="44"/>
      <c r="Y367" s="44"/>
      <c r="Z367" s="44"/>
    </row>
    <row r="368" ht="9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78"/>
      <c r="R368" s="44"/>
      <c r="S368" s="44"/>
      <c r="T368" s="44"/>
      <c r="U368" s="44"/>
      <c r="V368" s="44"/>
      <c r="W368" s="44"/>
      <c r="X368" s="44"/>
      <c r="Y368" s="44"/>
      <c r="Z368" s="44"/>
    </row>
    <row r="369" ht="9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78"/>
      <c r="R369" s="44"/>
      <c r="S369" s="44"/>
      <c r="T369" s="44"/>
      <c r="U369" s="44"/>
      <c r="V369" s="44"/>
      <c r="W369" s="44"/>
      <c r="X369" s="44"/>
      <c r="Y369" s="44"/>
      <c r="Z369" s="44"/>
    </row>
    <row r="370" ht="9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78"/>
      <c r="R370" s="44"/>
      <c r="S370" s="44"/>
      <c r="T370" s="44"/>
      <c r="U370" s="44"/>
      <c r="V370" s="44"/>
      <c r="W370" s="44"/>
      <c r="X370" s="44"/>
      <c r="Y370" s="44"/>
      <c r="Z370" s="44"/>
    </row>
    <row r="371" ht="9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78"/>
      <c r="R371" s="44"/>
      <c r="S371" s="44"/>
      <c r="T371" s="44"/>
      <c r="U371" s="44"/>
      <c r="V371" s="44"/>
      <c r="W371" s="44"/>
      <c r="X371" s="44"/>
      <c r="Y371" s="44"/>
      <c r="Z371" s="44"/>
    </row>
    <row r="372" ht="9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78"/>
      <c r="R372" s="44"/>
      <c r="S372" s="44"/>
      <c r="T372" s="44"/>
      <c r="U372" s="44"/>
      <c r="V372" s="44"/>
      <c r="W372" s="44"/>
      <c r="X372" s="44"/>
      <c r="Y372" s="44"/>
      <c r="Z372" s="44"/>
    </row>
    <row r="373" ht="9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78"/>
      <c r="R373" s="44"/>
      <c r="S373" s="44"/>
      <c r="T373" s="44"/>
      <c r="U373" s="44"/>
      <c r="V373" s="44"/>
      <c r="W373" s="44"/>
      <c r="X373" s="44"/>
      <c r="Y373" s="44"/>
      <c r="Z373" s="44"/>
    </row>
    <row r="374" ht="9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78"/>
      <c r="R374" s="44"/>
      <c r="S374" s="44"/>
      <c r="T374" s="44"/>
      <c r="U374" s="44"/>
      <c r="V374" s="44"/>
      <c r="W374" s="44"/>
      <c r="X374" s="44"/>
      <c r="Y374" s="44"/>
      <c r="Z374" s="44"/>
    </row>
    <row r="375" ht="9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78"/>
      <c r="R375" s="44"/>
      <c r="S375" s="44"/>
      <c r="T375" s="44"/>
      <c r="U375" s="44"/>
      <c r="V375" s="44"/>
      <c r="W375" s="44"/>
      <c r="X375" s="44"/>
      <c r="Y375" s="44"/>
      <c r="Z375" s="44"/>
    </row>
    <row r="376" ht="9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78"/>
      <c r="R376" s="44"/>
      <c r="S376" s="44"/>
      <c r="T376" s="44"/>
      <c r="U376" s="44"/>
      <c r="V376" s="44"/>
      <c r="W376" s="44"/>
      <c r="X376" s="44"/>
      <c r="Y376" s="44"/>
      <c r="Z376" s="44"/>
    </row>
    <row r="377" ht="9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78"/>
      <c r="R377" s="44"/>
      <c r="S377" s="44"/>
      <c r="T377" s="44"/>
      <c r="U377" s="44"/>
      <c r="V377" s="44"/>
      <c r="W377" s="44"/>
      <c r="X377" s="44"/>
      <c r="Y377" s="44"/>
      <c r="Z377" s="44"/>
    </row>
    <row r="378" ht="9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78"/>
      <c r="R378" s="44"/>
      <c r="S378" s="44"/>
      <c r="T378" s="44"/>
      <c r="U378" s="44"/>
      <c r="V378" s="44"/>
      <c r="W378" s="44"/>
      <c r="X378" s="44"/>
      <c r="Y378" s="44"/>
      <c r="Z378" s="44"/>
    </row>
    <row r="379" ht="9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78"/>
      <c r="R379" s="44"/>
      <c r="S379" s="44"/>
      <c r="T379" s="44"/>
      <c r="U379" s="44"/>
      <c r="V379" s="44"/>
      <c r="W379" s="44"/>
      <c r="X379" s="44"/>
      <c r="Y379" s="44"/>
      <c r="Z379" s="44"/>
    </row>
    <row r="380" ht="9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78"/>
      <c r="R380" s="44"/>
      <c r="S380" s="44"/>
      <c r="T380" s="44"/>
      <c r="U380" s="44"/>
      <c r="V380" s="44"/>
      <c r="W380" s="44"/>
      <c r="X380" s="44"/>
      <c r="Y380" s="44"/>
      <c r="Z380" s="44"/>
    </row>
    <row r="381" ht="9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78"/>
      <c r="R381" s="44"/>
      <c r="S381" s="44"/>
      <c r="T381" s="44"/>
      <c r="U381" s="44"/>
      <c r="V381" s="44"/>
      <c r="W381" s="44"/>
      <c r="X381" s="44"/>
      <c r="Y381" s="44"/>
      <c r="Z381" s="44"/>
    </row>
    <row r="382" ht="9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78"/>
      <c r="R382" s="44"/>
      <c r="S382" s="44"/>
      <c r="T382" s="44"/>
      <c r="U382" s="44"/>
      <c r="V382" s="44"/>
      <c r="W382" s="44"/>
      <c r="X382" s="44"/>
      <c r="Y382" s="44"/>
      <c r="Z382" s="44"/>
    </row>
    <row r="383" ht="9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78"/>
      <c r="R383" s="44"/>
      <c r="S383" s="44"/>
      <c r="T383" s="44"/>
      <c r="U383" s="44"/>
      <c r="V383" s="44"/>
      <c r="W383" s="44"/>
      <c r="X383" s="44"/>
      <c r="Y383" s="44"/>
      <c r="Z383" s="44"/>
    </row>
    <row r="384" ht="9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78"/>
      <c r="R384" s="44"/>
      <c r="S384" s="44"/>
      <c r="T384" s="44"/>
      <c r="U384" s="44"/>
      <c r="V384" s="44"/>
      <c r="W384" s="44"/>
      <c r="X384" s="44"/>
      <c r="Y384" s="44"/>
      <c r="Z384" s="44"/>
    </row>
    <row r="385" ht="9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78"/>
      <c r="R385" s="44"/>
      <c r="S385" s="44"/>
      <c r="T385" s="44"/>
      <c r="U385" s="44"/>
      <c r="V385" s="44"/>
      <c r="W385" s="44"/>
      <c r="X385" s="44"/>
      <c r="Y385" s="44"/>
      <c r="Z385" s="44"/>
    </row>
    <row r="386" ht="9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78"/>
      <c r="R386" s="44"/>
      <c r="S386" s="44"/>
      <c r="T386" s="44"/>
      <c r="U386" s="44"/>
      <c r="V386" s="44"/>
      <c r="W386" s="44"/>
      <c r="X386" s="44"/>
      <c r="Y386" s="44"/>
      <c r="Z386" s="44"/>
    </row>
    <row r="387" ht="9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78"/>
      <c r="R387" s="44"/>
      <c r="S387" s="44"/>
      <c r="T387" s="44"/>
      <c r="U387" s="44"/>
      <c r="V387" s="44"/>
      <c r="W387" s="44"/>
      <c r="X387" s="44"/>
      <c r="Y387" s="44"/>
      <c r="Z387" s="44"/>
    </row>
    <row r="388" ht="9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78"/>
      <c r="R388" s="44"/>
      <c r="S388" s="44"/>
      <c r="T388" s="44"/>
      <c r="U388" s="44"/>
      <c r="V388" s="44"/>
      <c r="W388" s="44"/>
      <c r="X388" s="44"/>
      <c r="Y388" s="44"/>
      <c r="Z388" s="44"/>
    </row>
    <row r="389" ht="9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78"/>
      <c r="R389" s="44"/>
      <c r="S389" s="44"/>
      <c r="T389" s="44"/>
      <c r="U389" s="44"/>
      <c r="V389" s="44"/>
      <c r="W389" s="44"/>
      <c r="X389" s="44"/>
      <c r="Y389" s="44"/>
      <c r="Z389" s="44"/>
    </row>
    <row r="390" ht="9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78"/>
      <c r="R390" s="44"/>
      <c r="S390" s="44"/>
      <c r="T390" s="44"/>
      <c r="U390" s="44"/>
      <c r="V390" s="44"/>
      <c r="W390" s="44"/>
      <c r="X390" s="44"/>
      <c r="Y390" s="44"/>
      <c r="Z390" s="44"/>
    </row>
    <row r="391" ht="9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78"/>
      <c r="R391" s="44"/>
      <c r="S391" s="44"/>
      <c r="T391" s="44"/>
      <c r="U391" s="44"/>
      <c r="V391" s="44"/>
      <c r="W391" s="44"/>
      <c r="X391" s="44"/>
      <c r="Y391" s="44"/>
      <c r="Z391" s="44"/>
    </row>
    <row r="392" ht="9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78"/>
      <c r="R392" s="44"/>
      <c r="S392" s="44"/>
      <c r="T392" s="44"/>
      <c r="U392" s="44"/>
      <c r="V392" s="44"/>
      <c r="W392" s="44"/>
      <c r="X392" s="44"/>
      <c r="Y392" s="44"/>
      <c r="Z392" s="44"/>
    </row>
    <row r="393" ht="9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78"/>
      <c r="R393" s="44"/>
      <c r="S393" s="44"/>
      <c r="T393" s="44"/>
      <c r="U393" s="44"/>
      <c r="V393" s="44"/>
      <c r="W393" s="44"/>
      <c r="X393" s="44"/>
      <c r="Y393" s="44"/>
      <c r="Z393" s="44"/>
    </row>
    <row r="394" ht="9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78"/>
      <c r="R394" s="44"/>
      <c r="S394" s="44"/>
      <c r="T394" s="44"/>
      <c r="U394" s="44"/>
      <c r="V394" s="44"/>
      <c r="W394" s="44"/>
      <c r="X394" s="44"/>
      <c r="Y394" s="44"/>
      <c r="Z394" s="44"/>
    </row>
    <row r="395" ht="9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78"/>
      <c r="R395" s="44"/>
      <c r="S395" s="44"/>
      <c r="T395" s="44"/>
      <c r="U395" s="44"/>
      <c r="V395" s="44"/>
      <c r="W395" s="44"/>
      <c r="X395" s="44"/>
      <c r="Y395" s="44"/>
      <c r="Z395" s="44"/>
    </row>
    <row r="396" ht="9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78"/>
      <c r="R396" s="44"/>
      <c r="S396" s="44"/>
      <c r="T396" s="44"/>
      <c r="U396" s="44"/>
      <c r="V396" s="44"/>
      <c r="W396" s="44"/>
      <c r="X396" s="44"/>
      <c r="Y396" s="44"/>
      <c r="Z396" s="44"/>
    </row>
    <row r="397" ht="9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78"/>
      <c r="R397" s="44"/>
      <c r="S397" s="44"/>
      <c r="T397" s="44"/>
      <c r="U397" s="44"/>
      <c r="V397" s="44"/>
      <c r="W397" s="44"/>
      <c r="X397" s="44"/>
      <c r="Y397" s="44"/>
      <c r="Z397" s="44"/>
    </row>
    <row r="398" ht="9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78"/>
      <c r="R398" s="44"/>
      <c r="S398" s="44"/>
      <c r="T398" s="44"/>
      <c r="U398" s="44"/>
      <c r="V398" s="44"/>
      <c r="W398" s="44"/>
      <c r="X398" s="44"/>
      <c r="Y398" s="44"/>
      <c r="Z398" s="44"/>
    </row>
    <row r="399" ht="9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78"/>
      <c r="R399" s="44"/>
      <c r="S399" s="44"/>
      <c r="T399" s="44"/>
      <c r="U399" s="44"/>
      <c r="V399" s="44"/>
      <c r="W399" s="44"/>
      <c r="X399" s="44"/>
      <c r="Y399" s="44"/>
      <c r="Z399" s="44"/>
    </row>
    <row r="400" ht="9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78"/>
      <c r="R400" s="44"/>
      <c r="S400" s="44"/>
      <c r="T400" s="44"/>
      <c r="U400" s="44"/>
      <c r="V400" s="44"/>
      <c r="W400" s="44"/>
      <c r="X400" s="44"/>
      <c r="Y400" s="44"/>
      <c r="Z400" s="44"/>
    </row>
    <row r="401" ht="9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78"/>
      <c r="R401" s="44"/>
      <c r="S401" s="44"/>
      <c r="T401" s="44"/>
      <c r="U401" s="44"/>
      <c r="V401" s="44"/>
      <c r="W401" s="44"/>
      <c r="X401" s="44"/>
      <c r="Y401" s="44"/>
      <c r="Z401" s="44"/>
    </row>
    <row r="402" ht="9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78"/>
      <c r="R402" s="44"/>
      <c r="S402" s="44"/>
      <c r="T402" s="44"/>
      <c r="U402" s="44"/>
      <c r="V402" s="44"/>
      <c r="W402" s="44"/>
      <c r="X402" s="44"/>
      <c r="Y402" s="44"/>
      <c r="Z402" s="44"/>
    </row>
    <row r="403" ht="9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78"/>
      <c r="R403" s="44"/>
      <c r="S403" s="44"/>
      <c r="T403" s="44"/>
      <c r="U403" s="44"/>
      <c r="V403" s="44"/>
      <c r="W403" s="44"/>
      <c r="X403" s="44"/>
      <c r="Y403" s="44"/>
      <c r="Z403" s="44"/>
    </row>
    <row r="404" ht="9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78"/>
      <c r="R404" s="44"/>
      <c r="S404" s="44"/>
      <c r="T404" s="44"/>
      <c r="U404" s="44"/>
      <c r="V404" s="44"/>
      <c r="W404" s="44"/>
      <c r="X404" s="44"/>
      <c r="Y404" s="44"/>
      <c r="Z404" s="44"/>
    </row>
    <row r="405" ht="9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78"/>
      <c r="R405" s="44"/>
      <c r="S405" s="44"/>
      <c r="T405" s="44"/>
      <c r="U405" s="44"/>
      <c r="V405" s="44"/>
      <c r="W405" s="44"/>
      <c r="X405" s="44"/>
      <c r="Y405" s="44"/>
      <c r="Z405" s="44"/>
    </row>
    <row r="406" ht="9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78"/>
      <c r="R406" s="44"/>
      <c r="S406" s="44"/>
      <c r="T406" s="44"/>
      <c r="U406" s="44"/>
      <c r="V406" s="44"/>
      <c r="W406" s="44"/>
      <c r="X406" s="44"/>
      <c r="Y406" s="44"/>
      <c r="Z406" s="44"/>
    </row>
    <row r="407" ht="9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78"/>
      <c r="R407" s="44"/>
      <c r="S407" s="44"/>
      <c r="T407" s="44"/>
      <c r="U407" s="44"/>
      <c r="V407" s="44"/>
      <c r="W407" s="44"/>
      <c r="X407" s="44"/>
      <c r="Y407" s="44"/>
      <c r="Z407" s="44"/>
    </row>
    <row r="408" ht="9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78"/>
      <c r="R408" s="44"/>
      <c r="S408" s="44"/>
      <c r="T408" s="44"/>
      <c r="U408" s="44"/>
      <c r="V408" s="44"/>
      <c r="W408" s="44"/>
      <c r="X408" s="44"/>
      <c r="Y408" s="44"/>
      <c r="Z408" s="44"/>
    </row>
    <row r="409" ht="9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78"/>
      <c r="R409" s="44"/>
      <c r="S409" s="44"/>
      <c r="T409" s="44"/>
      <c r="U409" s="44"/>
      <c r="V409" s="44"/>
      <c r="W409" s="44"/>
      <c r="X409" s="44"/>
      <c r="Y409" s="44"/>
      <c r="Z409" s="44"/>
    </row>
    <row r="410" ht="9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78"/>
      <c r="R410" s="44"/>
      <c r="S410" s="44"/>
      <c r="T410" s="44"/>
      <c r="U410" s="44"/>
      <c r="V410" s="44"/>
      <c r="W410" s="44"/>
      <c r="X410" s="44"/>
      <c r="Y410" s="44"/>
      <c r="Z410" s="44"/>
    </row>
    <row r="411" ht="9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78"/>
      <c r="R411" s="44"/>
      <c r="S411" s="44"/>
      <c r="T411" s="44"/>
      <c r="U411" s="44"/>
      <c r="V411" s="44"/>
      <c r="W411" s="44"/>
      <c r="X411" s="44"/>
      <c r="Y411" s="44"/>
      <c r="Z411" s="44"/>
    </row>
    <row r="412" ht="9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78"/>
      <c r="R412" s="44"/>
      <c r="S412" s="44"/>
      <c r="T412" s="44"/>
      <c r="U412" s="44"/>
      <c r="V412" s="44"/>
      <c r="W412" s="44"/>
      <c r="X412" s="44"/>
      <c r="Y412" s="44"/>
      <c r="Z412" s="44"/>
    </row>
    <row r="413" ht="9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78"/>
      <c r="R413" s="44"/>
      <c r="S413" s="44"/>
      <c r="T413" s="44"/>
      <c r="U413" s="44"/>
      <c r="V413" s="44"/>
      <c r="W413" s="44"/>
      <c r="X413" s="44"/>
      <c r="Y413" s="44"/>
      <c r="Z413" s="44"/>
    </row>
    <row r="414" ht="9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78"/>
      <c r="R414" s="44"/>
      <c r="S414" s="44"/>
      <c r="T414" s="44"/>
      <c r="U414" s="44"/>
      <c r="V414" s="44"/>
      <c r="W414" s="44"/>
      <c r="X414" s="44"/>
      <c r="Y414" s="44"/>
      <c r="Z414" s="44"/>
    </row>
    <row r="415" ht="9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78"/>
      <c r="R415" s="44"/>
      <c r="S415" s="44"/>
      <c r="T415" s="44"/>
      <c r="U415" s="44"/>
      <c r="V415" s="44"/>
      <c r="W415" s="44"/>
      <c r="X415" s="44"/>
      <c r="Y415" s="44"/>
      <c r="Z415" s="44"/>
    </row>
    <row r="416" ht="9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78"/>
      <c r="R416" s="44"/>
      <c r="S416" s="44"/>
      <c r="T416" s="44"/>
      <c r="U416" s="44"/>
      <c r="V416" s="44"/>
      <c r="W416" s="44"/>
      <c r="X416" s="44"/>
      <c r="Y416" s="44"/>
      <c r="Z416" s="44"/>
    </row>
    <row r="417" ht="9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78"/>
      <c r="R417" s="44"/>
      <c r="S417" s="44"/>
      <c r="T417" s="44"/>
      <c r="U417" s="44"/>
      <c r="V417" s="44"/>
      <c r="W417" s="44"/>
      <c r="X417" s="44"/>
      <c r="Y417" s="44"/>
      <c r="Z417" s="44"/>
    </row>
    <row r="418" ht="9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78"/>
      <c r="R418" s="44"/>
      <c r="S418" s="44"/>
      <c r="T418" s="44"/>
      <c r="U418" s="44"/>
      <c r="V418" s="44"/>
      <c r="W418" s="44"/>
      <c r="X418" s="44"/>
      <c r="Y418" s="44"/>
      <c r="Z418" s="44"/>
    </row>
    <row r="419" ht="9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78"/>
      <c r="R419" s="44"/>
      <c r="S419" s="44"/>
      <c r="T419" s="44"/>
      <c r="U419" s="44"/>
      <c r="V419" s="44"/>
      <c r="W419" s="44"/>
      <c r="X419" s="44"/>
      <c r="Y419" s="44"/>
      <c r="Z419" s="44"/>
    </row>
    <row r="420" ht="9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78"/>
      <c r="R420" s="44"/>
      <c r="S420" s="44"/>
      <c r="T420" s="44"/>
      <c r="U420" s="44"/>
      <c r="V420" s="44"/>
      <c r="W420" s="44"/>
      <c r="X420" s="44"/>
      <c r="Y420" s="44"/>
      <c r="Z420" s="44"/>
    </row>
    <row r="421" ht="9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78"/>
      <c r="R421" s="44"/>
      <c r="S421" s="44"/>
      <c r="T421" s="44"/>
      <c r="U421" s="44"/>
      <c r="V421" s="44"/>
      <c r="W421" s="44"/>
      <c r="X421" s="44"/>
      <c r="Y421" s="44"/>
      <c r="Z421" s="44"/>
    </row>
    <row r="422" ht="9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78"/>
      <c r="R422" s="44"/>
      <c r="S422" s="44"/>
      <c r="T422" s="44"/>
      <c r="U422" s="44"/>
      <c r="V422" s="44"/>
      <c r="W422" s="44"/>
      <c r="X422" s="44"/>
      <c r="Y422" s="44"/>
      <c r="Z422" s="44"/>
    </row>
    <row r="423" ht="9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78"/>
      <c r="R423" s="44"/>
      <c r="S423" s="44"/>
      <c r="T423" s="44"/>
      <c r="U423" s="44"/>
      <c r="V423" s="44"/>
      <c r="W423" s="44"/>
      <c r="X423" s="44"/>
      <c r="Y423" s="44"/>
      <c r="Z423" s="44"/>
    </row>
    <row r="424" ht="9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78"/>
      <c r="R424" s="44"/>
      <c r="S424" s="44"/>
      <c r="T424" s="44"/>
      <c r="U424" s="44"/>
      <c r="V424" s="44"/>
      <c r="W424" s="44"/>
      <c r="X424" s="44"/>
      <c r="Y424" s="44"/>
      <c r="Z424" s="44"/>
    </row>
    <row r="425" ht="9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78"/>
      <c r="R425" s="44"/>
      <c r="S425" s="44"/>
      <c r="T425" s="44"/>
      <c r="U425" s="44"/>
      <c r="V425" s="44"/>
      <c r="W425" s="44"/>
      <c r="X425" s="44"/>
      <c r="Y425" s="44"/>
      <c r="Z425" s="44"/>
    </row>
    <row r="426" ht="9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78"/>
      <c r="R426" s="44"/>
      <c r="S426" s="44"/>
      <c r="T426" s="44"/>
      <c r="U426" s="44"/>
      <c r="V426" s="44"/>
      <c r="W426" s="44"/>
      <c r="X426" s="44"/>
      <c r="Y426" s="44"/>
      <c r="Z426" s="44"/>
    </row>
    <row r="427" ht="9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78"/>
      <c r="R427" s="44"/>
      <c r="S427" s="44"/>
      <c r="T427" s="44"/>
      <c r="U427" s="44"/>
      <c r="V427" s="44"/>
      <c r="W427" s="44"/>
      <c r="X427" s="44"/>
      <c r="Y427" s="44"/>
      <c r="Z427" s="44"/>
    </row>
    <row r="428" ht="9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78"/>
      <c r="R428" s="44"/>
      <c r="S428" s="44"/>
      <c r="T428" s="44"/>
      <c r="U428" s="44"/>
      <c r="V428" s="44"/>
      <c r="W428" s="44"/>
      <c r="X428" s="44"/>
      <c r="Y428" s="44"/>
      <c r="Z428" s="44"/>
    </row>
    <row r="429" ht="9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78"/>
      <c r="R429" s="44"/>
      <c r="S429" s="44"/>
      <c r="T429" s="44"/>
      <c r="U429" s="44"/>
      <c r="V429" s="44"/>
      <c r="W429" s="44"/>
      <c r="X429" s="44"/>
      <c r="Y429" s="44"/>
      <c r="Z429" s="44"/>
    </row>
    <row r="430" ht="9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78"/>
      <c r="R430" s="44"/>
      <c r="S430" s="44"/>
      <c r="T430" s="44"/>
      <c r="U430" s="44"/>
      <c r="V430" s="44"/>
      <c r="W430" s="44"/>
      <c r="X430" s="44"/>
      <c r="Y430" s="44"/>
      <c r="Z430" s="44"/>
    </row>
    <row r="431" ht="9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78"/>
      <c r="R431" s="44"/>
      <c r="S431" s="44"/>
      <c r="T431" s="44"/>
      <c r="U431" s="44"/>
      <c r="V431" s="44"/>
      <c r="W431" s="44"/>
      <c r="X431" s="44"/>
      <c r="Y431" s="44"/>
      <c r="Z431" s="44"/>
    </row>
    <row r="432" ht="9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78"/>
      <c r="R432" s="44"/>
      <c r="S432" s="44"/>
      <c r="T432" s="44"/>
      <c r="U432" s="44"/>
      <c r="V432" s="44"/>
      <c r="W432" s="44"/>
      <c r="X432" s="44"/>
      <c r="Y432" s="44"/>
      <c r="Z432" s="44"/>
    </row>
    <row r="433" ht="9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78"/>
      <c r="R433" s="44"/>
      <c r="S433" s="44"/>
      <c r="T433" s="44"/>
      <c r="U433" s="44"/>
      <c r="V433" s="44"/>
      <c r="W433" s="44"/>
      <c r="X433" s="44"/>
      <c r="Y433" s="44"/>
      <c r="Z433" s="44"/>
    </row>
    <row r="434" ht="9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78"/>
      <c r="R434" s="44"/>
      <c r="S434" s="44"/>
      <c r="T434" s="44"/>
      <c r="U434" s="44"/>
      <c r="V434" s="44"/>
      <c r="W434" s="44"/>
      <c r="X434" s="44"/>
      <c r="Y434" s="44"/>
      <c r="Z434" s="44"/>
    </row>
    <row r="435" ht="9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78"/>
      <c r="R435" s="44"/>
      <c r="S435" s="44"/>
      <c r="T435" s="44"/>
      <c r="U435" s="44"/>
      <c r="V435" s="44"/>
      <c r="W435" s="44"/>
      <c r="X435" s="44"/>
      <c r="Y435" s="44"/>
      <c r="Z435" s="44"/>
    </row>
    <row r="436" ht="9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78"/>
      <c r="R436" s="44"/>
      <c r="S436" s="44"/>
      <c r="T436" s="44"/>
      <c r="U436" s="44"/>
      <c r="V436" s="44"/>
      <c r="W436" s="44"/>
      <c r="X436" s="44"/>
      <c r="Y436" s="44"/>
      <c r="Z436" s="44"/>
    </row>
    <row r="437" ht="9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78"/>
      <c r="R437" s="44"/>
      <c r="S437" s="44"/>
      <c r="T437" s="44"/>
      <c r="U437" s="44"/>
      <c r="V437" s="44"/>
      <c r="W437" s="44"/>
      <c r="X437" s="44"/>
      <c r="Y437" s="44"/>
      <c r="Z437" s="44"/>
    </row>
    <row r="438" ht="9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78"/>
      <c r="R438" s="44"/>
      <c r="S438" s="44"/>
      <c r="T438" s="44"/>
      <c r="U438" s="44"/>
      <c r="V438" s="44"/>
      <c r="W438" s="44"/>
      <c r="X438" s="44"/>
      <c r="Y438" s="44"/>
      <c r="Z438" s="44"/>
    </row>
    <row r="439" ht="9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78"/>
      <c r="R439" s="44"/>
      <c r="S439" s="44"/>
      <c r="T439" s="44"/>
      <c r="U439" s="44"/>
      <c r="V439" s="44"/>
      <c r="W439" s="44"/>
      <c r="X439" s="44"/>
      <c r="Y439" s="44"/>
      <c r="Z439" s="44"/>
    </row>
    <row r="440" ht="9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78"/>
      <c r="R440" s="44"/>
      <c r="S440" s="44"/>
      <c r="T440" s="44"/>
      <c r="U440" s="44"/>
      <c r="V440" s="44"/>
      <c r="W440" s="44"/>
      <c r="X440" s="44"/>
      <c r="Y440" s="44"/>
      <c r="Z440" s="44"/>
    </row>
    <row r="441" ht="9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78"/>
      <c r="R441" s="44"/>
      <c r="S441" s="44"/>
      <c r="T441" s="44"/>
      <c r="U441" s="44"/>
      <c r="V441" s="44"/>
      <c r="W441" s="44"/>
      <c r="X441" s="44"/>
      <c r="Y441" s="44"/>
      <c r="Z441" s="44"/>
    </row>
    <row r="442" ht="9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78"/>
      <c r="R442" s="44"/>
      <c r="S442" s="44"/>
      <c r="T442" s="44"/>
      <c r="U442" s="44"/>
      <c r="V442" s="44"/>
      <c r="W442" s="44"/>
      <c r="X442" s="44"/>
      <c r="Y442" s="44"/>
      <c r="Z442" s="44"/>
    </row>
    <row r="443" ht="9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78"/>
      <c r="R443" s="44"/>
      <c r="S443" s="44"/>
      <c r="T443" s="44"/>
      <c r="U443" s="44"/>
      <c r="V443" s="44"/>
      <c r="W443" s="44"/>
      <c r="X443" s="44"/>
      <c r="Y443" s="44"/>
      <c r="Z443" s="44"/>
    </row>
    <row r="444" ht="9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78"/>
      <c r="R444" s="44"/>
      <c r="S444" s="44"/>
      <c r="T444" s="44"/>
      <c r="U444" s="44"/>
      <c r="V444" s="44"/>
      <c r="W444" s="44"/>
      <c r="X444" s="44"/>
      <c r="Y444" s="44"/>
      <c r="Z444" s="44"/>
    </row>
    <row r="445" ht="9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78"/>
      <c r="R445" s="44"/>
      <c r="S445" s="44"/>
      <c r="T445" s="44"/>
      <c r="U445" s="44"/>
      <c r="V445" s="44"/>
      <c r="W445" s="44"/>
      <c r="X445" s="44"/>
      <c r="Y445" s="44"/>
      <c r="Z445" s="44"/>
    </row>
    <row r="446" ht="9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78"/>
      <c r="R446" s="44"/>
      <c r="S446" s="44"/>
      <c r="T446" s="44"/>
      <c r="U446" s="44"/>
      <c r="V446" s="44"/>
      <c r="W446" s="44"/>
      <c r="X446" s="44"/>
      <c r="Y446" s="44"/>
      <c r="Z446" s="44"/>
    </row>
    <row r="447" ht="9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78"/>
      <c r="R447" s="44"/>
      <c r="S447" s="44"/>
      <c r="T447" s="44"/>
      <c r="U447" s="44"/>
      <c r="V447" s="44"/>
      <c r="W447" s="44"/>
      <c r="X447" s="44"/>
      <c r="Y447" s="44"/>
      <c r="Z447" s="44"/>
    </row>
    <row r="448" ht="9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78"/>
      <c r="R448" s="44"/>
      <c r="S448" s="44"/>
      <c r="T448" s="44"/>
      <c r="U448" s="44"/>
      <c r="V448" s="44"/>
      <c r="W448" s="44"/>
      <c r="X448" s="44"/>
      <c r="Y448" s="44"/>
      <c r="Z448" s="44"/>
    </row>
    <row r="449" ht="9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78"/>
      <c r="R449" s="44"/>
      <c r="S449" s="44"/>
      <c r="T449" s="44"/>
      <c r="U449" s="44"/>
      <c r="V449" s="44"/>
      <c r="W449" s="44"/>
      <c r="X449" s="44"/>
      <c r="Y449" s="44"/>
      <c r="Z449" s="44"/>
    </row>
    <row r="450" ht="9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78"/>
      <c r="R450" s="44"/>
      <c r="S450" s="44"/>
      <c r="T450" s="44"/>
      <c r="U450" s="44"/>
      <c r="V450" s="44"/>
      <c r="W450" s="44"/>
      <c r="X450" s="44"/>
      <c r="Y450" s="44"/>
      <c r="Z450" s="44"/>
    </row>
    <row r="451" ht="9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78"/>
      <c r="R451" s="44"/>
      <c r="S451" s="44"/>
      <c r="T451" s="44"/>
      <c r="U451" s="44"/>
      <c r="V451" s="44"/>
      <c r="W451" s="44"/>
      <c r="X451" s="44"/>
      <c r="Y451" s="44"/>
      <c r="Z451" s="44"/>
    </row>
    <row r="452" ht="9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78"/>
      <c r="R452" s="44"/>
      <c r="S452" s="44"/>
      <c r="T452" s="44"/>
      <c r="U452" s="44"/>
      <c r="V452" s="44"/>
      <c r="W452" s="44"/>
      <c r="X452" s="44"/>
      <c r="Y452" s="44"/>
      <c r="Z452" s="44"/>
    </row>
    <row r="453" ht="9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78"/>
      <c r="R453" s="44"/>
      <c r="S453" s="44"/>
      <c r="T453" s="44"/>
      <c r="U453" s="44"/>
      <c r="V453" s="44"/>
      <c r="W453" s="44"/>
      <c r="X453" s="44"/>
      <c r="Y453" s="44"/>
      <c r="Z453" s="44"/>
    </row>
    <row r="454" ht="9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78"/>
      <c r="R454" s="44"/>
      <c r="S454" s="44"/>
      <c r="T454" s="44"/>
      <c r="U454" s="44"/>
      <c r="V454" s="44"/>
      <c r="W454" s="44"/>
      <c r="X454" s="44"/>
      <c r="Y454" s="44"/>
      <c r="Z454" s="44"/>
    </row>
    <row r="455" ht="9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78"/>
      <c r="R455" s="44"/>
      <c r="S455" s="44"/>
      <c r="T455" s="44"/>
      <c r="U455" s="44"/>
      <c r="V455" s="44"/>
      <c r="W455" s="44"/>
      <c r="X455" s="44"/>
      <c r="Y455" s="44"/>
      <c r="Z455" s="44"/>
    </row>
    <row r="456" ht="9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78"/>
      <c r="R456" s="44"/>
      <c r="S456" s="44"/>
      <c r="T456" s="44"/>
      <c r="U456" s="44"/>
      <c r="V456" s="44"/>
      <c r="W456" s="44"/>
      <c r="X456" s="44"/>
      <c r="Y456" s="44"/>
      <c r="Z456" s="44"/>
    </row>
    <row r="457" ht="9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78"/>
      <c r="R457" s="44"/>
      <c r="S457" s="44"/>
      <c r="T457" s="44"/>
      <c r="U457" s="44"/>
      <c r="V457" s="44"/>
      <c r="W457" s="44"/>
      <c r="X457" s="44"/>
      <c r="Y457" s="44"/>
      <c r="Z457" s="44"/>
    </row>
    <row r="458" ht="9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78"/>
      <c r="R458" s="44"/>
      <c r="S458" s="44"/>
      <c r="T458" s="44"/>
      <c r="U458" s="44"/>
      <c r="V458" s="44"/>
      <c r="W458" s="44"/>
      <c r="X458" s="44"/>
      <c r="Y458" s="44"/>
      <c r="Z458" s="44"/>
    </row>
    <row r="459" ht="9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78"/>
      <c r="R459" s="44"/>
      <c r="S459" s="44"/>
      <c r="T459" s="44"/>
      <c r="U459" s="44"/>
      <c r="V459" s="44"/>
      <c r="W459" s="44"/>
      <c r="X459" s="44"/>
      <c r="Y459" s="44"/>
      <c r="Z459" s="44"/>
    </row>
    <row r="460" ht="9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78"/>
      <c r="R460" s="44"/>
      <c r="S460" s="44"/>
      <c r="T460" s="44"/>
      <c r="U460" s="44"/>
      <c r="V460" s="44"/>
      <c r="W460" s="44"/>
      <c r="X460" s="44"/>
      <c r="Y460" s="44"/>
      <c r="Z460" s="44"/>
    </row>
    <row r="461" ht="9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78"/>
      <c r="R461" s="44"/>
      <c r="S461" s="44"/>
      <c r="T461" s="44"/>
      <c r="U461" s="44"/>
      <c r="V461" s="44"/>
      <c r="W461" s="44"/>
      <c r="X461" s="44"/>
      <c r="Y461" s="44"/>
      <c r="Z461" s="44"/>
    </row>
    <row r="462" ht="9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78"/>
      <c r="R462" s="44"/>
      <c r="S462" s="44"/>
      <c r="T462" s="44"/>
      <c r="U462" s="44"/>
      <c r="V462" s="44"/>
      <c r="W462" s="44"/>
      <c r="X462" s="44"/>
      <c r="Y462" s="44"/>
      <c r="Z462" s="44"/>
    </row>
    <row r="463" ht="9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78"/>
      <c r="R463" s="44"/>
      <c r="S463" s="44"/>
      <c r="T463" s="44"/>
      <c r="U463" s="44"/>
      <c r="V463" s="44"/>
      <c r="W463" s="44"/>
      <c r="X463" s="44"/>
      <c r="Y463" s="44"/>
      <c r="Z463" s="44"/>
    </row>
    <row r="464" ht="9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78"/>
      <c r="R464" s="44"/>
      <c r="S464" s="44"/>
      <c r="T464" s="44"/>
      <c r="U464" s="44"/>
      <c r="V464" s="44"/>
      <c r="W464" s="44"/>
      <c r="X464" s="44"/>
      <c r="Y464" s="44"/>
      <c r="Z464" s="44"/>
    </row>
    <row r="465" ht="9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78"/>
      <c r="R465" s="44"/>
      <c r="S465" s="44"/>
      <c r="T465" s="44"/>
      <c r="U465" s="44"/>
      <c r="V465" s="44"/>
      <c r="W465" s="44"/>
      <c r="X465" s="44"/>
      <c r="Y465" s="44"/>
      <c r="Z465" s="44"/>
    </row>
    <row r="466" ht="9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78"/>
      <c r="R466" s="44"/>
      <c r="S466" s="44"/>
      <c r="T466" s="44"/>
      <c r="U466" s="44"/>
      <c r="V466" s="44"/>
      <c r="W466" s="44"/>
      <c r="X466" s="44"/>
      <c r="Y466" s="44"/>
      <c r="Z466" s="44"/>
    </row>
    <row r="467" ht="9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78"/>
      <c r="R467" s="44"/>
      <c r="S467" s="44"/>
      <c r="T467" s="44"/>
      <c r="U467" s="44"/>
      <c r="V467" s="44"/>
      <c r="W467" s="44"/>
      <c r="X467" s="44"/>
      <c r="Y467" s="44"/>
      <c r="Z467" s="44"/>
    </row>
    <row r="468" ht="9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78"/>
      <c r="R468" s="44"/>
      <c r="S468" s="44"/>
      <c r="T468" s="44"/>
      <c r="U468" s="44"/>
      <c r="V468" s="44"/>
      <c r="W468" s="44"/>
      <c r="X468" s="44"/>
      <c r="Y468" s="44"/>
      <c r="Z468" s="44"/>
    </row>
    <row r="469" ht="9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78"/>
      <c r="R469" s="44"/>
      <c r="S469" s="44"/>
      <c r="T469" s="44"/>
      <c r="U469" s="44"/>
      <c r="V469" s="44"/>
      <c r="W469" s="44"/>
      <c r="X469" s="44"/>
      <c r="Y469" s="44"/>
      <c r="Z469" s="44"/>
    </row>
    <row r="470" ht="9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78"/>
      <c r="R470" s="44"/>
      <c r="S470" s="44"/>
      <c r="T470" s="44"/>
      <c r="U470" s="44"/>
      <c r="V470" s="44"/>
      <c r="W470" s="44"/>
      <c r="X470" s="44"/>
      <c r="Y470" s="44"/>
      <c r="Z470" s="44"/>
    </row>
    <row r="471" ht="9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78"/>
      <c r="R471" s="44"/>
      <c r="S471" s="44"/>
      <c r="T471" s="44"/>
      <c r="U471" s="44"/>
      <c r="V471" s="44"/>
      <c r="W471" s="44"/>
      <c r="X471" s="44"/>
      <c r="Y471" s="44"/>
      <c r="Z471" s="44"/>
    </row>
    <row r="472" ht="9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78"/>
      <c r="R472" s="44"/>
      <c r="S472" s="44"/>
      <c r="T472" s="44"/>
      <c r="U472" s="44"/>
      <c r="V472" s="44"/>
      <c r="W472" s="44"/>
      <c r="X472" s="44"/>
      <c r="Y472" s="44"/>
      <c r="Z472" s="44"/>
    </row>
    <row r="473" ht="9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78"/>
      <c r="R473" s="44"/>
      <c r="S473" s="44"/>
      <c r="T473" s="44"/>
      <c r="U473" s="44"/>
      <c r="V473" s="44"/>
      <c r="W473" s="44"/>
      <c r="X473" s="44"/>
      <c r="Y473" s="44"/>
      <c r="Z473" s="44"/>
    </row>
    <row r="474" ht="9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78"/>
      <c r="R474" s="44"/>
      <c r="S474" s="44"/>
      <c r="T474" s="44"/>
      <c r="U474" s="44"/>
      <c r="V474" s="44"/>
      <c r="W474" s="44"/>
      <c r="X474" s="44"/>
      <c r="Y474" s="44"/>
      <c r="Z474" s="44"/>
    </row>
    <row r="475" ht="9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78"/>
      <c r="R475" s="44"/>
      <c r="S475" s="44"/>
      <c r="T475" s="44"/>
      <c r="U475" s="44"/>
      <c r="V475" s="44"/>
      <c r="W475" s="44"/>
      <c r="X475" s="44"/>
      <c r="Y475" s="44"/>
      <c r="Z475" s="44"/>
    </row>
    <row r="476" ht="9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78"/>
      <c r="R476" s="44"/>
      <c r="S476" s="44"/>
      <c r="T476" s="44"/>
      <c r="U476" s="44"/>
      <c r="V476" s="44"/>
      <c r="W476" s="44"/>
      <c r="X476" s="44"/>
      <c r="Y476" s="44"/>
      <c r="Z476" s="44"/>
    </row>
    <row r="477" ht="9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78"/>
      <c r="R477" s="44"/>
      <c r="S477" s="44"/>
      <c r="T477" s="44"/>
      <c r="U477" s="44"/>
      <c r="V477" s="44"/>
      <c r="W477" s="44"/>
      <c r="X477" s="44"/>
      <c r="Y477" s="44"/>
      <c r="Z477" s="44"/>
    </row>
    <row r="478" ht="9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78"/>
      <c r="R478" s="44"/>
      <c r="S478" s="44"/>
      <c r="T478" s="44"/>
      <c r="U478" s="44"/>
      <c r="V478" s="44"/>
      <c r="W478" s="44"/>
      <c r="X478" s="44"/>
      <c r="Y478" s="44"/>
      <c r="Z478" s="44"/>
    </row>
    <row r="479" ht="9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78"/>
      <c r="R479" s="44"/>
      <c r="S479" s="44"/>
      <c r="T479" s="44"/>
      <c r="U479" s="44"/>
      <c r="V479" s="44"/>
      <c r="W479" s="44"/>
      <c r="X479" s="44"/>
      <c r="Y479" s="44"/>
      <c r="Z479" s="44"/>
    </row>
    <row r="480" ht="9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78"/>
      <c r="R480" s="44"/>
      <c r="S480" s="44"/>
      <c r="T480" s="44"/>
      <c r="U480" s="44"/>
      <c r="V480" s="44"/>
      <c r="W480" s="44"/>
      <c r="X480" s="44"/>
      <c r="Y480" s="44"/>
      <c r="Z480" s="44"/>
    </row>
    <row r="481" ht="9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78"/>
      <c r="R481" s="44"/>
      <c r="S481" s="44"/>
      <c r="T481" s="44"/>
      <c r="U481" s="44"/>
      <c r="V481" s="44"/>
      <c r="W481" s="44"/>
      <c r="X481" s="44"/>
      <c r="Y481" s="44"/>
      <c r="Z481" s="44"/>
    </row>
    <row r="482" ht="9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78"/>
      <c r="R482" s="44"/>
      <c r="S482" s="44"/>
      <c r="T482" s="44"/>
      <c r="U482" s="44"/>
      <c r="V482" s="44"/>
      <c r="W482" s="44"/>
      <c r="X482" s="44"/>
      <c r="Y482" s="44"/>
      <c r="Z482" s="44"/>
    </row>
    <row r="483" ht="9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78"/>
      <c r="R483" s="44"/>
      <c r="S483" s="44"/>
      <c r="T483" s="44"/>
      <c r="U483" s="44"/>
      <c r="V483" s="44"/>
      <c r="W483" s="44"/>
      <c r="X483" s="44"/>
      <c r="Y483" s="44"/>
      <c r="Z483" s="44"/>
    </row>
    <row r="484" ht="9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78"/>
      <c r="R484" s="44"/>
      <c r="S484" s="44"/>
      <c r="T484" s="44"/>
      <c r="U484" s="44"/>
      <c r="V484" s="44"/>
      <c r="W484" s="44"/>
      <c r="X484" s="44"/>
      <c r="Y484" s="44"/>
      <c r="Z484" s="44"/>
    </row>
    <row r="485" ht="9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78"/>
      <c r="R485" s="44"/>
      <c r="S485" s="44"/>
      <c r="T485" s="44"/>
      <c r="U485" s="44"/>
      <c r="V485" s="44"/>
      <c r="W485" s="44"/>
      <c r="X485" s="44"/>
      <c r="Y485" s="44"/>
      <c r="Z485" s="44"/>
    </row>
    <row r="486" ht="9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78"/>
      <c r="R486" s="44"/>
      <c r="S486" s="44"/>
      <c r="T486" s="44"/>
      <c r="U486" s="44"/>
      <c r="V486" s="44"/>
      <c r="W486" s="44"/>
      <c r="X486" s="44"/>
      <c r="Y486" s="44"/>
      <c r="Z486" s="44"/>
    </row>
    <row r="487" ht="9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78"/>
      <c r="R487" s="44"/>
      <c r="S487" s="44"/>
      <c r="T487" s="44"/>
      <c r="U487" s="44"/>
      <c r="V487" s="44"/>
      <c r="W487" s="44"/>
      <c r="X487" s="44"/>
      <c r="Y487" s="44"/>
      <c r="Z487" s="44"/>
    </row>
    <row r="488" ht="9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78"/>
      <c r="R488" s="44"/>
      <c r="S488" s="44"/>
      <c r="T488" s="44"/>
      <c r="U488" s="44"/>
      <c r="V488" s="44"/>
      <c r="W488" s="44"/>
      <c r="X488" s="44"/>
      <c r="Y488" s="44"/>
      <c r="Z488" s="44"/>
    </row>
    <row r="489" ht="9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78"/>
      <c r="R489" s="44"/>
      <c r="S489" s="44"/>
      <c r="T489" s="44"/>
      <c r="U489" s="44"/>
      <c r="V489" s="44"/>
      <c r="W489" s="44"/>
      <c r="X489" s="44"/>
      <c r="Y489" s="44"/>
      <c r="Z489" s="44"/>
    </row>
    <row r="490" ht="9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78"/>
      <c r="R490" s="44"/>
      <c r="S490" s="44"/>
      <c r="T490" s="44"/>
      <c r="U490" s="44"/>
      <c r="V490" s="44"/>
      <c r="W490" s="44"/>
      <c r="X490" s="44"/>
      <c r="Y490" s="44"/>
      <c r="Z490" s="44"/>
    </row>
    <row r="491" ht="9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78"/>
      <c r="R491" s="44"/>
      <c r="S491" s="44"/>
      <c r="T491" s="44"/>
      <c r="U491" s="44"/>
      <c r="V491" s="44"/>
      <c r="W491" s="44"/>
      <c r="X491" s="44"/>
      <c r="Y491" s="44"/>
      <c r="Z491" s="44"/>
    </row>
    <row r="492" ht="9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78"/>
      <c r="R492" s="44"/>
      <c r="S492" s="44"/>
      <c r="T492" s="44"/>
      <c r="U492" s="44"/>
      <c r="V492" s="44"/>
      <c r="W492" s="44"/>
      <c r="X492" s="44"/>
      <c r="Y492" s="44"/>
      <c r="Z492" s="44"/>
    </row>
    <row r="493" ht="9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78"/>
      <c r="R493" s="44"/>
      <c r="S493" s="44"/>
      <c r="T493" s="44"/>
      <c r="U493" s="44"/>
      <c r="V493" s="44"/>
      <c r="W493" s="44"/>
      <c r="X493" s="44"/>
      <c r="Y493" s="44"/>
      <c r="Z493" s="44"/>
    </row>
    <row r="494" ht="9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78"/>
      <c r="R494" s="44"/>
      <c r="S494" s="44"/>
      <c r="T494" s="44"/>
      <c r="U494" s="44"/>
      <c r="V494" s="44"/>
      <c r="W494" s="44"/>
      <c r="X494" s="44"/>
      <c r="Y494" s="44"/>
      <c r="Z494" s="44"/>
    </row>
    <row r="495" ht="9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78"/>
      <c r="R495" s="44"/>
      <c r="S495" s="44"/>
      <c r="T495" s="44"/>
      <c r="U495" s="44"/>
      <c r="V495" s="44"/>
      <c r="W495" s="44"/>
      <c r="X495" s="44"/>
      <c r="Y495" s="44"/>
      <c r="Z495" s="44"/>
    </row>
    <row r="496" ht="9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78"/>
      <c r="R496" s="44"/>
      <c r="S496" s="44"/>
      <c r="T496" s="44"/>
      <c r="U496" s="44"/>
      <c r="V496" s="44"/>
      <c r="W496" s="44"/>
      <c r="X496" s="44"/>
      <c r="Y496" s="44"/>
      <c r="Z496" s="44"/>
    </row>
    <row r="497" ht="9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78"/>
      <c r="R497" s="44"/>
      <c r="S497" s="44"/>
      <c r="T497" s="44"/>
      <c r="U497" s="44"/>
      <c r="V497" s="44"/>
      <c r="W497" s="44"/>
      <c r="X497" s="44"/>
      <c r="Y497" s="44"/>
      <c r="Z497" s="44"/>
    </row>
    <row r="498" ht="9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78"/>
      <c r="R498" s="44"/>
      <c r="S498" s="44"/>
      <c r="T498" s="44"/>
      <c r="U498" s="44"/>
      <c r="V498" s="44"/>
      <c r="W498" s="44"/>
      <c r="X498" s="44"/>
      <c r="Y498" s="44"/>
      <c r="Z498" s="44"/>
    </row>
    <row r="499" ht="9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78"/>
      <c r="R499" s="44"/>
      <c r="S499" s="44"/>
      <c r="T499" s="44"/>
      <c r="U499" s="44"/>
      <c r="V499" s="44"/>
      <c r="W499" s="44"/>
      <c r="X499" s="44"/>
      <c r="Y499" s="44"/>
      <c r="Z499" s="44"/>
    </row>
    <row r="500" ht="9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78"/>
      <c r="R500" s="44"/>
      <c r="S500" s="44"/>
      <c r="T500" s="44"/>
      <c r="U500" s="44"/>
      <c r="V500" s="44"/>
      <c r="W500" s="44"/>
      <c r="X500" s="44"/>
      <c r="Y500" s="44"/>
      <c r="Z500" s="44"/>
    </row>
    <row r="501" ht="9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78"/>
      <c r="R501" s="44"/>
      <c r="S501" s="44"/>
      <c r="T501" s="44"/>
      <c r="U501" s="44"/>
      <c r="V501" s="44"/>
      <c r="W501" s="44"/>
      <c r="X501" s="44"/>
      <c r="Y501" s="44"/>
      <c r="Z501" s="44"/>
    </row>
    <row r="502" ht="9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78"/>
      <c r="R502" s="44"/>
      <c r="S502" s="44"/>
      <c r="T502" s="44"/>
      <c r="U502" s="44"/>
      <c r="V502" s="44"/>
      <c r="W502" s="44"/>
      <c r="X502" s="44"/>
      <c r="Y502" s="44"/>
      <c r="Z502" s="44"/>
    </row>
    <row r="503" ht="9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78"/>
      <c r="R503" s="44"/>
      <c r="S503" s="44"/>
      <c r="T503" s="44"/>
      <c r="U503" s="44"/>
      <c r="V503" s="44"/>
      <c r="W503" s="44"/>
      <c r="X503" s="44"/>
      <c r="Y503" s="44"/>
      <c r="Z503" s="44"/>
    </row>
    <row r="504" ht="9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78"/>
      <c r="R504" s="44"/>
      <c r="S504" s="44"/>
      <c r="T504" s="44"/>
      <c r="U504" s="44"/>
      <c r="V504" s="44"/>
      <c r="W504" s="44"/>
      <c r="X504" s="44"/>
      <c r="Y504" s="44"/>
      <c r="Z504" s="44"/>
    </row>
    <row r="505" ht="9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78"/>
      <c r="R505" s="44"/>
      <c r="S505" s="44"/>
      <c r="T505" s="44"/>
      <c r="U505" s="44"/>
      <c r="V505" s="44"/>
      <c r="W505" s="44"/>
      <c r="X505" s="44"/>
      <c r="Y505" s="44"/>
      <c r="Z505" s="44"/>
    </row>
    <row r="506" ht="9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78"/>
      <c r="R506" s="44"/>
      <c r="S506" s="44"/>
      <c r="T506" s="44"/>
      <c r="U506" s="44"/>
      <c r="V506" s="44"/>
      <c r="W506" s="44"/>
      <c r="X506" s="44"/>
      <c r="Y506" s="44"/>
      <c r="Z506" s="44"/>
    </row>
    <row r="507" ht="9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78"/>
      <c r="R507" s="44"/>
      <c r="S507" s="44"/>
      <c r="T507" s="44"/>
      <c r="U507" s="44"/>
      <c r="V507" s="44"/>
      <c r="W507" s="44"/>
      <c r="X507" s="44"/>
      <c r="Y507" s="44"/>
      <c r="Z507" s="44"/>
    </row>
    <row r="508" ht="9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78"/>
      <c r="R508" s="44"/>
      <c r="S508" s="44"/>
      <c r="T508" s="44"/>
      <c r="U508" s="44"/>
      <c r="V508" s="44"/>
      <c r="W508" s="44"/>
      <c r="X508" s="44"/>
      <c r="Y508" s="44"/>
      <c r="Z508" s="44"/>
    </row>
    <row r="509" ht="9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78"/>
      <c r="R509" s="44"/>
      <c r="S509" s="44"/>
      <c r="T509" s="44"/>
      <c r="U509" s="44"/>
      <c r="V509" s="44"/>
      <c r="W509" s="44"/>
      <c r="X509" s="44"/>
      <c r="Y509" s="44"/>
      <c r="Z509" s="44"/>
    </row>
    <row r="510" ht="9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78"/>
      <c r="R510" s="44"/>
      <c r="S510" s="44"/>
      <c r="T510" s="44"/>
      <c r="U510" s="44"/>
      <c r="V510" s="44"/>
      <c r="W510" s="44"/>
      <c r="X510" s="44"/>
      <c r="Y510" s="44"/>
      <c r="Z510" s="44"/>
    </row>
    <row r="511" ht="9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78"/>
      <c r="R511" s="44"/>
      <c r="S511" s="44"/>
      <c r="T511" s="44"/>
      <c r="U511" s="44"/>
      <c r="V511" s="44"/>
      <c r="W511" s="44"/>
      <c r="X511" s="44"/>
      <c r="Y511" s="44"/>
      <c r="Z511" s="44"/>
    </row>
    <row r="512" ht="9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78"/>
      <c r="R512" s="44"/>
      <c r="S512" s="44"/>
      <c r="T512" s="44"/>
      <c r="U512" s="44"/>
      <c r="V512" s="44"/>
      <c r="W512" s="44"/>
      <c r="X512" s="44"/>
      <c r="Y512" s="44"/>
      <c r="Z512" s="44"/>
    </row>
    <row r="513" ht="9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78"/>
      <c r="R513" s="44"/>
      <c r="S513" s="44"/>
      <c r="T513" s="44"/>
      <c r="U513" s="44"/>
      <c r="V513" s="44"/>
      <c r="W513" s="44"/>
      <c r="X513" s="44"/>
      <c r="Y513" s="44"/>
      <c r="Z513" s="44"/>
    </row>
    <row r="514" ht="9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78"/>
      <c r="R514" s="44"/>
      <c r="S514" s="44"/>
      <c r="T514" s="44"/>
      <c r="U514" s="44"/>
      <c r="V514" s="44"/>
      <c r="W514" s="44"/>
      <c r="X514" s="44"/>
      <c r="Y514" s="44"/>
      <c r="Z514" s="44"/>
    </row>
    <row r="515" ht="9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78"/>
      <c r="R515" s="44"/>
      <c r="S515" s="44"/>
      <c r="T515" s="44"/>
      <c r="U515" s="44"/>
      <c r="V515" s="44"/>
      <c r="W515" s="44"/>
      <c r="X515" s="44"/>
      <c r="Y515" s="44"/>
      <c r="Z515" s="44"/>
    </row>
    <row r="516" ht="9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78"/>
      <c r="R516" s="44"/>
      <c r="S516" s="44"/>
      <c r="T516" s="44"/>
      <c r="U516" s="44"/>
      <c r="V516" s="44"/>
      <c r="W516" s="44"/>
      <c r="X516" s="44"/>
      <c r="Y516" s="44"/>
      <c r="Z516" s="44"/>
    </row>
    <row r="517" ht="9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78"/>
      <c r="R517" s="44"/>
      <c r="S517" s="44"/>
      <c r="T517" s="44"/>
      <c r="U517" s="44"/>
      <c r="V517" s="44"/>
      <c r="W517" s="44"/>
      <c r="X517" s="44"/>
      <c r="Y517" s="44"/>
      <c r="Z517" s="44"/>
    </row>
    <row r="518" ht="9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78"/>
      <c r="R518" s="44"/>
      <c r="S518" s="44"/>
      <c r="T518" s="44"/>
      <c r="U518" s="44"/>
      <c r="V518" s="44"/>
      <c r="W518" s="44"/>
      <c r="X518" s="44"/>
      <c r="Y518" s="44"/>
      <c r="Z518" s="44"/>
    </row>
    <row r="519" ht="9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78"/>
      <c r="R519" s="44"/>
      <c r="S519" s="44"/>
      <c r="T519" s="44"/>
      <c r="U519" s="44"/>
      <c r="V519" s="44"/>
      <c r="W519" s="44"/>
      <c r="X519" s="44"/>
      <c r="Y519" s="44"/>
      <c r="Z519" s="44"/>
    </row>
    <row r="520" ht="9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78"/>
      <c r="R520" s="44"/>
      <c r="S520" s="44"/>
      <c r="T520" s="44"/>
      <c r="U520" s="44"/>
      <c r="V520" s="44"/>
      <c r="W520" s="44"/>
      <c r="X520" s="44"/>
      <c r="Y520" s="44"/>
      <c r="Z520" s="44"/>
    </row>
    <row r="521" ht="9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78"/>
      <c r="R521" s="44"/>
      <c r="S521" s="44"/>
      <c r="T521" s="44"/>
      <c r="U521" s="44"/>
      <c r="V521" s="44"/>
      <c r="W521" s="44"/>
      <c r="X521" s="44"/>
      <c r="Y521" s="44"/>
      <c r="Z521" s="44"/>
    </row>
    <row r="522" ht="9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78"/>
      <c r="R522" s="44"/>
      <c r="S522" s="44"/>
      <c r="T522" s="44"/>
      <c r="U522" s="44"/>
      <c r="V522" s="44"/>
      <c r="W522" s="44"/>
      <c r="X522" s="44"/>
      <c r="Y522" s="44"/>
      <c r="Z522" s="44"/>
    </row>
    <row r="523" ht="9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78"/>
      <c r="R523" s="44"/>
      <c r="S523" s="44"/>
      <c r="T523" s="44"/>
      <c r="U523" s="44"/>
      <c r="V523" s="44"/>
      <c r="W523" s="44"/>
      <c r="X523" s="44"/>
      <c r="Y523" s="44"/>
      <c r="Z523" s="44"/>
    </row>
    <row r="524" ht="9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78"/>
      <c r="R524" s="44"/>
      <c r="S524" s="44"/>
      <c r="T524" s="44"/>
      <c r="U524" s="44"/>
      <c r="V524" s="44"/>
      <c r="W524" s="44"/>
      <c r="X524" s="44"/>
      <c r="Y524" s="44"/>
      <c r="Z524" s="44"/>
    </row>
    <row r="525" ht="9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78"/>
      <c r="R525" s="44"/>
      <c r="S525" s="44"/>
      <c r="T525" s="44"/>
      <c r="U525" s="44"/>
      <c r="V525" s="44"/>
      <c r="W525" s="44"/>
      <c r="X525" s="44"/>
      <c r="Y525" s="44"/>
      <c r="Z525" s="44"/>
    </row>
    <row r="526" ht="9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78"/>
      <c r="R526" s="44"/>
      <c r="S526" s="44"/>
      <c r="T526" s="44"/>
      <c r="U526" s="44"/>
      <c r="V526" s="44"/>
      <c r="W526" s="44"/>
      <c r="X526" s="44"/>
      <c r="Y526" s="44"/>
      <c r="Z526" s="44"/>
    </row>
    <row r="527" ht="9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78"/>
      <c r="R527" s="44"/>
      <c r="S527" s="44"/>
      <c r="T527" s="44"/>
      <c r="U527" s="44"/>
      <c r="V527" s="44"/>
      <c r="W527" s="44"/>
      <c r="X527" s="44"/>
      <c r="Y527" s="44"/>
      <c r="Z527" s="44"/>
    </row>
    <row r="528" ht="9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78"/>
      <c r="R528" s="44"/>
      <c r="S528" s="44"/>
      <c r="T528" s="44"/>
      <c r="U528" s="44"/>
      <c r="V528" s="44"/>
      <c r="W528" s="44"/>
      <c r="X528" s="44"/>
      <c r="Y528" s="44"/>
      <c r="Z528" s="44"/>
    </row>
    <row r="529" ht="9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78"/>
      <c r="R529" s="44"/>
      <c r="S529" s="44"/>
      <c r="T529" s="44"/>
      <c r="U529" s="44"/>
      <c r="V529" s="44"/>
      <c r="W529" s="44"/>
      <c r="X529" s="44"/>
      <c r="Y529" s="44"/>
      <c r="Z529" s="44"/>
    </row>
    <row r="530" ht="9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78"/>
      <c r="R530" s="44"/>
      <c r="S530" s="44"/>
      <c r="T530" s="44"/>
      <c r="U530" s="44"/>
      <c r="V530" s="44"/>
      <c r="W530" s="44"/>
      <c r="X530" s="44"/>
      <c r="Y530" s="44"/>
      <c r="Z530" s="44"/>
    </row>
    <row r="531" ht="9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78"/>
      <c r="R531" s="44"/>
      <c r="S531" s="44"/>
      <c r="T531" s="44"/>
      <c r="U531" s="44"/>
      <c r="V531" s="44"/>
      <c r="W531" s="44"/>
      <c r="X531" s="44"/>
      <c r="Y531" s="44"/>
      <c r="Z531" s="44"/>
    </row>
    <row r="532" ht="9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78"/>
      <c r="R532" s="44"/>
      <c r="S532" s="44"/>
      <c r="T532" s="44"/>
      <c r="U532" s="44"/>
      <c r="V532" s="44"/>
      <c r="W532" s="44"/>
      <c r="X532" s="44"/>
      <c r="Y532" s="44"/>
      <c r="Z532" s="44"/>
    </row>
    <row r="533" ht="9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78"/>
      <c r="R533" s="44"/>
      <c r="S533" s="44"/>
      <c r="T533" s="44"/>
      <c r="U533" s="44"/>
      <c r="V533" s="44"/>
      <c r="W533" s="44"/>
      <c r="X533" s="44"/>
      <c r="Y533" s="44"/>
      <c r="Z533" s="44"/>
    </row>
    <row r="534" ht="9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78"/>
      <c r="R534" s="44"/>
      <c r="S534" s="44"/>
      <c r="T534" s="44"/>
      <c r="U534" s="44"/>
      <c r="V534" s="44"/>
      <c r="W534" s="44"/>
      <c r="X534" s="44"/>
      <c r="Y534" s="44"/>
      <c r="Z534" s="44"/>
    </row>
    <row r="535" ht="9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78"/>
      <c r="R535" s="44"/>
      <c r="S535" s="44"/>
      <c r="T535" s="44"/>
      <c r="U535" s="44"/>
      <c r="V535" s="44"/>
      <c r="W535" s="44"/>
      <c r="X535" s="44"/>
      <c r="Y535" s="44"/>
      <c r="Z535" s="44"/>
    </row>
    <row r="536" ht="9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78"/>
      <c r="R536" s="44"/>
      <c r="S536" s="44"/>
      <c r="T536" s="44"/>
      <c r="U536" s="44"/>
      <c r="V536" s="44"/>
      <c r="W536" s="44"/>
      <c r="X536" s="44"/>
      <c r="Y536" s="44"/>
      <c r="Z536" s="44"/>
    </row>
    <row r="537" ht="9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78"/>
      <c r="R537" s="44"/>
      <c r="S537" s="44"/>
      <c r="T537" s="44"/>
      <c r="U537" s="44"/>
      <c r="V537" s="44"/>
      <c r="W537" s="44"/>
      <c r="X537" s="44"/>
      <c r="Y537" s="44"/>
      <c r="Z537" s="44"/>
    </row>
    <row r="538" ht="9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78"/>
      <c r="R538" s="44"/>
      <c r="S538" s="44"/>
      <c r="T538" s="44"/>
      <c r="U538" s="44"/>
      <c r="V538" s="44"/>
      <c r="W538" s="44"/>
      <c r="X538" s="44"/>
      <c r="Y538" s="44"/>
      <c r="Z538" s="44"/>
    </row>
    <row r="539" ht="9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78"/>
      <c r="R539" s="44"/>
      <c r="S539" s="44"/>
      <c r="T539" s="44"/>
      <c r="U539" s="44"/>
      <c r="V539" s="44"/>
      <c r="W539" s="44"/>
      <c r="X539" s="44"/>
      <c r="Y539" s="44"/>
      <c r="Z539" s="44"/>
    </row>
    <row r="540" ht="9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78"/>
      <c r="R540" s="44"/>
      <c r="S540" s="44"/>
      <c r="T540" s="44"/>
      <c r="U540" s="44"/>
      <c r="V540" s="44"/>
      <c r="W540" s="44"/>
      <c r="X540" s="44"/>
      <c r="Y540" s="44"/>
      <c r="Z540" s="44"/>
    </row>
    <row r="541" ht="9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78"/>
      <c r="R541" s="44"/>
      <c r="S541" s="44"/>
      <c r="T541" s="44"/>
      <c r="U541" s="44"/>
      <c r="V541" s="44"/>
      <c r="W541" s="44"/>
      <c r="X541" s="44"/>
      <c r="Y541" s="44"/>
      <c r="Z541" s="44"/>
    </row>
    <row r="542" ht="9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78"/>
      <c r="R542" s="44"/>
      <c r="S542" s="44"/>
      <c r="T542" s="44"/>
      <c r="U542" s="44"/>
      <c r="V542" s="44"/>
      <c r="W542" s="44"/>
      <c r="X542" s="44"/>
      <c r="Y542" s="44"/>
      <c r="Z542" s="44"/>
    </row>
    <row r="543" ht="9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78"/>
      <c r="R543" s="44"/>
      <c r="S543" s="44"/>
      <c r="T543" s="44"/>
      <c r="U543" s="44"/>
      <c r="V543" s="44"/>
      <c r="W543" s="44"/>
      <c r="X543" s="44"/>
      <c r="Y543" s="44"/>
      <c r="Z543" s="44"/>
    </row>
    <row r="544" ht="9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78"/>
      <c r="R544" s="44"/>
      <c r="S544" s="44"/>
      <c r="T544" s="44"/>
      <c r="U544" s="44"/>
      <c r="V544" s="44"/>
      <c r="W544" s="44"/>
      <c r="X544" s="44"/>
      <c r="Y544" s="44"/>
      <c r="Z544" s="44"/>
    </row>
    <row r="545" ht="9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78"/>
      <c r="R545" s="44"/>
      <c r="S545" s="44"/>
      <c r="T545" s="44"/>
      <c r="U545" s="44"/>
      <c r="V545" s="44"/>
      <c r="W545" s="44"/>
      <c r="X545" s="44"/>
      <c r="Y545" s="44"/>
      <c r="Z545" s="44"/>
    </row>
    <row r="546" ht="9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78"/>
      <c r="R546" s="44"/>
      <c r="S546" s="44"/>
      <c r="T546" s="44"/>
      <c r="U546" s="44"/>
      <c r="V546" s="44"/>
      <c r="W546" s="44"/>
      <c r="X546" s="44"/>
      <c r="Y546" s="44"/>
      <c r="Z546" s="44"/>
    </row>
    <row r="547" ht="9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78"/>
      <c r="R547" s="44"/>
      <c r="S547" s="44"/>
      <c r="T547" s="44"/>
      <c r="U547" s="44"/>
      <c r="V547" s="44"/>
      <c r="W547" s="44"/>
      <c r="X547" s="44"/>
      <c r="Y547" s="44"/>
      <c r="Z547" s="44"/>
    </row>
    <row r="548" ht="9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78"/>
      <c r="R548" s="44"/>
      <c r="S548" s="44"/>
      <c r="T548" s="44"/>
      <c r="U548" s="44"/>
      <c r="V548" s="44"/>
      <c r="W548" s="44"/>
      <c r="X548" s="44"/>
      <c r="Y548" s="44"/>
      <c r="Z548" s="44"/>
    </row>
    <row r="549" ht="9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78"/>
      <c r="R549" s="44"/>
      <c r="S549" s="44"/>
      <c r="T549" s="44"/>
      <c r="U549" s="44"/>
      <c r="V549" s="44"/>
      <c r="W549" s="44"/>
      <c r="X549" s="44"/>
      <c r="Y549" s="44"/>
      <c r="Z549" s="44"/>
    </row>
    <row r="550" ht="9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78"/>
      <c r="R550" s="44"/>
      <c r="S550" s="44"/>
      <c r="T550" s="44"/>
      <c r="U550" s="44"/>
      <c r="V550" s="44"/>
      <c r="W550" s="44"/>
      <c r="X550" s="44"/>
      <c r="Y550" s="44"/>
      <c r="Z550" s="44"/>
    </row>
    <row r="551" ht="9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78"/>
      <c r="R551" s="44"/>
      <c r="S551" s="44"/>
      <c r="T551" s="44"/>
      <c r="U551" s="44"/>
      <c r="V551" s="44"/>
      <c r="W551" s="44"/>
      <c r="X551" s="44"/>
      <c r="Y551" s="44"/>
      <c r="Z551" s="44"/>
    </row>
    <row r="552" ht="9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78"/>
      <c r="R552" s="44"/>
      <c r="S552" s="44"/>
      <c r="T552" s="44"/>
      <c r="U552" s="44"/>
      <c r="V552" s="44"/>
      <c r="W552" s="44"/>
      <c r="X552" s="44"/>
      <c r="Y552" s="44"/>
      <c r="Z552" s="44"/>
    </row>
    <row r="553" ht="9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78"/>
      <c r="R553" s="44"/>
      <c r="S553" s="44"/>
      <c r="T553" s="44"/>
      <c r="U553" s="44"/>
      <c r="V553" s="44"/>
      <c r="W553" s="44"/>
      <c r="X553" s="44"/>
      <c r="Y553" s="44"/>
      <c r="Z553" s="44"/>
    </row>
    <row r="554" ht="9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78"/>
      <c r="R554" s="44"/>
      <c r="S554" s="44"/>
      <c r="T554" s="44"/>
      <c r="U554" s="44"/>
      <c r="V554" s="44"/>
      <c r="W554" s="44"/>
      <c r="X554" s="44"/>
      <c r="Y554" s="44"/>
      <c r="Z554" s="44"/>
    </row>
    <row r="555" ht="9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78"/>
      <c r="R555" s="44"/>
      <c r="S555" s="44"/>
      <c r="T555" s="44"/>
      <c r="U555" s="44"/>
      <c r="V555" s="44"/>
      <c r="W555" s="44"/>
      <c r="X555" s="44"/>
      <c r="Y555" s="44"/>
      <c r="Z555" s="44"/>
    </row>
    <row r="556" ht="9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78"/>
      <c r="R556" s="44"/>
      <c r="S556" s="44"/>
      <c r="T556" s="44"/>
      <c r="U556" s="44"/>
      <c r="V556" s="44"/>
      <c r="W556" s="44"/>
      <c r="X556" s="44"/>
      <c r="Y556" s="44"/>
      <c r="Z556" s="44"/>
    </row>
    <row r="557" ht="9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78"/>
      <c r="R557" s="44"/>
      <c r="S557" s="44"/>
      <c r="T557" s="44"/>
      <c r="U557" s="44"/>
      <c r="V557" s="44"/>
      <c r="W557" s="44"/>
      <c r="X557" s="44"/>
      <c r="Y557" s="44"/>
      <c r="Z557" s="44"/>
    </row>
    <row r="558" ht="9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78"/>
      <c r="R558" s="44"/>
      <c r="S558" s="44"/>
      <c r="T558" s="44"/>
      <c r="U558" s="44"/>
      <c r="V558" s="44"/>
      <c r="W558" s="44"/>
      <c r="X558" s="44"/>
      <c r="Y558" s="44"/>
      <c r="Z558" s="44"/>
    </row>
    <row r="559" ht="9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78"/>
      <c r="R559" s="44"/>
      <c r="S559" s="44"/>
      <c r="T559" s="44"/>
      <c r="U559" s="44"/>
      <c r="V559" s="44"/>
      <c r="W559" s="44"/>
      <c r="X559" s="44"/>
      <c r="Y559" s="44"/>
      <c r="Z559" s="44"/>
    </row>
    <row r="560" ht="9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78"/>
      <c r="R560" s="44"/>
      <c r="S560" s="44"/>
      <c r="T560" s="44"/>
      <c r="U560" s="44"/>
      <c r="V560" s="44"/>
      <c r="W560" s="44"/>
      <c r="X560" s="44"/>
      <c r="Y560" s="44"/>
      <c r="Z560" s="44"/>
    </row>
    <row r="561" ht="9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78"/>
      <c r="R561" s="44"/>
      <c r="S561" s="44"/>
      <c r="T561" s="44"/>
      <c r="U561" s="44"/>
      <c r="V561" s="44"/>
      <c r="W561" s="44"/>
      <c r="X561" s="44"/>
      <c r="Y561" s="44"/>
      <c r="Z561" s="44"/>
    </row>
    <row r="562" ht="9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78"/>
      <c r="R562" s="44"/>
      <c r="S562" s="44"/>
      <c r="T562" s="44"/>
      <c r="U562" s="44"/>
      <c r="V562" s="44"/>
      <c r="W562" s="44"/>
      <c r="X562" s="44"/>
      <c r="Y562" s="44"/>
      <c r="Z562" s="44"/>
    </row>
    <row r="563" ht="9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78"/>
      <c r="R563" s="44"/>
      <c r="S563" s="44"/>
      <c r="T563" s="44"/>
      <c r="U563" s="44"/>
      <c r="V563" s="44"/>
      <c r="W563" s="44"/>
      <c r="X563" s="44"/>
      <c r="Y563" s="44"/>
      <c r="Z563" s="44"/>
    </row>
    <row r="564" ht="9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78"/>
      <c r="R564" s="44"/>
      <c r="S564" s="44"/>
      <c r="T564" s="44"/>
      <c r="U564" s="44"/>
      <c r="V564" s="44"/>
      <c r="W564" s="44"/>
      <c r="X564" s="44"/>
      <c r="Y564" s="44"/>
      <c r="Z564" s="44"/>
    </row>
    <row r="565" ht="9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78"/>
      <c r="R565" s="44"/>
      <c r="S565" s="44"/>
      <c r="T565" s="44"/>
      <c r="U565" s="44"/>
      <c r="V565" s="44"/>
      <c r="W565" s="44"/>
      <c r="X565" s="44"/>
      <c r="Y565" s="44"/>
      <c r="Z565" s="44"/>
    </row>
    <row r="566" ht="9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78"/>
      <c r="R566" s="44"/>
      <c r="S566" s="44"/>
      <c r="T566" s="44"/>
      <c r="U566" s="44"/>
      <c r="V566" s="44"/>
      <c r="W566" s="44"/>
      <c r="X566" s="44"/>
      <c r="Y566" s="44"/>
      <c r="Z566" s="44"/>
    </row>
    <row r="567" ht="9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78"/>
      <c r="R567" s="44"/>
      <c r="S567" s="44"/>
      <c r="T567" s="44"/>
      <c r="U567" s="44"/>
      <c r="V567" s="44"/>
      <c r="W567" s="44"/>
      <c r="X567" s="44"/>
      <c r="Y567" s="44"/>
      <c r="Z567" s="44"/>
    </row>
    <row r="568" ht="9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78"/>
      <c r="R568" s="44"/>
      <c r="S568" s="44"/>
      <c r="T568" s="44"/>
      <c r="U568" s="44"/>
      <c r="V568" s="44"/>
      <c r="W568" s="44"/>
      <c r="X568" s="44"/>
      <c r="Y568" s="44"/>
      <c r="Z568" s="44"/>
    </row>
    <row r="569" ht="9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78"/>
      <c r="R569" s="44"/>
      <c r="S569" s="44"/>
      <c r="T569" s="44"/>
      <c r="U569" s="44"/>
      <c r="V569" s="44"/>
      <c r="W569" s="44"/>
      <c r="X569" s="44"/>
      <c r="Y569" s="44"/>
      <c r="Z569" s="44"/>
    </row>
    <row r="570" ht="9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78"/>
      <c r="R570" s="44"/>
      <c r="S570" s="44"/>
      <c r="T570" s="44"/>
      <c r="U570" s="44"/>
      <c r="V570" s="44"/>
      <c r="W570" s="44"/>
      <c r="X570" s="44"/>
      <c r="Y570" s="44"/>
      <c r="Z570" s="44"/>
    </row>
    <row r="571" ht="9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78"/>
      <c r="R571" s="44"/>
      <c r="S571" s="44"/>
      <c r="T571" s="44"/>
      <c r="U571" s="44"/>
      <c r="V571" s="44"/>
      <c r="W571" s="44"/>
      <c r="X571" s="44"/>
      <c r="Y571" s="44"/>
      <c r="Z571" s="44"/>
    </row>
    <row r="572" ht="9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78"/>
      <c r="R572" s="44"/>
      <c r="S572" s="44"/>
      <c r="T572" s="44"/>
      <c r="U572" s="44"/>
      <c r="V572" s="44"/>
      <c r="W572" s="44"/>
      <c r="X572" s="44"/>
      <c r="Y572" s="44"/>
      <c r="Z572" s="44"/>
    </row>
    <row r="573" ht="9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78"/>
      <c r="R573" s="44"/>
      <c r="S573" s="44"/>
      <c r="T573" s="44"/>
      <c r="U573" s="44"/>
      <c r="V573" s="44"/>
      <c r="W573" s="44"/>
      <c r="X573" s="44"/>
      <c r="Y573" s="44"/>
      <c r="Z573" s="44"/>
    </row>
    <row r="574" ht="9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78"/>
      <c r="R574" s="44"/>
      <c r="S574" s="44"/>
      <c r="T574" s="44"/>
      <c r="U574" s="44"/>
      <c r="V574" s="44"/>
      <c r="W574" s="44"/>
      <c r="X574" s="44"/>
      <c r="Y574" s="44"/>
      <c r="Z574" s="44"/>
    </row>
    <row r="575" ht="9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78"/>
      <c r="R575" s="44"/>
      <c r="S575" s="44"/>
      <c r="T575" s="44"/>
      <c r="U575" s="44"/>
      <c r="V575" s="44"/>
      <c r="W575" s="44"/>
      <c r="X575" s="44"/>
      <c r="Y575" s="44"/>
      <c r="Z575" s="44"/>
    </row>
    <row r="576" ht="9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78"/>
      <c r="R576" s="44"/>
      <c r="S576" s="44"/>
      <c r="T576" s="44"/>
      <c r="U576" s="44"/>
      <c r="V576" s="44"/>
      <c r="W576" s="44"/>
      <c r="X576" s="44"/>
      <c r="Y576" s="44"/>
      <c r="Z576" s="44"/>
    </row>
    <row r="577" ht="9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78"/>
      <c r="R577" s="44"/>
      <c r="S577" s="44"/>
      <c r="T577" s="44"/>
      <c r="U577" s="44"/>
      <c r="V577" s="44"/>
      <c r="W577" s="44"/>
      <c r="X577" s="44"/>
      <c r="Y577" s="44"/>
      <c r="Z577" s="44"/>
    </row>
    <row r="578" ht="9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78"/>
      <c r="R578" s="44"/>
      <c r="S578" s="44"/>
      <c r="T578" s="44"/>
      <c r="U578" s="44"/>
      <c r="V578" s="44"/>
      <c r="W578" s="44"/>
      <c r="X578" s="44"/>
      <c r="Y578" s="44"/>
      <c r="Z578" s="44"/>
    </row>
    <row r="579" ht="9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78"/>
      <c r="R579" s="44"/>
      <c r="S579" s="44"/>
      <c r="T579" s="44"/>
      <c r="U579" s="44"/>
      <c r="V579" s="44"/>
      <c r="W579" s="44"/>
      <c r="X579" s="44"/>
      <c r="Y579" s="44"/>
      <c r="Z579" s="44"/>
    </row>
    <row r="580" ht="9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78"/>
      <c r="R580" s="44"/>
      <c r="S580" s="44"/>
      <c r="T580" s="44"/>
      <c r="U580" s="44"/>
      <c r="V580" s="44"/>
      <c r="W580" s="44"/>
      <c r="X580" s="44"/>
      <c r="Y580" s="44"/>
      <c r="Z580" s="44"/>
    </row>
    <row r="581" ht="9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78"/>
      <c r="R581" s="44"/>
      <c r="S581" s="44"/>
      <c r="T581" s="44"/>
      <c r="U581" s="44"/>
      <c r="V581" s="44"/>
      <c r="W581" s="44"/>
      <c r="X581" s="44"/>
      <c r="Y581" s="44"/>
      <c r="Z581" s="44"/>
    </row>
    <row r="582" ht="9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78"/>
      <c r="R582" s="44"/>
      <c r="S582" s="44"/>
      <c r="T582" s="44"/>
      <c r="U582" s="44"/>
      <c r="V582" s="44"/>
      <c r="W582" s="44"/>
      <c r="X582" s="44"/>
      <c r="Y582" s="44"/>
      <c r="Z582" s="44"/>
    </row>
    <row r="583" ht="9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78"/>
      <c r="R583" s="44"/>
      <c r="S583" s="44"/>
      <c r="T583" s="44"/>
      <c r="U583" s="44"/>
      <c r="V583" s="44"/>
      <c r="W583" s="44"/>
      <c r="X583" s="44"/>
      <c r="Y583" s="44"/>
      <c r="Z583" s="44"/>
    </row>
    <row r="584" ht="9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78"/>
      <c r="R584" s="44"/>
      <c r="S584" s="44"/>
      <c r="T584" s="44"/>
      <c r="U584" s="44"/>
      <c r="V584" s="44"/>
      <c r="W584" s="44"/>
      <c r="X584" s="44"/>
      <c r="Y584" s="44"/>
      <c r="Z584" s="44"/>
    </row>
    <row r="585" ht="9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78"/>
      <c r="R585" s="44"/>
      <c r="S585" s="44"/>
      <c r="T585" s="44"/>
      <c r="U585" s="44"/>
      <c r="V585" s="44"/>
      <c r="W585" s="44"/>
      <c r="X585" s="44"/>
      <c r="Y585" s="44"/>
      <c r="Z585" s="44"/>
    </row>
    <row r="586" ht="9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78"/>
      <c r="R586" s="44"/>
      <c r="S586" s="44"/>
      <c r="T586" s="44"/>
      <c r="U586" s="44"/>
      <c r="V586" s="44"/>
      <c r="W586" s="44"/>
      <c r="X586" s="44"/>
      <c r="Y586" s="44"/>
      <c r="Z586" s="44"/>
    </row>
    <row r="587" ht="9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78"/>
      <c r="R587" s="44"/>
      <c r="S587" s="44"/>
      <c r="T587" s="44"/>
      <c r="U587" s="44"/>
      <c r="V587" s="44"/>
      <c r="W587" s="44"/>
      <c r="X587" s="44"/>
      <c r="Y587" s="44"/>
      <c r="Z587" s="44"/>
    </row>
    <row r="588" ht="9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78"/>
      <c r="R588" s="44"/>
      <c r="S588" s="44"/>
      <c r="T588" s="44"/>
      <c r="U588" s="44"/>
      <c r="V588" s="44"/>
      <c r="W588" s="44"/>
      <c r="X588" s="44"/>
      <c r="Y588" s="44"/>
      <c r="Z588" s="44"/>
    </row>
    <row r="589" ht="9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78"/>
      <c r="R589" s="44"/>
      <c r="S589" s="44"/>
      <c r="T589" s="44"/>
      <c r="U589" s="44"/>
      <c r="V589" s="44"/>
      <c r="W589" s="44"/>
      <c r="X589" s="44"/>
      <c r="Y589" s="44"/>
      <c r="Z589" s="44"/>
    </row>
    <row r="590" ht="9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78"/>
      <c r="R590" s="44"/>
      <c r="S590" s="44"/>
      <c r="T590" s="44"/>
      <c r="U590" s="44"/>
      <c r="V590" s="44"/>
      <c r="W590" s="44"/>
      <c r="X590" s="44"/>
      <c r="Y590" s="44"/>
      <c r="Z590" s="44"/>
    </row>
    <row r="591" ht="9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78"/>
      <c r="R591" s="44"/>
      <c r="S591" s="44"/>
      <c r="T591" s="44"/>
      <c r="U591" s="44"/>
      <c r="V591" s="44"/>
      <c r="W591" s="44"/>
      <c r="X591" s="44"/>
      <c r="Y591" s="44"/>
      <c r="Z591" s="44"/>
    </row>
    <row r="592" ht="9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78"/>
      <c r="R592" s="44"/>
      <c r="S592" s="44"/>
      <c r="T592" s="44"/>
      <c r="U592" s="44"/>
      <c r="V592" s="44"/>
      <c r="W592" s="44"/>
      <c r="X592" s="44"/>
      <c r="Y592" s="44"/>
      <c r="Z592" s="44"/>
    </row>
    <row r="593" ht="9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78"/>
      <c r="R593" s="44"/>
      <c r="S593" s="44"/>
      <c r="T593" s="44"/>
      <c r="U593" s="44"/>
      <c r="V593" s="44"/>
      <c r="W593" s="44"/>
      <c r="X593" s="44"/>
      <c r="Y593" s="44"/>
      <c r="Z593" s="44"/>
    </row>
    <row r="594" ht="9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78"/>
      <c r="R594" s="44"/>
      <c r="S594" s="44"/>
      <c r="T594" s="44"/>
      <c r="U594" s="44"/>
      <c r="V594" s="44"/>
      <c r="W594" s="44"/>
      <c r="X594" s="44"/>
      <c r="Y594" s="44"/>
      <c r="Z594" s="44"/>
    </row>
    <row r="595" ht="9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78"/>
      <c r="R595" s="44"/>
      <c r="S595" s="44"/>
      <c r="T595" s="44"/>
      <c r="U595" s="44"/>
      <c r="V595" s="44"/>
      <c r="W595" s="44"/>
      <c r="X595" s="44"/>
      <c r="Y595" s="44"/>
      <c r="Z595" s="44"/>
    </row>
    <row r="596" ht="9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78"/>
      <c r="R596" s="44"/>
      <c r="S596" s="44"/>
      <c r="T596" s="44"/>
      <c r="U596" s="44"/>
      <c r="V596" s="44"/>
      <c r="W596" s="44"/>
      <c r="X596" s="44"/>
      <c r="Y596" s="44"/>
      <c r="Z596" s="44"/>
    </row>
    <row r="597" ht="9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78"/>
      <c r="R597" s="44"/>
      <c r="S597" s="44"/>
      <c r="T597" s="44"/>
      <c r="U597" s="44"/>
      <c r="V597" s="44"/>
      <c r="W597" s="44"/>
      <c r="X597" s="44"/>
      <c r="Y597" s="44"/>
      <c r="Z597" s="44"/>
    </row>
    <row r="598" ht="9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78"/>
      <c r="R598" s="44"/>
      <c r="S598" s="44"/>
      <c r="T598" s="44"/>
      <c r="U598" s="44"/>
      <c r="V598" s="44"/>
      <c r="W598" s="44"/>
      <c r="X598" s="44"/>
      <c r="Y598" s="44"/>
      <c r="Z598" s="44"/>
    </row>
    <row r="599" ht="9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78"/>
      <c r="R599" s="44"/>
      <c r="S599" s="44"/>
      <c r="T599" s="44"/>
      <c r="U599" s="44"/>
      <c r="V599" s="44"/>
      <c r="W599" s="44"/>
      <c r="X599" s="44"/>
      <c r="Y599" s="44"/>
      <c r="Z599" s="44"/>
    </row>
    <row r="600" ht="9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78"/>
      <c r="R600" s="44"/>
      <c r="S600" s="44"/>
      <c r="T600" s="44"/>
      <c r="U600" s="44"/>
      <c r="V600" s="44"/>
      <c r="W600" s="44"/>
      <c r="X600" s="44"/>
      <c r="Y600" s="44"/>
      <c r="Z600" s="44"/>
    </row>
    <row r="601" ht="9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78"/>
      <c r="R601" s="44"/>
      <c r="S601" s="44"/>
      <c r="T601" s="44"/>
      <c r="U601" s="44"/>
      <c r="V601" s="44"/>
      <c r="W601" s="44"/>
      <c r="X601" s="44"/>
      <c r="Y601" s="44"/>
      <c r="Z601" s="44"/>
    </row>
    <row r="602" ht="9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78"/>
      <c r="R602" s="44"/>
      <c r="S602" s="44"/>
      <c r="T602" s="44"/>
      <c r="U602" s="44"/>
      <c r="V602" s="44"/>
      <c r="W602" s="44"/>
      <c r="X602" s="44"/>
      <c r="Y602" s="44"/>
      <c r="Z602" s="44"/>
    </row>
    <row r="603" ht="9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78"/>
      <c r="R603" s="44"/>
      <c r="S603" s="44"/>
      <c r="T603" s="44"/>
      <c r="U603" s="44"/>
      <c r="V603" s="44"/>
      <c r="W603" s="44"/>
      <c r="X603" s="44"/>
      <c r="Y603" s="44"/>
      <c r="Z603" s="44"/>
    </row>
    <row r="604" ht="9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78"/>
      <c r="R604" s="44"/>
      <c r="S604" s="44"/>
      <c r="T604" s="44"/>
      <c r="U604" s="44"/>
      <c r="V604" s="44"/>
      <c r="W604" s="44"/>
      <c r="X604" s="44"/>
      <c r="Y604" s="44"/>
      <c r="Z604" s="44"/>
    </row>
    <row r="605" ht="9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78"/>
      <c r="R605" s="44"/>
      <c r="S605" s="44"/>
      <c r="T605" s="44"/>
      <c r="U605" s="44"/>
      <c r="V605" s="44"/>
      <c r="W605" s="44"/>
      <c r="X605" s="44"/>
      <c r="Y605" s="44"/>
      <c r="Z605" s="44"/>
    </row>
    <row r="606" ht="9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78"/>
      <c r="R606" s="44"/>
      <c r="S606" s="44"/>
      <c r="T606" s="44"/>
      <c r="U606" s="44"/>
      <c r="V606" s="44"/>
      <c r="W606" s="44"/>
      <c r="X606" s="44"/>
      <c r="Y606" s="44"/>
      <c r="Z606" s="44"/>
    </row>
    <row r="607" ht="9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78"/>
      <c r="R607" s="44"/>
      <c r="S607" s="44"/>
      <c r="T607" s="44"/>
      <c r="U607" s="44"/>
      <c r="V607" s="44"/>
      <c r="W607" s="44"/>
      <c r="X607" s="44"/>
      <c r="Y607" s="44"/>
      <c r="Z607" s="44"/>
    </row>
    <row r="608" ht="9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78"/>
      <c r="R608" s="44"/>
      <c r="S608" s="44"/>
      <c r="T608" s="44"/>
      <c r="U608" s="44"/>
      <c r="V608" s="44"/>
      <c r="W608" s="44"/>
      <c r="X608" s="44"/>
      <c r="Y608" s="44"/>
      <c r="Z608" s="44"/>
    </row>
    <row r="609" ht="9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78"/>
      <c r="R609" s="44"/>
      <c r="S609" s="44"/>
      <c r="T609" s="44"/>
      <c r="U609" s="44"/>
      <c r="V609" s="44"/>
      <c r="W609" s="44"/>
      <c r="X609" s="44"/>
      <c r="Y609" s="44"/>
      <c r="Z609" s="44"/>
    </row>
    <row r="610" ht="9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78"/>
      <c r="R610" s="44"/>
      <c r="S610" s="44"/>
      <c r="T610" s="44"/>
      <c r="U610" s="44"/>
      <c r="V610" s="44"/>
      <c r="W610" s="44"/>
      <c r="X610" s="44"/>
      <c r="Y610" s="44"/>
      <c r="Z610" s="44"/>
    </row>
    <row r="611" ht="9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78"/>
      <c r="R611" s="44"/>
      <c r="S611" s="44"/>
      <c r="T611" s="44"/>
      <c r="U611" s="44"/>
      <c r="V611" s="44"/>
      <c r="W611" s="44"/>
      <c r="X611" s="44"/>
      <c r="Y611" s="44"/>
      <c r="Z611" s="44"/>
    </row>
    <row r="612" ht="9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78"/>
      <c r="R612" s="44"/>
      <c r="S612" s="44"/>
      <c r="T612" s="44"/>
      <c r="U612" s="44"/>
      <c r="V612" s="44"/>
      <c r="W612" s="44"/>
      <c r="X612" s="44"/>
      <c r="Y612" s="44"/>
      <c r="Z612" s="44"/>
    </row>
    <row r="613" ht="9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78"/>
      <c r="R613" s="44"/>
      <c r="S613" s="44"/>
      <c r="T613" s="44"/>
      <c r="U613" s="44"/>
      <c r="V613" s="44"/>
      <c r="W613" s="44"/>
      <c r="X613" s="44"/>
      <c r="Y613" s="44"/>
      <c r="Z613" s="44"/>
    </row>
    <row r="614" ht="9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78"/>
      <c r="R614" s="44"/>
      <c r="S614" s="44"/>
      <c r="T614" s="44"/>
      <c r="U614" s="44"/>
      <c r="V614" s="44"/>
      <c r="W614" s="44"/>
      <c r="X614" s="44"/>
      <c r="Y614" s="44"/>
      <c r="Z614" s="44"/>
    </row>
    <row r="615" ht="9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78"/>
      <c r="R615" s="44"/>
      <c r="S615" s="44"/>
      <c r="T615" s="44"/>
      <c r="U615" s="44"/>
      <c r="V615" s="44"/>
      <c r="W615" s="44"/>
      <c r="X615" s="44"/>
      <c r="Y615" s="44"/>
      <c r="Z615" s="44"/>
    </row>
    <row r="616" ht="9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78"/>
      <c r="R616" s="44"/>
      <c r="S616" s="44"/>
      <c r="T616" s="44"/>
      <c r="U616" s="44"/>
      <c r="V616" s="44"/>
      <c r="W616" s="44"/>
      <c r="X616" s="44"/>
      <c r="Y616" s="44"/>
      <c r="Z616" s="44"/>
    </row>
    <row r="617" ht="9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78"/>
      <c r="R617" s="44"/>
      <c r="S617" s="44"/>
      <c r="T617" s="44"/>
      <c r="U617" s="44"/>
      <c r="V617" s="44"/>
      <c r="W617" s="44"/>
      <c r="X617" s="44"/>
      <c r="Y617" s="44"/>
      <c r="Z617" s="44"/>
    </row>
    <row r="618" ht="9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78"/>
      <c r="R618" s="44"/>
      <c r="S618" s="44"/>
      <c r="T618" s="44"/>
      <c r="U618" s="44"/>
      <c r="V618" s="44"/>
      <c r="W618" s="44"/>
      <c r="X618" s="44"/>
      <c r="Y618" s="44"/>
      <c r="Z618" s="44"/>
    </row>
    <row r="619" ht="9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78"/>
      <c r="R619" s="44"/>
      <c r="S619" s="44"/>
      <c r="T619" s="44"/>
      <c r="U619" s="44"/>
      <c r="V619" s="44"/>
      <c r="W619" s="44"/>
      <c r="X619" s="44"/>
      <c r="Y619" s="44"/>
      <c r="Z619" s="44"/>
    </row>
    <row r="620" ht="9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78"/>
      <c r="R620" s="44"/>
      <c r="S620" s="44"/>
      <c r="T620" s="44"/>
      <c r="U620" s="44"/>
      <c r="V620" s="44"/>
      <c r="W620" s="44"/>
      <c r="X620" s="44"/>
      <c r="Y620" s="44"/>
      <c r="Z620" s="44"/>
    </row>
    <row r="621" ht="9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78"/>
      <c r="R621" s="44"/>
      <c r="S621" s="44"/>
      <c r="T621" s="44"/>
      <c r="U621" s="44"/>
      <c r="V621" s="44"/>
      <c r="W621" s="44"/>
      <c r="X621" s="44"/>
      <c r="Y621" s="44"/>
      <c r="Z621" s="44"/>
    </row>
    <row r="622" ht="9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78"/>
      <c r="R622" s="44"/>
      <c r="S622" s="44"/>
      <c r="T622" s="44"/>
      <c r="U622" s="44"/>
      <c r="V622" s="44"/>
      <c r="W622" s="44"/>
      <c r="X622" s="44"/>
      <c r="Y622" s="44"/>
      <c r="Z622" s="44"/>
    </row>
    <row r="623" ht="9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78"/>
      <c r="R623" s="44"/>
      <c r="S623" s="44"/>
      <c r="T623" s="44"/>
      <c r="U623" s="44"/>
      <c r="V623" s="44"/>
      <c r="W623" s="44"/>
      <c r="X623" s="44"/>
      <c r="Y623" s="44"/>
      <c r="Z623" s="44"/>
    </row>
    <row r="624" ht="9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78"/>
      <c r="R624" s="44"/>
      <c r="S624" s="44"/>
      <c r="T624" s="44"/>
      <c r="U624" s="44"/>
      <c r="V624" s="44"/>
      <c r="W624" s="44"/>
      <c r="X624" s="44"/>
      <c r="Y624" s="44"/>
      <c r="Z624" s="44"/>
    </row>
    <row r="625" ht="9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78"/>
      <c r="R625" s="44"/>
      <c r="S625" s="44"/>
      <c r="T625" s="44"/>
      <c r="U625" s="44"/>
      <c r="V625" s="44"/>
      <c r="W625" s="44"/>
      <c r="X625" s="44"/>
      <c r="Y625" s="44"/>
      <c r="Z625" s="44"/>
    </row>
    <row r="626" ht="9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78"/>
      <c r="R626" s="44"/>
      <c r="S626" s="44"/>
      <c r="T626" s="44"/>
      <c r="U626" s="44"/>
      <c r="V626" s="44"/>
      <c r="W626" s="44"/>
      <c r="X626" s="44"/>
      <c r="Y626" s="44"/>
      <c r="Z626" s="44"/>
    </row>
    <row r="627" ht="9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78"/>
      <c r="R627" s="44"/>
      <c r="S627" s="44"/>
      <c r="T627" s="44"/>
      <c r="U627" s="44"/>
      <c r="V627" s="44"/>
      <c r="W627" s="44"/>
      <c r="X627" s="44"/>
      <c r="Y627" s="44"/>
      <c r="Z627" s="44"/>
    </row>
    <row r="628" ht="9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78"/>
      <c r="R628" s="44"/>
      <c r="S628" s="44"/>
      <c r="T628" s="44"/>
      <c r="U628" s="44"/>
      <c r="V628" s="44"/>
      <c r="W628" s="44"/>
      <c r="X628" s="44"/>
      <c r="Y628" s="44"/>
      <c r="Z628" s="44"/>
    </row>
    <row r="629" ht="9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78"/>
      <c r="R629" s="44"/>
      <c r="S629" s="44"/>
      <c r="T629" s="44"/>
      <c r="U629" s="44"/>
      <c r="V629" s="44"/>
      <c r="W629" s="44"/>
      <c r="X629" s="44"/>
      <c r="Y629" s="44"/>
      <c r="Z629" s="44"/>
    </row>
    <row r="630" ht="9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78"/>
      <c r="R630" s="44"/>
      <c r="S630" s="44"/>
      <c r="T630" s="44"/>
      <c r="U630" s="44"/>
      <c r="V630" s="44"/>
      <c r="W630" s="44"/>
      <c r="X630" s="44"/>
      <c r="Y630" s="44"/>
      <c r="Z630" s="44"/>
    </row>
    <row r="631" ht="9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78"/>
      <c r="R631" s="44"/>
      <c r="S631" s="44"/>
      <c r="T631" s="44"/>
      <c r="U631" s="44"/>
      <c r="V631" s="44"/>
      <c r="W631" s="44"/>
      <c r="X631" s="44"/>
      <c r="Y631" s="44"/>
      <c r="Z631" s="44"/>
    </row>
    <row r="632" ht="9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78"/>
      <c r="R632" s="44"/>
      <c r="S632" s="44"/>
      <c r="T632" s="44"/>
      <c r="U632" s="44"/>
      <c r="V632" s="44"/>
      <c r="W632" s="44"/>
      <c r="X632" s="44"/>
      <c r="Y632" s="44"/>
      <c r="Z632" s="44"/>
    </row>
    <row r="633" ht="9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78"/>
      <c r="R633" s="44"/>
      <c r="S633" s="44"/>
      <c r="T633" s="44"/>
      <c r="U633" s="44"/>
      <c r="V633" s="44"/>
      <c r="W633" s="44"/>
      <c r="X633" s="44"/>
      <c r="Y633" s="44"/>
      <c r="Z633" s="44"/>
    </row>
    <row r="634" ht="9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78"/>
      <c r="R634" s="44"/>
      <c r="S634" s="44"/>
      <c r="T634" s="44"/>
      <c r="U634" s="44"/>
      <c r="V634" s="44"/>
      <c r="W634" s="44"/>
      <c r="X634" s="44"/>
      <c r="Y634" s="44"/>
      <c r="Z634" s="44"/>
    </row>
    <row r="635" ht="9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78"/>
      <c r="R635" s="44"/>
      <c r="S635" s="44"/>
      <c r="T635" s="44"/>
      <c r="U635" s="44"/>
      <c r="V635" s="44"/>
      <c r="W635" s="44"/>
      <c r="X635" s="44"/>
      <c r="Y635" s="44"/>
      <c r="Z635" s="44"/>
    </row>
    <row r="636" ht="9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78"/>
      <c r="R636" s="44"/>
      <c r="S636" s="44"/>
      <c r="T636" s="44"/>
      <c r="U636" s="44"/>
      <c r="V636" s="44"/>
      <c r="W636" s="44"/>
      <c r="X636" s="44"/>
      <c r="Y636" s="44"/>
      <c r="Z636" s="44"/>
    </row>
    <row r="637" ht="9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78"/>
      <c r="R637" s="44"/>
      <c r="S637" s="44"/>
      <c r="T637" s="44"/>
      <c r="U637" s="44"/>
      <c r="V637" s="44"/>
      <c r="W637" s="44"/>
      <c r="X637" s="44"/>
      <c r="Y637" s="44"/>
      <c r="Z637" s="44"/>
    </row>
    <row r="638" ht="9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78"/>
      <c r="R638" s="44"/>
      <c r="S638" s="44"/>
      <c r="T638" s="44"/>
      <c r="U638" s="44"/>
      <c r="V638" s="44"/>
      <c r="W638" s="44"/>
      <c r="X638" s="44"/>
      <c r="Y638" s="44"/>
      <c r="Z638" s="44"/>
    </row>
    <row r="639" ht="9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78"/>
      <c r="R639" s="44"/>
      <c r="S639" s="44"/>
      <c r="T639" s="44"/>
      <c r="U639" s="44"/>
      <c r="V639" s="44"/>
      <c r="W639" s="44"/>
      <c r="X639" s="44"/>
      <c r="Y639" s="44"/>
      <c r="Z639" s="44"/>
    </row>
    <row r="640" ht="9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78"/>
      <c r="R640" s="44"/>
      <c r="S640" s="44"/>
      <c r="T640" s="44"/>
      <c r="U640" s="44"/>
      <c r="V640" s="44"/>
      <c r="W640" s="44"/>
      <c r="X640" s="44"/>
      <c r="Y640" s="44"/>
      <c r="Z640" s="44"/>
    </row>
    <row r="641" ht="9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78"/>
      <c r="R641" s="44"/>
      <c r="S641" s="44"/>
      <c r="T641" s="44"/>
      <c r="U641" s="44"/>
      <c r="V641" s="44"/>
      <c r="W641" s="44"/>
      <c r="X641" s="44"/>
      <c r="Y641" s="44"/>
      <c r="Z641" s="44"/>
    </row>
    <row r="642" ht="9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78"/>
      <c r="R642" s="44"/>
      <c r="S642" s="44"/>
      <c r="T642" s="44"/>
      <c r="U642" s="44"/>
      <c r="V642" s="44"/>
      <c r="W642" s="44"/>
      <c r="X642" s="44"/>
      <c r="Y642" s="44"/>
      <c r="Z642" s="44"/>
    </row>
    <row r="643" ht="9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78"/>
      <c r="R643" s="44"/>
      <c r="S643" s="44"/>
      <c r="T643" s="44"/>
      <c r="U643" s="44"/>
      <c r="V643" s="44"/>
      <c r="W643" s="44"/>
      <c r="X643" s="44"/>
      <c r="Y643" s="44"/>
      <c r="Z643" s="44"/>
    </row>
    <row r="644" ht="9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78"/>
      <c r="R644" s="44"/>
      <c r="S644" s="44"/>
      <c r="T644" s="44"/>
      <c r="U644" s="44"/>
      <c r="V644" s="44"/>
      <c r="W644" s="44"/>
      <c r="X644" s="44"/>
      <c r="Y644" s="44"/>
      <c r="Z644" s="44"/>
    </row>
    <row r="645" ht="9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78"/>
      <c r="R645" s="44"/>
      <c r="S645" s="44"/>
      <c r="T645" s="44"/>
      <c r="U645" s="44"/>
      <c r="V645" s="44"/>
      <c r="W645" s="44"/>
      <c r="X645" s="44"/>
      <c r="Y645" s="44"/>
      <c r="Z645" s="44"/>
    </row>
    <row r="646" ht="9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78"/>
      <c r="R646" s="44"/>
      <c r="S646" s="44"/>
      <c r="T646" s="44"/>
      <c r="U646" s="44"/>
      <c r="V646" s="44"/>
      <c r="W646" s="44"/>
      <c r="X646" s="44"/>
      <c r="Y646" s="44"/>
      <c r="Z646" s="44"/>
    </row>
    <row r="647" ht="9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78"/>
      <c r="R647" s="44"/>
      <c r="S647" s="44"/>
      <c r="T647" s="44"/>
      <c r="U647" s="44"/>
      <c r="V647" s="44"/>
      <c r="W647" s="44"/>
      <c r="X647" s="44"/>
      <c r="Y647" s="44"/>
      <c r="Z647" s="44"/>
    </row>
    <row r="648" ht="9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78"/>
      <c r="R648" s="44"/>
      <c r="S648" s="44"/>
      <c r="T648" s="44"/>
      <c r="U648" s="44"/>
      <c r="V648" s="44"/>
      <c r="W648" s="44"/>
      <c r="X648" s="44"/>
      <c r="Y648" s="44"/>
      <c r="Z648" s="44"/>
    </row>
    <row r="649" ht="9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78"/>
      <c r="R649" s="44"/>
      <c r="S649" s="44"/>
      <c r="T649" s="44"/>
      <c r="U649" s="44"/>
      <c r="V649" s="44"/>
      <c r="W649" s="44"/>
      <c r="X649" s="44"/>
      <c r="Y649" s="44"/>
      <c r="Z649" s="44"/>
    </row>
    <row r="650" ht="9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78"/>
      <c r="R650" s="44"/>
      <c r="S650" s="44"/>
      <c r="T650" s="44"/>
      <c r="U650" s="44"/>
      <c r="V650" s="44"/>
      <c r="W650" s="44"/>
      <c r="X650" s="44"/>
      <c r="Y650" s="44"/>
      <c r="Z650" s="44"/>
    </row>
    <row r="651" ht="9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78"/>
      <c r="R651" s="44"/>
      <c r="S651" s="44"/>
      <c r="T651" s="44"/>
      <c r="U651" s="44"/>
      <c r="V651" s="44"/>
      <c r="W651" s="44"/>
      <c r="X651" s="44"/>
      <c r="Y651" s="44"/>
      <c r="Z651" s="44"/>
    </row>
    <row r="652" ht="9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78"/>
      <c r="R652" s="44"/>
      <c r="S652" s="44"/>
      <c r="T652" s="44"/>
      <c r="U652" s="44"/>
      <c r="V652" s="44"/>
      <c r="W652" s="44"/>
      <c r="X652" s="44"/>
      <c r="Y652" s="44"/>
      <c r="Z652" s="44"/>
    </row>
    <row r="653" ht="9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78"/>
      <c r="R653" s="44"/>
      <c r="S653" s="44"/>
      <c r="T653" s="44"/>
      <c r="U653" s="44"/>
      <c r="V653" s="44"/>
      <c r="W653" s="44"/>
      <c r="X653" s="44"/>
      <c r="Y653" s="44"/>
      <c r="Z653" s="44"/>
    </row>
    <row r="654" ht="9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78"/>
      <c r="R654" s="44"/>
      <c r="S654" s="44"/>
      <c r="T654" s="44"/>
      <c r="U654" s="44"/>
      <c r="V654" s="44"/>
      <c r="W654" s="44"/>
      <c r="X654" s="44"/>
      <c r="Y654" s="44"/>
      <c r="Z654" s="44"/>
    </row>
    <row r="655" ht="9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78"/>
      <c r="R655" s="44"/>
      <c r="S655" s="44"/>
      <c r="T655" s="44"/>
      <c r="U655" s="44"/>
      <c r="V655" s="44"/>
      <c r="W655" s="44"/>
      <c r="X655" s="44"/>
      <c r="Y655" s="44"/>
      <c r="Z655" s="44"/>
    </row>
    <row r="656" ht="9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78"/>
      <c r="R656" s="44"/>
      <c r="S656" s="44"/>
      <c r="T656" s="44"/>
      <c r="U656" s="44"/>
      <c r="V656" s="44"/>
      <c r="W656" s="44"/>
      <c r="X656" s="44"/>
      <c r="Y656" s="44"/>
      <c r="Z656" s="44"/>
    </row>
    <row r="657" ht="9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78"/>
      <c r="R657" s="44"/>
      <c r="S657" s="44"/>
      <c r="T657" s="44"/>
      <c r="U657" s="44"/>
      <c r="V657" s="44"/>
      <c r="W657" s="44"/>
      <c r="X657" s="44"/>
      <c r="Y657" s="44"/>
      <c r="Z657" s="44"/>
    </row>
    <row r="658" ht="9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78"/>
      <c r="R658" s="44"/>
      <c r="S658" s="44"/>
      <c r="T658" s="44"/>
      <c r="U658" s="44"/>
      <c r="V658" s="44"/>
      <c r="W658" s="44"/>
      <c r="X658" s="44"/>
      <c r="Y658" s="44"/>
      <c r="Z658" s="44"/>
    </row>
    <row r="659" ht="9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78"/>
      <c r="R659" s="44"/>
      <c r="S659" s="44"/>
      <c r="T659" s="44"/>
      <c r="U659" s="44"/>
      <c r="V659" s="44"/>
      <c r="W659" s="44"/>
      <c r="X659" s="44"/>
      <c r="Y659" s="44"/>
      <c r="Z659" s="44"/>
    </row>
    <row r="660" ht="9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78"/>
      <c r="R660" s="44"/>
      <c r="S660" s="44"/>
      <c r="T660" s="44"/>
      <c r="U660" s="44"/>
      <c r="V660" s="44"/>
      <c r="W660" s="44"/>
      <c r="X660" s="44"/>
      <c r="Y660" s="44"/>
      <c r="Z660" s="44"/>
    </row>
    <row r="661" ht="9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78"/>
      <c r="R661" s="44"/>
      <c r="S661" s="44"/>
      <c r="T661" s="44"/>
      <c r="U661" s="44"/>
      <c r="V661" s="44"/>
      <c r="W661" s="44"/>
      <c r="X661" s="44"/>
      <c r="Y661" s="44"/>
      <c r="Z661" s="44"/>
    </row>
    <row r="662" ht="9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78"/>
      <c r="R662" s="44"/>
      <c r="S662" s="44"/>
      <c r="T662" s="44"/>
      <c r="U662" s="44"/>
      <c r="V662" s="44"/>
      <c r="W662" s="44"/>
      <c r="X662" s="44"/>
      <c r="Y662" s="44"/>
      <c r="Z662" s="44"/>
    </row>
    <row r="663" ht="9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78"/>
      <c r="R663" s="44"/>
      <c r="S663" s="44"/>
      <c r="T663" s="44"/>
      <c r="U663" s="44"/>
      <c r="V663" s="44"/>
      <c r="W663" s="44"/>
      <c r="X663" s="44"/>
      <c r="Y663" s="44"/>
      <c r="Z663" s="44"/>
    </row>
    <row r="664" ht="9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78"/>
      <c r="R664" s="44"/>
      <c r="S664" s="44"/>
      <c r="T664" s="44"/>
      <c r="U664" s="44"/>
      <c r="V664" s="44"/>
      <c r="W664" s="44"/>
      <c r="X664" s="44"/>
      <c r="Y664" s="44"/>
      <c r="Z664" s="44"/>
    </row>
    <row r="665" ht="9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78"/>
      <c r="R665" s="44"/>
      <c r="S665" s="44"/>
      <c r="T665" s="44"/>
      <c r="U665" s="44"/>
      <c r="V665" s="44"/>
      <c r="W665" s="44"/>
      <c r="X665" s="44"/>
      <c r="Y665" s="44"/>
      <c r="Z665" s="44"/>
    </row>
    <row r="666" ht="9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78"/>
      <c r="R666" s="44"/>
      <c r="S666" s="44"/>
      <c r="T666" s="44"/>
      <c r="U666" s="44"/>
      <c r="V666" s="44"/>
      <c r="W666" s="44"/>
      <c r="X666" s="44"/>
      <c r="Y666" s="44"/>
      <c r="Z666" s="44"/>
    </row>
    <row r="667" ht="9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78"/>
      <c r="R667" s="44"/>
      <c r="S667" s="44"/>
      <c r="T667" s="44"/>
      <c r="U667" s="44"/>
      <c r="V667" s="44"/>
      <c r="W667" s="44"/>
      <c r="X667" s="44"/>
      <c r="Y667" s="44"/>
      <c r="Z667" s="44"/>
    </row>
    <row r="668" ht="9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78"/>
      <c r="R668" s="44"/>
      <c r="S668" s="44"/>
      <c r="T668" s="44"/>
      <c r="U668" s="44"/>
      <c r="V668" s="44"/>
      <c r="W668" s="44"/>
      <c r="X668" s="44"/>
      <c r="Y668" s="44"/>
      <c r="Z668" s="44"/>
    </row>
    <row r="669" ht="9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78"/>
      <c r="R669" s="44"/>
      <c r="S669" s="44"/>
      <c r="T669" s="44"/>
      <c r="U669" s="44"/>
      <c r="V669" s="44"/>
      <c r="W669" s="44"/>
      <c r="X669" s="44"/>
      <c r="Y669" s="44"/>
      <c r="Z669" s="44"/>
    </row>
    <row r="670" ht="9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78"/>
      <c r="R670" s="44"/>
      <c r="S670" s="44"/>
      <c r="T670" s="44"/>
      <c r="U670" s="44"/>
      <c r="V670" s="44"/>
      <c r="W670" s="44"/>
      <c r="X670" s="44"/>
      <c r="Y670" s="44"/>
      <c r="Z670" s="44"/>
    </row>
    <row r="671" ht="9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78"/>
      <c r="R671" s="44"/>
      <c r="S671" s="44"/>
      <c r="T671" s="44"/>
      <c r="U671" s="44"/>
      <c r="V671" s="44"/>
      <c r="W671" s="44"/>
      <c r="X671" s="44"/>
      <c r="Y671" s="44"/>
      <c r="Z671" s="44"/>
    </row>
    <row r="672" ht="9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78"/>
      <c r="R672" s="44"/>
      <c r="S672" s="44"/>
      <c r="T672" s="44"/>
      <c r="U672" s="44"/>
      <c r="V672" s="44"/>
      <c r="W672" s="44"/>
      <c r="X672" s="44"/>
      <c r="Y672" s="44"/>
      <c r="Z672" s="44"/>
    </row>
    <row r="673" ht="9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78"/>
      <c r="R673" s="44"/>
      <c r="S673" s="44"/>
      <c r="T673" s="44"/>
      <c r="U673" s="44"/>
      <c r="V673" s="44"/>
      <c r="W673" s="44"/>
      <c r="X673" s="44"/>
      <c r="Y673" s="44"/>
      <c r="Z673" s="44"/>
    </row>
    <row r="674" ht="9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78"/>
      <c r="R674" s="44"/>
      <c r="S674" s="44"/>
      <c r="T674" s="44"/>
      <c r="U674" s="44"/>
      <c r="V674" s="44"/>
      <c r="W674" s="44"/>
      <c r="X674" s="44"/>
      <c r="Y674" s="44"/>
      <c r="Z674" s="44"/>
    </row>
    <row r="675" ht="9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78"/>
      <c r="R675" s="44"/>
      <c r="S675" s="44"/>
      <c r="T675" s="44"/>
      <c r="U675" s="44"/>
      <c r="V675" s="44"/>
      <c r="W675" s="44"/>
      <c r="X675" s="44"/>
      <c r="Y675" s="44"/>
      <c r="Z675" s="44"/>
    </row>
    <row r="676" ht="9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78"/>
      <c r="R676" s="44"/>
      <c r="S676" s="44"/>
      <c r="T676" s="44"/>
      <c r="U676" s="44"/>
      <c r="V676" s="44"/>
      <c r="W676" s="44"/>
      <c r="X676" s="44"/>
      <c r="Y676" s="44"/>
      <c r="Z676" s="44"/>
    </row>
    <row r="677" ht="9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78"/>
      <c r="R677" s="44"/>
      <c r="S677" s="44"/>
      <c r="T677" s="44"/>
      <c r="U677" s="44"/>
      <c r="V677" s="44"/>
      <c r="W677" s="44"/>
      <c r="X677" s="44"/>
      <c r="Y677" s="44"/>
      <c r="Z677" s="44"/>
    </row>
    <row r="678" ht="9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78"/>
      <c r="R678" s="44"/>
      <c r="S678" s="44"/>
      <c r="T678" s="44"/>
      <c r="U678" s="44"/>
      <c r="V678" s="44"/>
      <c r="W678" s="44"/>
      <c r="X678" s="44"/>
      <c r="Y678" s="44"/>
      <c r="Z678" s="44"/>
    </row>
    <row r="679" ht="9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78"/>
      <c r="R679" s="44"/>
      <c r="S679" s="44"/>
      <c r="T679" s="44"/>
      <c r="U679" s="44"/>
      <c r="V679" s="44"/>
      <c r="W679" s="44"/>
      <c r="X679" s="44"/>
      <c r="Y679" s="44"/>
      <c r="Z679" s="44"/>
    </row>
    <row r="680" ht="9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78"/>
      <c r="R680" s="44"/>
      <c r="S680" s="44"/>
      <c r="T680" s="44"/>
      <c r="U680" s="44"/>
      <c r="V680" s="44"/>
      <c r="W680" s="44"/>
      <c r="X680" s="44"/>
      <c r="Y680" s="44"/>
      <c r="Z680" s="44"/>
    </row>
    <row r="681" ht="9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78"/>
      <c r="R681" s="44"/>
      <c r="S681" s="44"/>
      <c r="T681" s="44"/>
      <c r="U681" s="44"/>
      <c r="V681" s="44"/>
      <c r="W681" s="44"/>
      <c r="X681" s="44"/>
      <c r="Y681" s="44"/>
      <c r="Z681" s="44"/>
    </row>
    <row r="682" ht="9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78"/>
      <c r="R682" s="44"/>
      <c r="S682" s="44"/>
      <c r="T682" s="44"/>
      <c r="U682" s="44"/>
      <c r="V682" s="44"/>
      <c r="W682" s="44"/>
      <c r="X682" s="44"/>
      <c r="Y682" s="44"/>
      <c r="Z682" s="44"/>
    </row>
    <row r="683" ht="9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78"/>
      <c r="R683" s="44"/>
      <c r="S683" s="44"/>
      <c r="T683" s="44"/>
      <c r="U683" s="44"/>
      <c r="V683" s="44"/>
      <c r="W683" s="44"/>
      <c r="X683" s="44"/>
      <c r="Y683" s="44"/>
      <c r="Z683" s="44"/>
    </row>
    <row r="684" ht="9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78"/>
      <c r="R684" s="44"/>
      <c r="S684" s="44"/>
      <c r="T684" s="44"/>
      <c r="U684" s="44"/>
      <c r="V684" s="44"/>
      <c r="W684" s="44"/>
      <c r="X684" s="44"/>
      <c r="Y684" s="44"/>
      <c r="Z684" s="44"/>
    </row>
    <row r="685" ht="9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78"/>
      <c r="R685" s="44"/>
      <c r="S685" s="44"/>
      <c r="T685" s="44"/>
      <c r="U685" s="44"/>
      <c r="V685" s="44"/>
      <c r="W685" s="44"/>
      <c r="X685" s="44"/>
      <c r="Y685" s="44"/>
      <c r="Z685" s="44"/>
    </row>
    <row r="686" ht="9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78"/>
      <c r="R686" s="44"/>
      <c r="S686" s="44"/>
      <c r="T686" s="44"/>
      <c r="U686" s="44"/>
      <c r="V686" s="44"/>
      <c r="W686" s="44"/>
      <c r="X686" s="44"/>
      <c r="Y686" s="44"/>
      <c r="Z686" s="44"/>
    </row>
    <row r="687" ht="9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78"/>
      <c r="R687" s="44"/>
      <c r="S687" s="44"/>
      <c r="T687" s="44"/>
      <c r="U687" s="44"/>
      <c r="V687" s="44"/>
      <c r="W687" s="44"/>
      <c r="X687" s="44"/>
      <c r="Y687" s="44"/>
      <c r="Z687" s="44"/>
    </row>
    <row r="688" ht="9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78"/>
      <c r="R688" s="44"/>
      <c r="S688" s="44"/>
      <c r="T688" s="44"/>
      <c r="U688" s="44"/>
      <c r="V688" s="44"/>
      <c r="W688" s="44"/>
      <c r="X688" s="44"/>
      <c r="Y688" s="44"/>
      <c r="Z688" s="44"/>
    </row>
    <row r="689" ht="9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78"/>
      <c r="R689" s="44"/>
      <c r="S689" s="44"/>
      <c r="T689" s="44"/>
      <c r="U689" s="44"/>
      <c r="V689" s="44"/>
      <c r="W689" s="44"/>
      <c r="X689" s="44"/>
      <c r="Y689" s="44"/>
      <c r="Z689" s="44"/>
    </row>
    <row r="690" ht="9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78"/>
      <c r="R690" s="44"/>
      <c r="S690" s="44"/>
      <c r="T690" s="44"/>
      <c r="U690" s="44"/>
      <c r="V690" s="44"/>
      <c r="W690" s="44"/>
      <c r="X690" s="44"/>
      <c r="Y690" s="44"/>
      <c r="Z690" s="44"/>
    </row>
    <row r="691" ht="9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78"/>
      <c r="R691" s="44"/>
      <c r="S691" s="44"/>
      <c r="T691" s="44"/>
      <c r="U691" s="44"/>
      <c r="V691" s="44"/>
      <c r="W691" s="44"/>
      <c r="X691" s="44"/>
      <c r="Y691" s="44"/>
      <c r="Z691" s="44"/>
    </row>
    <row r="692" ht="9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78"/>
      <c r="R692" s="44"/>
      <c r="S692" s="44"/>
      <c r="T692" s="44"/>
      <c r="U692" s="44"/>
      <c r="V692" s="44"/>
      <c r="W692" s="44"/>
      <c r="X692" s="44"/>
      <c r="Y692" s="44"/>
      <c r="Z692" s="44"/>
    </row>
    <row r="693" ht="9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78"/>
      <c r="R693" s="44"/>
      <c r="S693" s="44"/>
      <c r="T693" s="44"/>
      <c r="U693" s="44"/>
      <c r="V693" s="44"/>
      <c r="W693" s="44"/>
      <c r="X693" s="44"/>
      <c r="Y693" s="44"/>
      <c r="Z693" s="44"/>
    </row>
    <row r="694" ht="9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78"/>
      <c r="R694" s="44"/>
      <c r="S694" s="44"/>
      <c r="T694" s="44"/>
      <c r="U694" s="44"/>
      <c r="V694" s="44"/>
      <c r="W694" s="44"/>
      <c r="X694" s="44"/>
      <c r="Y694" s="44"/>
      <c r="Z694" s="44"/>
    </row>
    <row r="695" ht="9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78"/>
      <c r="R695" s="44"/>
      <c r="S695" s="44"/>
      <c r="T695" s="44"/>
      <c r="U695" s="44"/>
      <c r="V695" s="44"/>
      <c r="W695" s="44"/>
      <c r="X695" s="44"/>
      <c r="Y695" s="44"/>
      <c r="Z695" s="44"/>
    </row>
    <row r="696" ht="9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78"/>
      <c r="R696" s="44"/>
      <c r="S696" s="44"/>
      <c r="T696" s="44"/>
      <c r="U696" s="44"/>
      <c r="V696" s="44"/>
      <c r="W696" s="44"/>
      <c r="X696" s="44"/>
      <c r="Y696" s="44"/>
      <c r="Z696" s="44"/>
    </row>
    <row r="697" ht="9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78"/>
      <c r="R697" s="44"/>
      <c r="S697" s="44"/>
      <c r="T697" s="44"/>
      <c r="U697" s="44"/>
      <c r="V697" s="44"/>
      <c r="W697" s="44"/>
      <c r="X697" s="44"/>
      <c r="Y697" s="44"/>
      <c r="Z697" s="44"/>
    </row>
    <row r="698" ht="9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78"/>
      <c r="R698" s="44"/>
      <c r="S698" s="44"/>
      <c r="T698" s="44"/>
      <c r="U698" s="44"/>
      <c r="V698" s="44"/>
      <c r="W698" s="44"/>
      <c r="X698" s="44"/>
      <c r="Y698" s="44"/>
      <c r="Z698" s="44"/>
    </row>
    <row r="699" ht="9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78"/>
      <c r="R699" s="44"/>
      <c r="S699" s="44"/>
      <c r="T699" s="44"/>
      <c r="U699" s="44"/>
      <c r="V699" s="44"/>
      <c r="W699" s="44"/>
      <c r="X699" s="44"/>
      <c r="Y699" s="44"/>
      <c r="Z699" s="44"/>
    </row>
    <row r="700" ht="9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78"/>
      <c r="R700" s="44"/>
      <c r="S700" s="44"/>
      <c r="T700" s="44"/>
      <c r="U700" s="44"/>
      <c r="V700" s="44"/>
      <c r="W700" s="44"/>
      <c r="X700" s="44"/>
      <c r="Y700" s="44"/>
      <c r="Z700" s="44"/>
    </row>
    <row r="701" ht="9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78"/>
      <c r="R701" s="44"/>
      <c r="S701" s="44"/>
      <c r="T701" s="44"/>
      <c r="U701" s="44"/>
      <c r="V701" s="44"/>
      <c r="W701" s="44"/>
      <c r="X701" s="44"/>
      <c r="Y701" s="44"/>
      <c r="Z701" s="44"/>
    </row>
    <row r="702" ht="9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78"/>
      <c r="R702" s="44"/>
      <c r="S702" s="44"/>
      <c r="T702" s="44"/>
      <c r="U702" s="44"/>
      <c r="V702" s="44"/>
      <c r="W702" s="44"/>
      <c r="X702" s="44"/>
      <c r="Y702" s="44"/>
      <c r="Z702" s="44"/>
    </row>
    <row r="703" ht="9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78"/>
      <c r="R703" s="44"/>
      <c r="S703" s="44"/>
      <c r="T703" s="44"/>
      <c r="U703" s="44"/>
      <c r="V703" s="44"/>
      <c r="W703" s="44"/>
      <c r="X703" s="44"/>
      <c r="Y703" s="44"/>
      <c r="Z703" s="44"/>
    </row>
    <row r="704" ht="9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78"/>
      <c r="R704" s="44"/>
      <c r="S704" s="44"/>
      <c r="T704" s="44"/>
      <c r="U704" s="44"/>
      <c r="V704" s="44"/>
      <c r="W704" s="44"/>
      <c r="X704" s="44"/>
      <c r="Y704" s="44"/>
      <c r="Z704" s="44"/>
    </row>
    <row r="705" ht="9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78"/>
      <c r="R705" s="44"/>
      <c r="S705" s="44"/>
      <c r="T705" s="44"/>
      <c r="U705" s="44"/>
      <c r="V705" s="44"/>
      <c r="W705" s="44"/>
      <c r="X705" s="44"/>
      <c r="Y705" s="44"/>
      <c r="Z705" s="44"/>
    </row>
    <row r="706" ht="9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78"/>
      <c r="R706" s="44"/>
      <c r="S706" s="44"/>
      <c r="T706" s="44"/>
      <c r="U706" s="44"/>
      <c r="V706" s="44"/>
      <c r="W706" s="44"/>
      <c r="X706" s="44"/>
      <c r="Y706" s="44"/>
      <c r="Z706" s="44"/>
    </row>
    <row r="707" ht="9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78"/>
      <c r="R707" s="44"/>
      <c r="S707" s="44"/>
      <c r="T707" s="44"/>
      <c r="U707" s="44"/>
      <c r="V707" s="44"/>
      <c r="W707" s="44"/>
      <c r="X707" s="44"/>
      <c r="Y707" s="44"/>
      <c r="Z707" s="44"/>
    </row>
    <row r="708" ht="9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78"/>
      <c r="R708" s="44"/>
      <c r="S708" s="44"/>
      <c r="T708" s="44"/>
      <c r="U708" s="44"/>
      <c r="V708" s="44"/>
      <c r="W708" s="44"/>
      <c r="X708" s="44"/>
      <c r="Y708" s="44"/>
      <c r="Z708" s="44"/>
    </row>
    <row r="709" ht="9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78"/>
      <c r="R709" s="44"/>
      <c r="S709" s="44"/>
      <c r="T709" s="44"/>
      <c r="U709" s="44"/>
      <c r="V709" s="44"/>
      <c r="W709" s="44"/>
      <c r="X709" s="44"/>
      <c r="Y709" s="44"/>
      <c r="Z709" s="44"/>
    </row>
    <row r="710" ht="9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78"/>
      <c r="R710" s="44"/>
      <c r="S710" s="44"/>
      <c r="T710" s="44"/>
      <c r="U710" s="44"/>
      <c r="V710" s="44"/>
      <c r="W710" s="44"/>
      <c r="X710" s="44"/>
      <c r="Y710" s="44"/>
      <c r="Z710" s="44"/>
    </row>
    <row r="711" ht="9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78"/>
      <c r="R711" s="44"/>
      <c r="S711" s="44"/>
      <c r="T711" s="44"/>
      <c r="U711" s="44"/>
      <c r="V711" s="44"/>
      <c r="W711" s="44"/>
      <c r="X711" s="44"/>
      <c r="Y711" s="44"/>
      <c r="Z711" s="44"/>
    </row>
    <row r="712" ht="9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78"/>
      <c r="R712" s="44"/>
      <c r="S712" s="44"/>
      <c r="T712" s="44"/>
      <c r="U712" s="44"/>
      <c r="V712" s="44"/>
      <c r="W712" s="44"/>
      <c r="X712" s="44"/>
      <c r="Y712" s="44"/>
      <c r="Z712" s="44"/>
    </row>
    <row r="713" ht="9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78"/>
      <c r="R713" s="44"/>
      <c r="S713" s="44"/>
      <c r="T713" s="44"/>
      <c r="U713" s="44"/>
      <c r="V713" s="44"/>
      <c r="W713" s="44"/>
      <c r="X713" s="44"/>
      <c r="Y713" s="44"/>
      <c r="Z713" s="44"/>
    </row>
    <row r="714" ht="9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78"/>
      <c r="R714" s="44"/>
      <c r="S714" s="44"/>
      <c r="T714" s="44"/>
      <c r="U714" s="44"/>
      <c r="V714" s="44"/>
      <c r="W714" s="44"/>
      <c r="X714" s="44"/>
      <c r="Y714" s="44"/>
      <c r="Z714" s="44"/>
    </row>
    <row r="715" ht="9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78"/>
      <c r="R715" s="44"/>
      <c r="S715" s="44"/>
      <c r="T715" s="44"/>
      <c r="U715" s="44"/>
      <c r="V715" s="44"/>
      <c r="W715" s="44"/>
      <c r="X715" s="44"/>
      <c r="Y715" s="44"/>
      <c r="Z715" s="44"/>
    </row>
    <row r="716" ht="9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78"/>
      <c r="R716" s="44"/>
      <c r="S716" s="44"/>
      <c r="T716" s="44"/>
      <c r="U716" s="44"/>
      <c r="V716" s="44"/>
      <c r="W716" s="44"/>
      <c r="X716" s="44"/>
      <c r="Y716" s="44"/>
      <c r="Z716" s="44"/>
    </row>
    <row r="717" ht="9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78"/>
      <c r="R717" s="44"/>
      <c r="S717" s="44"/>
      <c r="T717" s="44"/>
      <c r="U717" s="44"/>
      <c r="V717" s="44"/>
      <c r="W717" s="44"/>
      <c r="X717" s="44"/>
      <c r="Y717" s="44"/>
      <c r="Z717" s="44"/>
    </row>
    <row r="718" ht="9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78"/>
      <c r="R718" s="44"/>
      <c r="S718" s="44"/>
      <c r="T718" s="44"/>
      <c r="U718" s="44"/>
      <c r="V718" s="44"/>
      <c r="W718" s="44"/>
      <c r="X718" s="44"/>
      <c r="Y718" s="44"/>
      <c r="Z718" s="44"/>
    </row>
    <row r="719" ht="9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78"/>
      <c r="R719" s="44"/>
      <c r="S719" s="44"/>
      <c r="T719" s="44"/>
      <c r="U719" s="44"/>
      <c r="V719" s="44"/>
      <c r="W719" s="44"/>
      <c r="X719" s="44"/>
      <c r="Y719" s="44"/>
      <c r="Z719" s="44"/>
    </row>
    <row r="720" ht="9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78"/>
      <c r="R720" s="44"/>
      <c r="S720" s="44"/>
      <c r="T720" s="44"/>
      <c r="U720" s="44"/>
      <c r="V720" s="44"/>
      <c r="W720" s="44"/>
      <c r="X720" s="44"/>
      <c r="Y720" s="44"/>
      <c r="Z720" s="44"/>
    </row>
    <row r="721" ht="9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78"/>
      <c r="R721" s="44"/>
      <c r="S721" s="44"/>
      <c r="T721" s="44"/>
      <c r="U721" s="44"/>
      <c r="V721" s="44"/>
      <c r="W721" s="44"/>
      <c r="X721" s="44"/>
      <c r="Y721" s="44"/>
      <c r="Z721" s="44"/>
    </row>
    <row r="722" ht="9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78"/>
      <c r="R722" s="44"/>
      <c r="S722" s="44"/>
      <c r="T722" s="44"/>
      <c r="U722" s="44"/>
      <c r="V722" s="44"/>
      <c r="W722" s="44"/>
      <c r="X722" s="44"/>
      <c r="Y722" s="44"/>
      <c r="Z722" s="44"/>
    </row>
    <row r="723" ht="9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78"/>
      <c r="R723" s="44"/>
      <c r="S723" s="44"/>
      <c r="T723" s="44"/>
      <c r="U723" s="44"/>
      <c r="V723" s="44"/>
      <c r="W723" s="44"/>
      <c r="X723" s="44"/>
      <c r="Y723" s="44"/>
      <c r="Z723" s="44"/>
    </row>
    <row r="724" ht="9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78"/>
      <c r="R724" s="44"/>
      <c r="S724" s="44"/>
      <c r="T724" s="44"/>
      <c r="U724" s="44"/>
      <c r="V724" s="44"/>
      <c r="W724" s="44"/>
      <c r="X724" s="44"/>
      <c r="Y724" s="44"/>
      <c r="Z724" s="44"/>
    </row>
    <row r="725" ht="9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78"/>
      <c r="R725" s="44"/>
      <c r="S725" s="44"/>
      <c r="T725" s="44"/>
      <c r="U725" s="44"/>
      <c r="V725" s="44"/>
      <c r="W725" s="44"/>
      <c r="X725" s="44"/>
      <c r="Y725" s="44"/>
      <c r="Z725" s="44"/>
    </row>
    <row r="726" ht="9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78"/>
      <c r="R726" s="44"/>
      <c r="S726" s="44"/>
      <c r="T726" s="44"/>
      <c r="U726" s="44"/>
      <c r="V726" s="44"/>
      <c r="W726" s="44"/>
      <c r="X726" s="44"/>
      <c r="Y726" s="44"/>
      <c r="Z726" s="44"/>
    </row>
    <row r="727" ht="9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78"/>
      <c r="R727" s="44"/>
      <c r="S727" s="44"/>
      <c r="T727" s="44"/>
      <c r="U727" s="44"/>
      <c r="V727" s="44"/>
      <c r="W727" s="44"/>
      <c r="X727" s="44"/>
      <c r="Y727" s="44"/>
      <c r="Z727" s="44"/>
    </row>
    <row r="728" ht="9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78"/>
      <c r="R728" s="44"/>
      <c r="S728" s="44"/>
      <c r="T728" s="44"/>
      <c r="U728" s="44"/>
      <c r="V728" s="44"/>
      <c r="W728" s="44"/>
      <c r="X728" s="44"/>
      <c r="Y728" s="44"/>
      <c r="Z728" s="44"/>
    </row>
    <row r="729" ht="9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78"/>
      <c r="R729" s="44"/>
      <c r="S729" s="44"/>
      <c r="T729" s="44"/>
      <c r="U729" s="44"/>
      <c r="V729" s="44"/>
      <c r="W729" s="44"/>
      <c r="X729" s="44"/>
      <c r="Y729" s="44"/>
      <c r="Z729" s="44"/>
    </row>
    <row r="730" ht="9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78"/>
      <c r="R730" s="44"/>
      <c r="S730" s="44"/>
      <c r="T730" s="44"/>
      <c r="U730" s="44"/>
      <c r="V730" s="44"/>
      <c r="W730" s="44"/>
      <c r="X730" s="44"/>
      <c r="Y730" s="44"/>
      <c r="Z730" s="44"/>
    </row>
    <row r="731" ht="9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78"/>
      <c r="R731" s="44"/>
      <c r="S731" s="44"/>
      <c r="T731" s="44"/>
      <c r="U731" s="44"/>
      <c r="V731" s="44"/>
      <c r="W731" s="44"/>
      <c r="X731" s="44"/>
      <c r="Y731" s="44"/>
      <c r="Z731" s="44"/>
    </row>
    <row r="732" ht="9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78"/>
      <c r="R732" s="44"/>
      <c r="S732" s="44"/>
      <c r="T732" s="44"/>
      <c r="U732" s="44"/>
      <c r="V732" s="44"/>
      <c r="W732" s="44"/>
      <c r="X732" s="44"/>
      <c r="Y732" s="44"/>
      <c r="Z732" s="44"/>
    </row>
    <row r="733" ht="9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78"/>
      <c r="R733" s="44"/>
      <c r="S733" s="44"/>
      <c r="T733" s="44"/>
      <c r="U733" s="44"/>
      <c r="V733" s="44"/>
      <c r="W733" s="44"/>
      <c r="X733" s="44"/>
      <c r="Y733" s="44"/>
      <c r="Z733" s="44"/>
    </row>
    <row r="734" ht="9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78"/>
      <c r="R734" s="44"/>
      <c r="S734" s="44"/>
      <c r="T734" s="44"/>
      <c r="U734" s="44"/>
      <c r="V734" s="44"/>
      <c r="W734" s="44"/>
      <c r="X734" s="44"/>
      <c r="Y734" s="44"/>
      <c r="Z734" s="44"/>
    </row>
    <row r="735" ht="9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78"/>
      <c r="R735" s="44"/>
      <c r="S735" s="44"/>
      <c r="T735" s="44"/>
      <c r="U735" s="44"/>
      <c r="V735" s="44"/>
      <c r="W735" s="44"/>
      <c r="X735" s="44"/>
      <c r="Y735" s="44"/>
      <c r="Z735" s="44"/>
    </row>
    <row r="736" ht="9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78"/>
      <c r="R736" s="44"/>
      <c r="S736" s="44"/>
      <c r="T736" s="44"/>
      <c r="U736" s="44"/>
      <c r="V736" s="44"/>
      <c r="W736" s="44"/>
      <c r="X736" s="44"/>
      <c r="Y736" s="44"/>
      <c r="Z736" s="44"/>
    </row>
    <row r="737" ht="9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78"/>
      <c r="R737" s="44"/>
      <c r="S737" s="44"/>
      <c r="T737" s="44"/>
      <c r="U737" s="44"/>
      <c r="V737" s="44"/>
      <c r="W737" s="44"/>
      <c r="X737" s="44"/>
      <c r="Y737" s="44"/>
      <c r="Z737" s="44"/>
    </row>
    <row r="738" ht="9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78"/>
      <c r="R738" s="44"/>
      <c r="S738" s="44"/>
      <c r="T738" s="44"/>
      <c r="U738" s="44"/>
      <c r="V738" s="44"/>
      <c r="W738" s="44"/>
      <c r="X738" s="44"/>
      <c r="Y738" s="44"/>
      <c r="Z738" s="44"/>
    </row>
    <row r="739" ht="9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78"/>
      <c r="R739" s="44"/>
      <c r="S739" s="44"/>
      <c r="T739" s="44"/>
      <c r="U739" s="44"/>
      <c r="V739" s="44"/>
      <c r="W739" s="44"/>
      <c r="X739" s="44"/>
      <c r="Y739" s="44"/>
      <c r="Z739" s="44"/>
    </row>
    <row r="740" ht="9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78"/>
      <c r="R740" s="44"/>
      <c r="S740" s="44"/>
      <c r="T740" s="44"/>
      <c r="U740" s="44"/>
      <c r="V740" s="44"/>
      <c r="W740" s="44"/>
      <c r="X740" s="44"/>
      <c r="Y740" s="44"/>
      <c r="Z740" s="44"/>
    </row>
    <row r="741" ht="9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78"/>
      <c r="R741" s="44"/>
      <c r="S741" s="44"/>
      <c r="T741" s="44"/>
      <c r="U741" s="44"/>
      <c r="V741" s="44"/>
      <c r="W741" s="44"/>
      <c r="X741" s="44"/>
      <c r="Y741" s="44"/>
      <c r="Z741" s="44"/>
    </row>
    <row r="742" ht="9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78"/>
      <c r="R742" s="44"/>
      <c r="S742" s="44"/>
      <c r="T742" s="44"/>
      <c r="U742" s="44"/>
      <c r="V742" s="44"/>
      <c r="W742" s="44"/>
      <c r="X742" s="44"/>
      <c r="Y742" s="44"/>
      <c r="Z742" s="44"/>
    </row>
    <row r="743" ht="9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78"/>
      <c r="R743" s="44"/>
      <c r="S743" s="44"/>
      <c r="T743" s="44"/>
      <c r="U743" s="44"/>
      <c r="V743" s="44"/>
      <c r="W743" s="44"/>
      <c r="X743" s="44"/>
      <c r="Y743" s="44"/>
      <c r="Z743" s="44"/>
    </row>
    <row r="744" ht="9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78"/>
      <c r="R744" s="44"/>
      <c r="S744" s="44"/>
      <c r="T744" s="44"/>
      <c r="U744" s="44"/>
      <c r="V744" s="44"/>
      <c r="W744" s="44"/>
      <c r="X744" s="44"/>
      <c r="Y744" s="44"/>
      <c r="Z744" s="44"/>
    </row>
    <row r="745" ht="9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78"/>
      <c r="R745" s="44"/>
      <c r="S745" s="44"/>
      <c r="T745" s="44"/>
      <c r="U745" s="44"/>
      <c r="V745" s="44"/>
      <c r="W745" s="44"/>
      <c r="X745" s="44"/>
      <c r="Y745" s="44"/>
      <c r="Z745" s="44"/>
    </row>
    <row r="746" ht="9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78"/>
      <c r="R746" s="44"/>
      <c r="S746" s="44"/>
      <c r="T746" s="44"/>
      <c r="U746" s="44"/>
      <c r="V746" s="44"/>
      <c r="W746" s="44"/>
      <c r="X746" s="44"/>
      <c r="Y746" s="44"/>
      <c r="Z746" s="44"/>
    </row>
    <row r="747" ht="9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78"/>
      <c r="R747" s="44"/>
      <c r="S747" s="44"/>
      <c r="T747" s="44"/>
      <c r="U747" s="44"/>
      <c r="V747" s="44"/>
      <c r="W747" s="44"/>
      <c r="X747" s="44"/>
      <c r="Y747" s="44"/>
      <c r="Z747" s="44"/>
    </row>
    <row r="748" ht="9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78"/>
      <c r="R748" s="44"/>
      <c r="S748" s="44"/>
      <c r="T748" s="44"/>
      <c r="U748" s="44"/>
      <c r="V748" s="44"/>
      <c r="W748" s="44"/>
      <c r="X748" s="44"/>
      <c r="Y748" s="44"/>
      <c r="Z748" s="44"/>
    </row>
    <row r="749" ht="9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78"/>
      <c r="R749" s="44"/>
      <c r="S749" s="44"/>
      <c r="T749" s="44"/>
      <c r="U749" s="44"/>
      <c r="V749" s="44"/>
      <c r="W749" s="44"/>
      <c r="X749" s="44"/>
      <c r="Y749" s="44"/>
      <c r="Z749" s="44"/>
    </row>
    <row r="750" ht="9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78"/>
      <c r="R750" s="44"/>
      <c r="S750" s="44"/>
      <c r="T750" s="44"/>
      <c r="U750" s="44"/>
      <c r="V750" s="44"/>
      <c r="W750" s="44"/>
      <c r="X750" s="44"/>
      <c r="Y750" s="44"/>
      <c r="Z750" s="44"/>
    </row>
    <row r="751" ht="9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78"/>
      <c r="R751" s="44"/>
      <c r="S751" s="44"/>
      <c r="T751" s="44"/>
      <c r="U751" s="44"/>
      <c r="V751" s="44"/>
      <c r="W751" s="44"/>
      <c r="X751" s="44"/>
      <c r="Y751" s="44"/>
      <c r="Z751" s="44"/>
    </row>
    <row r="752" ht="9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78"/>
      <c r="R752" s="44"/>
      <c r="S752" s="44"/>
      <c r="T752" s="44"/>
      <c r="U752" s="44"/>
      <c r="V752" s="44"/>
      <c r="W752" s="44"/>
      <c r="X752" s="44"/>
      <c r="Y752" s="44"/>
      <c r="Z752" s="44"/>
    </row>
    <row r="753" ht="9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78"/>
      <c r="R753" s="44"/>
      <c r="S753" s="44"/>
      <c r="T753" s="44"/>
      <c r="U753" s="44"/>
      <c r="V753" s="44"/>
      <c r="W753" s="44"/>
      <c r="X753" s="44"/>
      <c r="Y753" s="44"/>
      <c r="Z753" s="44"/>
    </row>
    <row r="754" ht="9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78"/>
      <c r="R754" s="44"/>
      <c r="S754" s="44"/>
      <c r="T754" s="44"/>
      <c r="U754" s="44"/>
      <c r="V754" s="44"/>
      <c r="W754" s="44"/>
      <c r="X754" s="44"/>
      <c r="Y754" s="44"/>
      <c r="Z754" s="44"/>
    </row>
    <row r="755" ht="9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78"/>
      <c r="R755" s="44"/>
      <c r="S755" s="44"/>
      <c r="T755" s="44"/>
      <c r="U755" s="44"/>
      <c r="V755" s="44"/>
      <c r="W755" s="44"/>
      <c r="X755" s="44"/>
      <c r="Y755" s="44"/>
      <c r="Z755" s="44"/>
    </row>
    <row r="756" ht="9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78"/>
      <c r="R756" s="44"/>
      <c r="S756" s="44"/>
      <c r="T756" s="44"/>
      <c r="U756" s="44"/>
      <c r="V756" s="44"/>
      <c r="W756" s="44"/>
      <c r="X756" s="44"/>
      <c r="Y756" s="44"/>
      <c r="Z756" s="44"/>
    </row>
    <row r="757" ht="9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78"/>
      <c r="R757" s="44"/>
      <c r="S757" s="44"/>
      <c r="T757" s="44"/>
      <c r="U757" s="44"/>
      <c r="V757" s="44"/>
      <c r="W757" s="44"/>
      <c r="X757" s="44"/>
      <c r="Y757" s="44"/>
      <c r="Z757" s="44"/>
    </row>
    <row r="758" ht="9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78"/>
      <c r="R758" s="44"/>
      <c r="S758" s="44"/>
      <c r="T758" s="44"/>
      <c r="U758" s="44"/>
      <c r="V758" s="44"/>
      <c r="W758" s="44"/>
      <c r="X758" s="44"/>
      <c r="Y758" s="44"/>
      <c r="Z758" s="44"/>
    </row>
    <row r="759" ht="9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78"/>
      <c r="R759" s="44"/>
      <c r="S759" s="44"/>
      <c r="T759" s="44"/>
      <c r="U759" s="44"/>
      <c r="V759" s="44"/>
      <c r="W759" s="44"/>
      <c r="X759" s="44"/>
      <c r="Y759" s="44"/>
      <c r="Z759" s="44"/>
    </row>
    <row r="760" ht="9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78"/>
      <c r="R760" s="44"/>
      <c r="S760" s="44"/>
      <c r="T760" s="44"/>
      <c r="U760" s="44"/>
      <c r="V760" s="44"/>
      <c r="W760" s="44"/>
      <c r="X760" s="44"/>
      <c r="Y760" s="44"/>
      <c r="Z760" s="44"/>
    </row>
    <row r="761" ht="9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78"/>
      <c r="R761" s="44"/>
      <c r="S761" s="44"/>
      <c r="T761" s="44"/>
      <c r="U761" s="44"/>
      <c r="V761" s="44"/>
      <c r="W761" s="44"/>
      <c r="X761" s="44"/>
      <c r="Y761" s="44"/>
      <c r="Z761" s="44"/>
    </row>
    <row r="762" ht="9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78"/>
      <c r="R762" s="44"/>
      <c r="S762" s="44"/>
      <c r="T762" s="44"/>
      <c r="U762" s="44"/>
      <c r="V762" s="44"/>
      <c r="W762" s="44"/>
      <c r="X762" s="44"/>
      <c r="Y762" s="44"/>
      <c r="Z762" s="44"/>
    </row>
    <row r="763" ht="9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78"/>
      <c r="R763" s="44"/>
      <c r="S763" s="44"/>
      <c r="T763" s="44"/>
      <c r="U763" s="44"/>
      <c r="V763" s="44"/>
      <c r="W763" s="44"/>
      <c r="X763" s="44"/>
      <c r="Y763" s="44"/>
      <c r="Z763" s="44"/>
    </row>
    <row r="764" ht="9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78"/>
      <c r="R764" s="44"/>
      <c r="S764" s="44"/>
      <c r="T764" s="44"/>
      <c r="U764" s="44"/>
      <c r="V764" s="44"/>
      <c r="W764" s="44"/>
      <c r="X764" s="44"/>
      <c r="Y764" s="44"/>
      <c r="Z764" s="44"/>
    </row>
    <row r="765" ht="9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78"/>
      <c r="R765" s="44"/>
      <c r="S765" s="44"/>
      <c r="T765" s="44"/>
      <c r="U765" s="44"/>
      <c r="V765" s="44"/>
      <c r="W765" s="44"/>
      <c r="X765" s="44"/>
      <c r="Y765" s="44"/>
      <c r="Z765" s="44"/>
    </row>
    <row r="766" ht="9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78"/>
      <c r="R766" s="44"/>
      <c r="S766" s="44"/>
      <c r="T766" s="44"/>
      <c r="U766" s="44"/>
      <c r="V766" s="44"/>
      <c r="W766" s="44"/>
      <c r="X766" s="44"/>
      <c r="Y766" s="44"/>
      <c r="Z766" s="44"/>
    </row>
    <row r="767" ht="9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78"/>
      <c r="R767" s="44"/>
      <c r="S767" s="44"/>
      <c r="T767" s="44"/>
      <c r="U767" s="44"/>
      <c r="V767" s="44"/>
      <c r="W767" s="44"/>
      <c r="X767" s="44"/>
      <c r="Y767" s="44"/>
      <c r="Z767" s="44"/>
    </row>
    <row r="768" ht="9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78"/>
      <c r="R768" s="44"/>
      <c r="S768" s="44"/>
      <c r="T768" s="44"/>
      <c r="U768" s="44"/>
      <c r="V768" s="44"/>
      <c r="W768" s="44"/>
      <c r="X768" s="44"/>
      <c r="Y768" s="44"/>
      <c r="Z768" s="44"/>
    </row>
    <row r="769" ht="9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78"/>
      <c r="R769" s="44"/>
      <c r="S769" s="44"/>
      <c r="T769" s="44"/>
      <c r="U769" s="44"/>
      <c r="V769" s="44"/>
      <c r="W769" s="44"/>
      <c r="X769" s="44"/>
      <c r="Y769" s="44"/>
      <c r="Z769" s="44"/>
    </row>
    <row r="770" ht="9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78"/>
      <c r="R770" s="44"/>
      <c r="S770" s="44"/>
      <c r="T770" s="44"/>
      <c r="U770" s="44"/>
      <c r="V770" s="44"/>
      <c r="W770" s="44"/>
      <c r="X770" s="44"/>
      <c r="Y770" s="44"/>
      <c r="Z770" s="44"/>
    </row>
    <row r="771" ht="9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78"/>
      <c r="R771" s="44"/>
      <c r="S771" s="44"/>
      <c r="T771" s="44"/>
      <c r="U771" s="44"/>
      <c r="V771" s="44"/>
      <c r="W771" s="44"/>
      <c r="X771" s="44"/>
      <c r="Y771" s="44"/>
      <c r="Z771" s="44"/>
    </row>
    <row r="772" ht="9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78"/>
      <c r="R772" s="44"/>
      <c r="S772" s="44"/>
      <c r="T772" s="44"/>
      <c r="U772" s="44"/>
      <c r="V772" s="44"/>
      <c r="W772" s="44"/>
      <c r="X772" s="44"/>
      <c r="Y772" s="44"/>
      <c r="Z772" s="44"/>
    </row>
    <row r="773" ht="9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78"/>
      <c r="R773" s="44"/>
      <c r="S773" s="44"/>
      <c r="T773" s="44"/>
      <c r="U773" s="44"/>
      <c r="V773" s="44"/>
      <c r="W773" s="44"/>
      <c r="X773" s="44"/>
      <c r="Y773" s="44"/>
      <c r="Z773" s="44"/>
    </row>
    <row r="774" ht="9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78"/>
      <c r="R774" s="44"/>
      <c r="S774" s="44"/>
      <c r="T774" s="44"/>
      <c r="U774" s="44"/>
      <c r="V774" s="44"/>
      <c r="W774" s="44"/>
      <c r="X774" s="44"/>
      <c r="Y774" s="44"/>
      <c r="Z774" s="44"/>
    </row>
    <row r="775" ht="9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78"/>
      <c r="R775" s="44"/>
      <c r="S775" s="44"/>
      <c r="T775" s="44"/>
      <c r="U775" s="44"/>
      <c r="V775" s="44"/>
      <c r="W775" s="44"/>
      <c r="X775" s="44"/>
      <c r="Y775" s="44"/>
      <c r="Z775" s="44"/>
    </row>
    <row r="776" ht="9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78"/>
      <c r="R776" s="44"/>
      <c r="S776" s="44"/>
      <c r="T776" s="44"/>
      <c r="U776" s="44"/>
      <c r="V776" s="44"/>
      <c r="W776" s="44"/>
      <c r="X776" s="44"/>
      <c r="Y776" s="44"/>
      <c r="Z776" s="44"/>
    </row>
    <row r="777" ht="9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78"/>
      <c r="R777" s="44"/>
      <c r="S777" s="44"/>
      <c r="T777" s="44"/>
      <c r="U777" s="44"/>
      <c r="V777" s="44"/>
      <c r="W777" s="44"/>
      <c r="X777" s="44"/>
      <c r="Y777" s="44"/>
      <c r="Z777" s="44"/>
    </row>
    <row r="778" ht="9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78"/>
      <c r="R778" s="44"/>
      <c r="S778" s="44"/>
      <c r="T778" s="44"/>
      <c r="U778" s="44"/>
      <c r="V778" s="44"/>
      <c r="W778" s="44"/>
      <c r="X778" s="44"/>
      <c r="Y778" s="44"/>
      <c r="Z778" s="44"/>
    </row>
    <row r="779" ht="9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78"/>
      <c r="R779" s="44"/>
      <c r="S779" s="44"/>
      <c r="T779" s="44"/>
      <c r="U779" s="44"/>
      <c r="V779" s="44"/>
      <c r="W779" s="44"/>
      <c r="X779" s="44"/>
      <c r="Y779" s="44"/>
      <c r="Z779" s="44"/>
    </row>
    <row r="780" ht="9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78"/>
      <c r="R780" s="44"/>
      <c r="S780" s="44"/>
      <c r="T780" s="44"/>
      <c r="U780" s="44"/>
      <c r="V780" s="44"/>
      <c r="W780" s="44"/>
      <c r="X780" s="44"/>
      <c r="Y780" s="44"/>
      <c r="Z780" s="44"/>
    </row>
    <row r="781" ht="9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78"/>
      <c r="R781" s="44"/>
      <c r="S781" s="44"/>
      <c r="T781" s="44"/>
      <c r="U781" s="44"/>
      <c r="V781" s="44"/>
      <c r="W781" s="44"/>
      <c r="X781" s="44"/>
      <c r="Y781" s="44"/>
      <c r="Z781" s="44"/>
    </row>
    <row r="782" ht="9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78"/>
      <c r="R782" s="44"/>
      <c r="S782" s="44"/>
      <c r="T782" s="44"/>
      <c r="U782" s="44"/>
      <c r="V782" s="44"/>
      <c r="W782" s="44"/>
      <c r="X782" s="44"/>
      <c r="Y782" s="44"/>
      <c r="Z782" s="44"/>
    </row>
    <row r="783" ht="9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78"/>
      <c r="R783" s="44"/>
      <c r="S783" s="44"/>
      <c r="T783" s="44"/>
      <c r="U783" s="44"/>
      <c r="V783" s="44"/>
      <c r="W783" s="44"/>
      <c r="X783" s="44"/>
      <c r="Y783" s="44"/>
      <c r="Z783" s="44"/>
    </row>
    <row r="784" ht="9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78"/>
      <c r="R784" s="44"/>
      <c r="S784" s="44"/>
      <c r="T784" s="44"/>
      <c r="U784" s="44"/>
      <c r="V784" s="44"/>
      <c r="W784" s="44"/>
      <c r="X784" s="44"/>
      <c r="Y784" s="44"/>
      <c r="Z784" s="44"/>
    </row>
    <row r="785" ht="9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78"/>
      <c r="R785" s="44"/>
      <c r="S785" s="44"/>
      <c r="T785" s="44"/>
      <c r="U785" s="44"/>
      <c r="V785" s="44"/>
      <c r="W785" s="44"/>
      <c r="X785" s="44"/>
      <c r="Y785" s="44"/>
      <c r="Z785" s="44"/>
    </row>
    <row r="786" ht="9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78"/>
      <c r="R786" s="44"/>
      <c r="S786" s="44"/>
      <c r="T786" s="44"/>
      <c r="U786" s="44"/>
      <c r="V786" s="44"/>
      <c r="W786" s="44"/>
      <c r="X786" s="44"/>
      <c r="Y786" s="44"/>
      <c r="Z786" s="44"/>
    </row>
    <row r="787" ht="9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78"/>
      <c r="R787" s="44"/>
      <c r="S787" s="44"/>
      <c r="T787" s="44"/>
      <c r="U787" s="44"/>
      <c r="V787" s="44"/>
      <c r="W787" s="44"/>
      <c r="X787" s="44"/>
      <c r="Y787" s="44"/>
      <c r="Z787" s="44"/>
    </row>
    <row r="788" ht="9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78"/>
      <c r="R788" s="44"/>
      <c r="S788" s="44"/>
      <c r="T788" s="44"/>
      <c r="U788" s="44"/>
      <c r="V788" s="44"/>
      <c r="W788" s="44"/>
      <c r="X788" s="44"/>
      <c r="Y788" s="44"/>
      <c r="Z788" s="44"/>
    </row>
    <row r="789" ht="9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78"/>
      <c r="R789" s="44"/>
      <c r="S789" s="44"/>
      <c r="T789" s="44"/>
      <c r="U789" s="44"/>
      <c r="V789" s="44"/>
      <c r="W789" s="44"/>
      <c r="X789" s="44"/>
      <c r="Y789" s="44"/>
      <c r="Z789" s="44"/>
    </row>
    <row r="790" ht="9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78"/>
      <c r="R790" s="44"/>
      <c r="S790" s="44"/>
      <c r="T790" s="44"/>
      <c r="U790" s="44"/>
      <c r="V790" s="44"/>
      <c r="W790" s="44"/>
      <c r="X790" s="44"/>
      <c r="Y790" s="44"/>
      <c r="Z790" s="44"/>
    </row>
    <row r="791" ht="9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78"/>
      <c r="R791" s="44"/>
      <c r="S791" s="44"/>
      <c r="T791" s="44"/>
      <c r="U791" s="44"/>
      <c r="V791" s="44"/>
      <c r="W791" s="44"/>
      <c r="X791" s="44"/>
      <c r="Y791" s="44"/>
      <c r="Z791" s="44"/>
    </row>
    <row r="792" ht="9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78"/>
      <c r="R792" s="44"/>
      <c r="S792" s="44"/>
      <c r="T792" s="44"/>
      <c r="U792" s="44"/>
      <c r="V792" s="44"/>
      <c r="W792" s="44"/>
      <c r="X792" s="44"/>
      <c r="Y792" s="44"/>
      <c r="Z792" s="44"/>
    </row>
    <row r="793" ht="9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78"/>
      <c r="R793" s="44"/>
      <c r="S793" s="44"/>
      <c r="T793" s="44"/>
      <c r="U793" s="44"/>
      <c r="V793" s="44"/>
      <c r="W793" s="44"/>
      <c r="X793" s="44"/>
      <c r="Y793" s="44"/>
      <c r="Z793" s="44"/>
    </row>
    <row r="794" ht="9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78"/>
      <c r="R794" s="44"/>
      <c r="S794" s="44"/>
      <c r="T794" s="44"/>
      <c r="U794" s="44"/>
      <c r="V794" s="44"/>
      <c r="W794" s="44"/>
      <c r="X794" s="44"/>
      <c r="Y794" s="44"/>
      <c r="Z794" s="44"/>
    </row>
    <row r="795" ht="9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78"/>
      <c r="R795" s="44"/>
      <c r="S795" s="44"/>
      <c r="T795" s="44"/>
      <c r="U795" s="44"/>
      <c r="V795" s="44"/>
      <c r="W795" s="44"/>
      <c r="X795" s="44"/>
      <c r="Y795" s="44"/>
      <c r="Z795" s="44"/>
    </row>
    <row r="796" ht="9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78"/>
      <c r="R796" s="44"/>
      <c r="S796" s="44"/>
      <c r="T796" s="44"/>
      <c r="U796" s="44"/>
      <c r="V796" s="44"/>
      <c r="W796" s="44"/>
      <c r="X796" s="44"/>
      <c r="Y796" s="44"/>
      <c r="Z796" s="44"/>
    </row>
    <row r="797" ht="9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78"/>
      <c r="R797" s="44"/>
      <c r="S797" s="44"/>
      <c r="T797" s="44"/>
      <c r="U797" s="44"/>
      <c r="V797" s="44"/>
      <c r="W797" s="44"/>
      <c r="X797" s="44"/>
      <c r="Y797" s="44"/>
      <c r="Z797" s="44"/>
    </row>
    <row r="798" ht="9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78"/>
      <c r="R798" s="44"/>
      <c r="S798" s="44"/>
      <c r="T798" s="44"/>
      <c r="U798" s="44"/>
      <c r="V798" s="44"/>
      <c r="W798" s="44"/>
      <c r="X798" s="44"/>
      <c r="Y798" s="44"/>
      <c r="Z798" s="44"/>
    </row>
    <row r="799" ht="9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78"/>
      <c r="R799" s="44"/>
      <c r="S799" s="44"/>
      <c r="T799" s="44"/>
      <c r="U799" s="44"/>
      <c r="V799" s="44"/>
      <c r="W799" s="44"/>
      <c r="X799" s="44"/>
      <c r="Y799" s="44"/>
      <c r="Z799" s="44"/>
    </row>
    <row r="800" ht="9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78"/>
      <c r="R800" s="44"/>
      <c r="S800" s="44"/>
      <c r="T800" s="44"/>
      <c r="U800" s="44"/>
      <c r="V800" s="44"/>
      <c r="W800" s="44"/>
      <c r="X800" s="44"/>
      <c r="Y800" s="44"/>
      <c r="Z800" s="44"/>
    </row>
    <row r="801" ht="9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78"/>
      <c r="R801" s="44"/>
      <c r="S801" s="44"/>
      <c r="T801" s="44"/>
      <c r="U801" s="44"/>
      <c r="V801" s="44"/>
      <c r="W801" s="44"/>
      <c r="X801" s="44"/>
      <c r="Y801" s="44"/>
      <c r="Z801" s="44"/>
    </row>
    <row r="802" ht="9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78"/>
      <c r="R802" s="44"/>
      <c r="S802" s="44"/>
      <c r="T802" s="44"/>
      <c r="U802" s="44"/>
      <c r="V802" s="44"/>
      <c r="W802" s="44"/>
      <c r="X802" s="44"/>
      <c r="Y802" s="44"/>
      <c r="Z802" s="44"/>
    </row>
    <row r="803" ht="9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78"/>
      <c r="R803" s="44"/>
      <c r="S803" s="44"/>
      <c r="T803" s="44"/>
      <c r="U803" s="44"/>
      <c r="V803" s="44"/>
      <c r="W803" s="44"/>
      <c r="X803" s="44"/>
      <c r="Y803" s="44"/>
      <c r="Z803" s="44"/>
    </row>
    <row r="804" ht="9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78"/>
      <c r="R804" s="44"/>
      <c r="S804" s="44"/>
      <c r="T804" s="44"/>
      <c r="U804" s="44"/>
      <c r="V804" s="44"/>
      <c r="W804" s="44"/>
      <c r="X804" s="44"/>
      <c r="Y804" s="44"/>
      <c r="Z804" s="44"/>
    </row>
    <row r="805" ht="9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78"/>
      <c r="R805" s="44"/>
      <c r="S805" s="44"/>
      <c r="T805" s="44"/>
      <c r="U805" s="44"/>
      <c r="V805" s="44"/>
      <c r="W805" s="44"/>
      <c r="X805" s="44"/>
      <c r="Y805" s="44"/>
      <c r="Z805" s="44"/>
    </row>
    <row r="806" ht="9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78"/>
      <c r="R806" s="44"/>
      <c r="S806" s="44"/>
      <c r="T806" s="44"/>
      <c r="U806" s="44"/>
      <c r="V806" s="44"/>
      <c r="W806" s="44"/>
      <c r="X806" s="44"/>
      <c r="Y806" s="44"/>
      <c r="Z806" s="44"/>
    </row>
    <row r="807" ht="9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78"/>
      <c r="R807" s="44"/>
      <c r="S807" s="44"/>
      <c r="T807" s="44"/>
      <c r="U807" s="44"/>
      <c r="V807" s="44"/>
      <c r="W807" s="44"/>
      <c r="X807" s="44"/>
      <c r="Y807" s="44"/>
      <c r="Z807" s="44"/>
    </row>
    <row r="808" ht="9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78"/>
      <c r="R808" s="44"/>
      <c r="S808" s="44"/>
      <c r="T808" s="44"/>
      <c r="U808" s="44"/>
      <c r="V808" s="44"/>
      <c r="W808" s="44"/>
      <c r="X808" s="44"/>
      <c r="Y808" s="44"/>
      <c r="Z808" s="44"/>
    </row>
    <row r="809" ht="9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78"/>
      <c r="R809" s="44"/>
      <c r="S809" s="44"/>
      <c r="T809" s="44"/>
      <c r="U809" s="44"/>
      <c r="V809" s="44"/>
      <c r="W809" s="44"/>
      <c r="X809" s="44"/>
      <c r="Y809" s="44"/>
      <c r="Z809" s="44"/>
    </row>
    <row r="810" ht="9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78"/>
      <c r="R810" s="44"/>
      <c r="S810" s="44"/>
      <c r="T810" s="44"/>
      <c r="U810" s="44"/>
      <c r="V810" s="44"/>
      <c r="W810" s="44"/>
      <c r="X810" s="44"/>
      <c r="Y810" s="44"/>
      <c r="Z810" s="44"/>
    </row>
    <row r="811" ht="9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78"/>
      <c r="R811" s="44"/>
      <c r="S811" s="44"/>
      <c r="T811" s="44"/>
      <c r="U811" s="44"/>
      <c r="V811" s="44"/>
      <c r="W811" s="44"/>
      <c r="X811" s="44"/>
      <c r="Y811" s="44"/>
      <c r="Z811" s="44"/>
    </row>
    <row r="812" ht="9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78"/>
      <c r="R812" s="44"/>
      <c r="S812" s="44"/>
      <c r="T812" s="44"/>
      <c r="U812" s="44"/>
      <c r="V812" s="44"/>
      <c r="W812" s="44"/>
      <c r="X812" s="44"/>
      <c r="Y812" s="44"/>
      <c r="Z812" s="44"/>
    </row>
    <row r="813" ht="9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78"/>
      <c r="R813" s="44"/>
      <c r="S813" s="44"/>
      <c r="T813" s="44"/>
      <c r="U813" s="44"/>
      <c r="V813" s="44"/>
      <c r="W813" s="44"/>
      <c r="X813" s="44"/>
      <c r="Y813" s="44"/>
      <c r="Z813" s="44"/>
    </row>
    <row r="814" ht="9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78"/>
      <c r="R814" s="44"/>
      <c r="S814" s="44"/>
      <c r="T814" s="44"/>
      <c r="U814" s="44"/>
      <c r="V814" s="44"/>
      <c r="W814" s="44"/>
      <c r="X814" s="44"/>
      <c r="Y814" s="44"/>
      <c r="Z814" s="44"/>
    </row>
    <row r="815" ht="9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78"/>
      <c r="R815" s="44"/>
      <c r="S815" s="44"/>
      <c r="T815" s="44"/>
      <c r="U815" s="44"/>
      <c r="V815" s="44"/>
      <c r="W815" s="44"/>
      <c r="X815" s="44"/>
      <c r="Y815" s="44"/>
      <c r="Z815" s="44"/>
    </row>
    <row r="816" ht="9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78"/>
      <c r="R816" s="44"/>
      <c r="S816" s="44"/>
      <c r="T816" s="44"/>
      <c r="U816" s="44"/>
      <c r="V816" s="44"/>
      <c r="W816" s="44"/>
      <c r="X816" s="44"/>
      <c r="Y816" s="44"/>
      <c r="Z816" s="44"/>
    </row>
    <row r="817" ht="9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78"/>
      <c r="R817" s="44"/>
      <c r="S817" s="44"/>
      <c r="T817" s="44"/>
      <c r="U817" s="44"/>
      <c r="V817" s="44"/>
      <c r="W817" s="44"/>
      <c r="X817" s="44"/>
      <c r="Y817" s="44"/>
      <c r="Z817" s="44"/>
    </row>
    <row r="818" ht="9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78"/>
      <c r="R818" s="44"/>
      <c r="S818" s="44"/>
      <c r="T818" s="44"/>
      <c r="U818" s="44"/>
      <c r="V818" s="44"/>
      <c r="W818" s="44"/>
      <c r="X818" s="44"/>
      <c r="Y818" s="44"/>
      <c r="Z818" s="44"/>
    </row>
    <row r="819" ht="9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78"/>
      <c r="R819" s="44"/>
      <c r="S819" s="44"/>
      <c r="T819" s="44"/>
      <c r="U819" s="44"/>
      <c r="V819" s="44"/>
      <c r="W819" s="44"/>
      <c r="X819" s="44"/>
      <c r="Y819" s="44"/>
      <c r="Z819" s="44"/>
    </row>
    <row r="820" ht="9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78"/>
      <c r="R820" s="44"/>
      <c r="S820" s="44"/>
      <c r="T820" s="44"/>
      <c r="U820" s="44"/>
      <c r="V820" s="44"/>
      <c r="W820" s="44"/>
      <c r="X820" s="44"/>
      <c r="Y820" s="44"/>
      <c r="Z820" s="44"/>
    </row>
    <row r="821" ht="9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78"/>
      <c r="R821" s="44"/>
      <c r="S821" s="44"/>
      <c r="T821" s="44"/>
      <c r="U821" s="44"/>
      <c r="V821" s="44"/>
      <c r="W821" s="44"/>
      <c r="X821" s="44"/>
      <c r="Y821" s="44"/>
      <c r="Z821" s="44"/>
    </row>
    <row r="822" ht="9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78"/>
      <c r="R822" s="44"/>
      <c r="S822" s="44"/>
      <c r="T822" s="44"/>
      <c r="U822" s="44"/>
      <c r="V822" s="44"/>
      <c r="W822" s="44"/>
      <c r="X822" s="44"/>
      <c r="Y822" s="44"/>
      <c r="Z822" s="44"/>
    </row>
    <row r="823" ht="9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78"/>
      <c r="R823" s="44"/>
      <c r="S823" s="44"/>
      <c r="T823" s="44"/>
      <c r="U823" s="44"/>
      <c r="V823" s="44"/>
      <c r="W823" s="44"/>
      <c r="X823" s="44"/>
      <c r="Y823" s="44"/>
      <c r="Z823" s="44"/>
    </row>
    <row r="824" ht="9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78"/>
      <c r="R824" s="44"/>
      <c r="S824" s="44"/>
      <c r="T824" s="44"/>
      <c r="U824" s="44"/>
      <c r="V824" s="44"/>
      <c r="W824" s="44"/>
      <c r="X824" s="44"/>
      <c r="Y824" s="44"/>
      <c r="Z824" s="44"/>
    </row>
    <row r="825" ht="9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78"/>
      <c r="R825" s="44"/>
      <c r="S825" s="44"/>
      <c r="T825" s="44"/>
      <c r="U825" s="44"/>
      <c r="V825" s="44"/>
      <c r="W825" s="44"/>
      <c r="X825" s="44"/>
      <c r="Y825" s="44"/>
      <c r="Z825" s="44"/>
    </row>
    <row r="826" ht="9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78"/>
      <c r="R826" s="44"/>
      <c r="S826" s="44"/>
      <c r="T826" s="44"/>
      <c r="U826" s="44"/>
      <c r="V826" s="44"/>
      <c r="W826" s="44"/>
      <c r="X826" s="44"/>
      <c r="Y826" s="44"/>
      <c r="Z826" s="44"/>
    </row>
    <row r="827" ht="9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78"/>
      <c r="R827" s="44"/>
      <c r="S827" s="44"/>
      <c r="T827" s="44"/>
      <c r="U827" s="44"/>
      <c r="V827" s="44"/>
      <c r="W827" s="44"/>
      <c r="X827" s="44"/>
      <c r="Y827" s="44"/>
      <c r="Z827" s="44"/>
    </row>
    <row r="828" ht="9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78"/>
      <c r="R828" s="44"/>
      <c r="S828" s="44"/>
      <c r="T828" s="44"/>
      <c r="U828" s="44"/>
      <c r="V828" s="44"/>
      <c r="W828" s="44"/>
      <c r="X828" s="44"/>
      <c r="Y828" s="44"/>
      <c r="Z828" s="44"/>
    </row>
    <row r="829" ht="9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78"/>
      <c r="R829" s="44"/>
      <c r="S829" s="44"/>
      <c r="T829" s="44"/>
      <c r="U829" s="44"/>
      <c r="V829" s="44"/>
      <c r="W829" s="44"/>
      <c r="X829" s="44"/>
      <c r="Y829" s="44"/>
      <c r="Z829" s="44"/>
    </row>
    <row r="830" ht="9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78"/>
      <c r="R830" s="44"/>
      <c r="S830" s="44"/>
      <c r="T830" s="44"/>
      <c r="U830" s="44"/>
      <c r="V830" s="44"/>
      <c r="W830" s="44"/>
      <c r="X830" s="44"/>
      <c r="Y830" s="44"/>
      <c r="Z830" s="44"/>
    </row>
    <row r="831" ht="9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78"/>
      <c r="R831" s="44"/>
      <c r="S831" s="44"/>
      <c r="T831" s="44"/>
      <c r="U831" s="44"/>
      <c r="V831" s="44"/>
      <c r="W831" s="44"/>
      <c r="X831" s="44"/>
      <c r="Y831" s="44"/>
      <c r="Z831" s="44"/>
    </row>
    <row r="832" ht="9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78"/>
      <c r="R832" s="44"/>
      <c r="S832" s="44"/>
      <c r="T832" s="44"/>
      <c r="U832" s="44"/>
      <c r="V832" s="44"/>
      <c r="W832" s="44"/>
      <c r="X832" s="44"/>
      <c r="Y832" s="44"/>
      <c r="Z832" s="44"/>
    </row>
    <row r="833" ht="9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78"/>
      <c r="R833" s="44"/>
      <c r="S833" s="44"/>
      <c r="T833" s="44"/>
      <c r="U833" s="44"/>
      <c r="V833" s="44"/>
      <c r="W833" s="44"/>
      <c r="X833" s="44"/>
      <c r="Y833" s="44"/>
      <c r="Z833" s="44"/>
    </row>
    <row r="834" ht="9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78"/>
      <c r="R834" s="44"/>
      <c r="S834" s="44"/>
      <c r="T834" s="44"/>
      <c r="U834" s="44"/>
      <c r="V834" s="44"/>
      <c r="W834" s="44"/>
      <c r="X834" s="44"/>
      <c r="Y834" s="44"/>
      <c r="Z834" s="44"/>
    </row>
    <row r="835" ht="9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78"/>
      <c r="R835" s="44"/>
      <c r="S835" s="44"/>
      <c r="T835" s="44"/>
      <c r="U835" s="44"/>
      <c r="V835" s="44"/>
      <c r="W835" s="44"/>
      <c r="X835" s="44"/>
      <c r="Y835" s="44"/>
      <c r="Z835" s="44"/>
    </row>
    <row r="836" ht="9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78"/>
      <c r="R836" s="44"/>
      <c r="S836" s="44"/>
      <c r="T836" s="44"/>
      <c r="U836" s="44"/>
      <c r="V836" s="44"/>
      <c r="W836" s="44"/>
      <c r="X836" s="44"/>
      <c r="Y836" s="44"/>
      <c r="Z836" s="44"/>
    </row>
    <row r="837" ht="9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78"/>
      <c r="R837" s="44"/>
      <c r="S837" s="44"/>
      <c r="T837" s="44"/>
      <c r="U837" s="44"/>
      <c r="V837" s="44"/>
      <c r="W837" s="44"/>
      <c r="X837" s="44"/>
      <c r="Y837" s="44"/>
      <c r="Z837" s="44"/>
    </row>
    <row r="838" ht="9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78"/>
      <c r="R838" s="44"/>
      <c r="S838" s="44"/>
      <c r="T838" s="44"/>
      <c r="U838" s="44"/>
      <c r="V838" s="44"/>
      <c r="W838" s="44"/>
      <c r="X838" s="44"/>
      <c r="Y838" s="44"/>
      <c r="Z838" s="44"/>
    </row>
    <row r="839" ht="9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78"/>
      <c r="R839" s="44"/>
      <c r="S839" s="44"/>
      <c r="T839" s="44"/>
      <c r="U839" s="44"/>
      <c r="V839" s="44"/>
      <c r="W839" s="44"/>
      <c r="X839" s="44"/>
      <c r="Y839" s="44"/>
      <c r="Z839" s="44"/>
    </row>
    <row r="840" ht="9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78"/>
      <c r="R840" s="44"/>
      <c r="S840" s="44"/>
      <c r="T840" s="44"/>
      <c r="U840" s="44"/>
      <c r="V840" s="44"/>
      <c r="W840" s="44"/>
      <c r="X840" s="44"/>
      <c r="Y840" s="44"/>
      <c r="Z840" s="44"/>
    </row>
    <row r="841" ht="9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78"/>
      <c r="R841" s="44"/>
      <c r="S841" s="44"/>
      <c r="T841" s="44"/>
      <c r="U841" s="44"/>
      <c r="V841" s="44"/>
      <c r="W841" s="44"/>
      <c r="X841" s="44"/>
      <c r="Y841" s="44"/>
      <c r="Z841" s="44"/>
    </row>
    <row r="842" ht="9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78"/>
      <c r="R842" s="44"/>
      <c r="S842" s="44"/>
      <c r="T842" s="44"/>
      <c r="U842" s="44"/>
      <c r="V842" s="44"/>
      <c r="W842" s="44"/>
      <c r="X842" s="44"/>
      <c r="Y842" s="44"/>
      <c r="Z842" s="44"/>
    </row>
    <row r="843" ht="9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78"/>
      <c r="R843" s="44"/>
      <c r="S843" s="44"/>
      <c r="T843" s="44"/>
      <c r="U843" s="44"/>
      <c r="V843" s="44"/>
      <c r="W843" s="44"/>
      <c r="X843" s="44"/>
      <c r="Y843" s="44"/>
      <c r="Z843" s="44"/>
    </row>
    <row r="844" ht="9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78"/>
      <c r="R844" s="44"/>
      <c r="S844" s="44"/>
      <c r="T844" s="44"/>
      <c r="U844" s="44"/>
      <c r="V844" s="44"/>
      <c r="W844" s="44"/>
      <c r="X844" s="44"/>
      <c r="Y844" s="44"/>
      <c r="Z844" s="44"/>
    </row>
    <row r="845" ht="9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78"/>
      <c r="R845" s="44"/>
      <c r="S845" s="44"/>
      <c r="T845" s="44"/>
      <c r="U845" s="44"/>
      <c r="V845" s="44"/>
      <c r="W845" s="44"/>
      <c r="X845" s="44"/>
      <c r="Y845" s="44"/>
      <c r="Z845" s="44"/>
    </row>
    <row r="846" ht="9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78"/>
      <c r="R846" s="44"/>
      <c r="S846" s="44"/>
      <c r="T846" s="44"/>
      <c r="U846" s="44"/>
      <c r="V846" s="44"/>
      <c r="W846" s="44"/>
      <c r="X846" s="44"/>
      <c r="Y846" s="44"/>
      <c r="Z846" s="44"/>
    </row>
    <row r="847" ht="9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78"/>
      <c r="R847" s="44"/>
      <c r="S847" s="44"/>
      <c r="T847" s="44"/>
      <c r="U847" s="44"/>
      <c r="V847" s="44"/>
      <c r="W847" s="44"/>
      <c r="X847" s="44"/>
      <c r="Y847" s="44"/>
      <c r="Z847" s="44"/>
    </row>
    <row r="848" ht="9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78"/>
      <c r="R848" s="44"/>
      <c r="S848" s="44"/>
      <c r="T848" s="44"/>
      <c r="U848" s="44"/>
      <c r="V848" s="44"/>
      <c r="W848" s="44"/>
      <c r="X848" s="44"/>
      <c r="Y848" s="44"/>
      <c r="Z848" s="44"/>
    </row>
    <row r="849" ht="9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78"/>
      <c r="R849" s="44"/>
      <c r="S849" s="44"/>
      <c r="T849" s="44"/>
      <c r="U849" s="44"/>
      <c r="V849" s="44"/>
      <c r="W849" s="44"/>
      <c r="X849" s="44"/>
      <c r="Y849" s="44"/>
      <c r="Z849" s="44"/>
    </row>
    <row r="850" ht="9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78"/>
      <c r="R850" s="44"/>
      <c r="S850" s="44"/>
      <c r="T850" s="44"/>
      <c r="U850" s="44"/>
      <c r="V850" s="44"/>
      <c r="W850" s="44"/>
      <c r="X850" s="44"/>
      <c r="Y850" s="44"/>
      <c r="Z850" s="44"/>
    </row>
    <row r="851" ht="9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78"/>
      <c r="R851" s="44"/>
      <c r="S851" s="44"/>
      <c r="T851" s="44"/>
      <c r="U851" s="44"/>
      <c r="V851" s="44"/>
      <c r="W851" s="44"/>
      <c r="X851" s="44"/>
      <c r="Y851" s="44"/>
      <c r="Z851" s="44"/>
    </row>
    <row r="852" ht="9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78"/>
      <c r="R852" s="44"/>
      <c r="S852" s="44"/>
      <c r="T852" s="44"/>
      <c r="U852" s="44"/>
      <c r="V852" s="44"/>
      <c r="W852" s="44"/>
      <c r="X852" s="44"/>
      <c r="Y852" s="44"/>
      <c r="Z852" s="44"/>
    </row>
    <row r="853" ht="9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78"/>
      <c r="R853" s="44"/>
      <c r="S853" s="44"/>
      <c r="T853" s="44"/>
      <c r="U853" s="44"/>
      <c r="V853" s="44"/>
      <c r="W853" s="44"/>
      <c r="X853" s="44"/>
      <c r="Y853" s="44"/>
      <c r="Z853" s="44"/>
    </row>
    <row r="854" ht="9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78"/>
      <c r="R854" s="44"/>
      <c r="S854" s="44"/>
      <c r="T854" s="44"/>
      <c r="U854" s="44"/>
      <c r="V854" s="44"/>
      <c r="W854" s="44"/>
      <c r="X854" s="44"/>
      <c r="Y854" s="44"/>
      <c r="Z854" s="44"/>
    </row>
    <row r="855" ht="9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78"/>
      <c r="R855" s="44"/>
      <c r="S855" s="44"/>
      <c r="T855" s="44"/>
      <c r="U855" s="44"/>
      <c r="V855" s="44"/>
      <c r="W855" s="44"/>
      <c r="X855" s="44"/>
      <c r="Y855" s="44"/>
      <c r="Z855" s="44"/>
    </row>
    <row r="856" ht="9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78"/>
      <c r="R856" s="44"/>
      <c r="S856" s="44"/>
      <c r="T856" s="44"/>
      <c r="U856" s="44"/>
      <c r="V856" s="44"/>
      <c r="W856" s="44"/>
      <c r="X856" s="44"/>
      <c r="Y856" s="44"/>
      <c r="Z856" s="44"/>
    </row>
    <row r="857" ht="9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78"/>
      <c r="R857" s="44"/>
      <c r="S857" s="44"/>
      <c r="T857" s="44"/>
      <c r="U857" s="44"/>
      <c r="V857" s="44"/>
      <c r="W857" s="44"/>
      <c r="X857" s="44"/>
      <c r="Y857" s="44"/>
      <c r="Z857" s="44"/>
    </row>
    <row r="858" ht="9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78"/>
      <c r="R858" s="44"/>
      <c r="S858" s="44"/>
      <c r="T858" s="44"/>
      <c r="U858" s="44"/>
      <c r="V858" s="44"/>
      <c r="W858" s="44"/>
      <c r="X858" s="44"/>
      <c r="Y858" s="44"/>
      <c r="Z858" s="44"/>
    </row>
    <row r="859" ht="9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78"/>
      <c r="R859" s="44"/>
      <c r="S859" s="44"/>
      <c r="T859" s="44"/>
      <c r="U859" s="44"/>
      <c r="V859" s="44"/>
      <c r="W859" s="44"/>
      <c r="X859" s="44"/>
      <c r="Y859" s="44"/>
      <c r="Z859" s="44"/>
    </row>
    <row r="860" ht="9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78"/>
      <c r="R860" s="44"/>
      <c r="S860" s="44"/>
      <c r="T860" s="44"/>
      <c r="U860" s="44"/>
      <c r="V860" s="44"/>
      <c r="W860" s="44"/>
      <c r="X860" s="44"/>
      <c r="Y860" s="44"/>
      <c r="Z860" s="44"/>
    </row>
    <row r="861" ht="9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78"/>
      <c r="R861" s="44"/>
      <c r="S861" s="44"/>
      <c r="T861" s="44"/>
      <c r="U861" s="44"/>
      <c r="V861" s="44"/>
      <c r="W861" s="44"/>
      <c r="X861" s="44"/>
      <c r="Y861" s="44"/>
      <c r="Z861" s="44"/>
    </row>
    <row r="862" ht="9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78"/>
      <c r="R862" s="44"/>
      <c r="S862" s="44"/>
      <c r="T862" s="44"/>
      <c r="U862" s="44"/>
      <c r="V862" s="44"/>
      <c r="W862" s="44"/>
      <c r="X862" s="44"/>
      <c r="Y862" s="44"/>
      <c r="Z862" s="44"/>
    </row>
    <row r="863" ht="9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78"/>
      <c r="R863" s="44"/>
      <c r="S863" s="44"/>
      <c r="T863" s="44"/>
      <c r="U863" s="44"/>
      <c r="V863" s="44"/>
      <c r="W863" s="44"/>
      <c r="X863" s="44"/>
      <c r="Y863" s="44"/>
      <c r="Z863" s="44"/>
    </row>
    <row r="864" ht="9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78"/>
      <c r="R864" s="44"/>
      <c r="S864" s="44"/>
      <c r="T864" s="44"/>
      <c r="U864" s="44"/>
      <c r="V864" s="44"/>
      <c r="W864" s="44"/>
      <c r="X864" s="44"/>
      <c r="Y864" s="44"/>
      <c r="Z864" s="44"/>
    </row>
    <row r="865" ht="9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78"/>
      <c r="R865" s="44"/>
      <c r="S865" s="44"/>
      <c r="T865" s="44"/>
      <c r="U865" s="44"/>
      <c r="V865" s="44"/>
      <c r="W865" s="44"/>
      <c r="X865" s="44"/>
      <c r="Y865" s="44"/>
      <c r="Z865" s="44"/>
    </row>
    <row r="866" ht="9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78"/>
      <c r="R866" s="44"/>
      <c r="S866" s="44"/>
      <c r="T866" s="44"/>
      <c r="U866" s="44"/>
      <c r="V866" s="44"/>
      <c r="W866" s="44"/>
      <c r="X866" s="44"/>
      <c r="Y866" s="44"/>
      <c r="Z866" s="44"/>
    </row>
    <row r="867" ht="9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78"/>
      <c r="R867" s="44"/>
      <c r="S867" s="44"/>
      <c r="T867" s="44"/>
      <c r="U867" s="44"/>
      <c r="V867" s="44"/>
      <c r="W867" s="44"/>
      <c r="X867" s="44"/>
      <c r="Y867" s="44"/>
      <c r="Z867" s="44"/>
    </row>
    <row r="868" ht="9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78"/>
      <c r="R868" s="44"/>
      <c r="S868" s="44"/>
      <c r="T868" s="44"/>
      <c r="U868" s="44"/>
      <c r="V868" s="44"/>
      <c r="W868" s="44"/>
      <c r="X868" s="44"/>
      <c r="Y868" s="44"/>
      <c r="Z868" s="44"/>
    </row>
    <row r="869" ht="9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78"/>
      <c r="R869" s="44"/>
      <c r="S869" s="44"/>
      <c r="T869" s="44"/>
      <c r="U869" s="44"/>
      <c r="V869" s="44"/>
      <c r="W869" s="44"/>
      <c r="X869" s="44"/>
      <c r="Y869" s="44"/>
      <c r="Z869" s="44"/>
    </row>
    <row r="870" ht="9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78"/>
      <c r="R870" s="44"/>
      <c r="S870" s="44"/>
      <c r="T870" s="44"/>
      <c r="U870" s="44"/>
      <c r="V870" s="44"/>
      <c r="W870" s="44"/>
      <c r="X870" s="44"/>
      <c r="Y870" s="44"/>
      <c r="Z870" s="44"/>
    </row>
    <row r="871" ht="9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78"/>
      <c r="R871" s="44"/>
      <c r="S871" s="44"/>
      <c r="T871" s="44"/>
      <c r="U871" s="44"/>
      <c r="V871" s="44"/>
      <c r="W871" s="44"/>
      <c r="X871" s="44"/>
      <c r="Y871" s="44"/>
      <c r="Z871" s="44"/>
    </row>
    <row r="872" ht="9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78"/>
      <c r="R872" s="44"/>
      <c r="S872" s="44"/>
      <c r="T872" s="44"/>
      <c r="U872" s="44"/>
      <c r="V872" s="44"/>
      <c r="W872" s="44"/>
      <c r="X872" s="44"/>
      <c r="Y872" s="44"/>
      <c r="Z872" s="44"/>
    </row>
    <row r="873" ht="9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78"/>
      <c r="R873" s="44"/>
      <c r="S873" s="44"/>
      <c r="T873" s="44"/>
      <c r="U873" s="44"/>
      <c r="V873" s="44"/>
      <c r="W873" s="44"/>
      <c r="X873" s="44"/>
      <c r="Y873" s="44"/>
      <c r="Z873" s="44"/>
    </row>
    <row r="874" ht="9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78"/>
      <c r="R874" s="44"/>
      <c r="S874" s="44"/>
      <c r="T874" s="44"/>
      <c r="U874" s="44"/>
      <c r="V874" s="44"/>
      <c r="W874" s="44"/>
      <c r="X874" s="44"/>
      <c r="Y874" s="44"/>
      <c r="Z874" s="44"/>
    </row>
    <row r="875" ht="9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78"/>
      <c r="R875" s="44"/>
      <c r="S875" s="44"/>
      <c r="T875" s="44"/>
      <c r="U875" s="44"/>
      <c r="V875" s="44"/>
      <c r="W875" s="44"/>
      <c r="X875" s="44"/>
      <c r="Y875" s="44"/>
      <c r="Z875" s="44"/>
    </row>
    <row r="876" ht="9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78"/>
      <c r="R876" s="44"/>
      <c r="S876" s="44"/>
      <c r="T876" s="44"/>
      <c r="U876" s="44"/>
      <c r="V876" s="44"/>
      <c r="W876" s="44"/>
      <c r="X876" s="44"/>
      <c r="Y876" s="44"/>
      <c r="Z876" s="44"/>
    </row>
    <row r="877" ht="9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78"/>
      <c r="R877" s="44"/>
      <c r="S877" s="44"/>
      <c r="T877" s="44"/>
      <c r="U877" s="44"/>
      <c r="V877" s="44"/>
      <c r="W877" s="44"/>
      <c r="X877" s="44"/>
      <c r="Y877" s="44"/>
      <c r="Z877" s="44"/>
    </row>
    <row r="878" ht="9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78"/>
      <c r="R878" s="44"/>
      <c r="S878" s="44"/>
      <c r="T878" s="44"/>
      <c r="U878" s="44"/>
      <c r="V878" s="44"/>
      <c r="W878" s="44"/>
      <c r="X878" s="44"/>
      <c r="Y878" s="44"/>
      <c r="Z878" s="44"/>
    </row>
    <row r="879" ht="9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78"/>
      <c r="R879" s="44"/>
      <c r="S879" s="44"/>
      <c r="T879" s="44"/>
      <c r="U879" s="44"/>
      <c r="V879" s="44"/>
      <c r="W879" s="44"/>
      <c r="X879" s="44"/>
      <c r="Y879" s="44"/>
      <c r="Z879" s="44"/>
    </row>
    <row r="880" ht="9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78"/>
      <c r="R880" s="44"/>
      <c r="S880" s="44"/>
      <c r="T880" s="44"/>
      <c r="U880" s="44"/>
      <c r="V880" s="44"/>
      <c r="W880" s="44"/>
      <c r="X880" s="44"/>
      <c r="Y880" s="44"/>
      <c r="Z880" s="44"/>
    </row>
    <row r="881" ht="9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78"/>
      <c r="R881" s="44"/>
      <c r="S881" s="44"/>
      <c r="T881" s="44"/>
      <c r="U881" s="44"/>
      <c r="V881" s="44"/>
      <c r="W881" s="44"/>
      <c r="X881" s="44"/>
      <c r="Y881" s="44"/>
      <c r="Z881" s="44"/>
    </row>
    <row r="882" ht="9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78"/>
      <c r="R882" s="44"/>
      <c r="S882" s="44"/>
      <c r="T882" s="44"/>
      <c r="U882" s="44"/>
      <c r="V882" s="44"/>
      <c r="W882" s="44"/>
      <c r="X882" s="44"/>
      <c r="Y882" s="44"/>
      <c r="Z882" s="44"/>
    </row>
    <row r="883" ht="9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78"/>
      <c r="R883" s="44"/>
      <c r="S883" s="44"/>
      <c r="T883" s="44"/>
      <c r="U883" s="44"/>
      <c r="V883" s="44"/>
      <c r="W883" s="44"/>
      <c r="X883" s="44"/>
      <c r="Y883" s="44"/>
      <c r="Z883" s="44"/>
    </row>
    <row r="884" ht="9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78"/>
      <c r="R884" s="44"/>
      <c r="S884" s="44"/>
      <c r="T884" s="44"/>
      <c r="U884" s="44"/>
      <c r="V884" s="44"/>
      <c r="W884" s="44"/>
      <c r="X884" s="44"/>
      <c r="Y884" s="44"/>
      <c r="Z884" s="44"/>
    </row>
    <row r="885" ht="9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78"/>
      <c r="R885" s="44"/>
      <c r="S885" s="44"/>
      <c r="T885" s="44"/>
      <c r="U885" s="44"/>
      <c r="V885" s="44"/>
      <c r="W885" s="44"/>
      <c r="X885" s="44"/>
      <c r="Y885" s="44"/>
      <c r="Z885" s="44"/>
    </row>
    <row r="886" ht="9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78"/>
      <c r="R886" s="44"/>
      <c r="S886" s="44"/>
      <c r="T886" s="44"/>
      <c r="U886" s="44"/>
      <c r="V886" s="44"/>
      <c r="W886" s="44"/>
      <c r="X886" s="44"/>
      <c r="Y886" s="44"/>
      <c r="Z886" s="44"/>
    </row>
    <row r="887" ht="9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78"/>
      <c r="R887" s="44"/>
      <c r="S887" s="44"/>
      <c r="T887" s="44"/>
      <c r="U887" s="44"/>
      <c r="V887" s="44"/>
      <c r="W887" s="44"/>
      <c r="X887" s="44"/>
      <c r="Y887" s="44"/>
      <c r="Z887" s="44"/>
    </row>
    <row r="888" ht="9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78"/>
      <c r="R888" s="44"/>
      <c r="S888" s="44"/>
      <c r="T888" s="44"/>
      <c r="U888" s="44"/>
      <c r="V888" s="44"/>
      <c r="W888" s="44"/>
      <c r="X888" s="44"/>
      <c r="Y888" s="44"/>
      <c r="Z888" s="44"/>
    </row>
    <row r="889" ht="9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78"/>
      <c r="R889" s="44"/>
      <c r="S889" s="44"/>
      <c r="T889" s="44"/>
      <c r="U889" s="44"/>
      <c r="V889" s="44"/>
      <c r="W889" s="44"/>
      <c r="X889" s="44"/>
      <c r="Y889" s="44"/>
      <c r="Z889" s="44"/>
    </row>
    <row r="890" ht="9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78"/>
      <c r="R890" s="44"/>
      <c r="S890" s="44"/>
      <c r="T890" s="44"/>
      <c r="U890" s="44"/>
      <c r="V890" s="44"/>
      <c r="W890" s="44"/>
      <c r="X890" s="44"/>
      <c r="Y890" s="44"/>
      <c r="Z890" s="44"/>
    </row>
    <row r="891" ht="9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78"/>
      <c r="R891" s="44"/>
      <c r="S891" s="44"/>
      <c r="T891" s="44"/>
      <c r="U891" s="44"/>
      <c r="V891" s="44"/>
      <c r="W891" s="44"/>
      <c r="X891" s="44"/>
      <c r="Y891" s="44"/>
      <c r="Z891" s="44"/>
    </row>
    <row r="892" ht="9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78"/>
      <c r="R892" s="44"/>
      <c r="S892" s="44"/>
      <c r="T892" s="44"/>
      <c r="U892" s="44"/>
      <c r="V892" s="44"/>
      <c r="W892" s="44"/>
      <c r="X892" s="44"/>
      <c r="Y892" s="44"/>
      <c r="Z892" s="44"/>
    </row>
    <row r="893" ht="9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78"/>
      <c r="R893" s="44"/>
      <c r="S893" s="44"/>
      <c r="T893" s="44"/>
      <c r="U893" s="44"/>
      <c r="V893" s="44"/>
      <c r="W893" s="44"/>
      <c r="X893" s="44"/>
      <c r="Y893" s="44"/>
      <c r="Z893" s="44"/>
    </row>
    <row r="894" ht="9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78"/>
      <c r="R894" s="44"/>
      <c r="S894" s="44"/>
      <c r="T894" s="44"/>
      <c r="U894" s="44"/>
      <c r="V894" s="44"/>
      <c r="W894" s="44"/>
      <c r="X894" s="44"/>
      <c r="Y894" s="44"/>
      <c r="Z894" s="44"/>
    </row>
    <row r="895" ht="9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78"/>
      <c r="R895" s="44"/>
      <c r="S895" s="44"/>
      <c r="T895" s="44"/>
      <c r="U895" s="44"/>
      <c r="V895" s="44"/>
      <c r="W895" s="44"/>
      <c r="X895" s="44"/>
      <c r="Y895" s="44"/>
      <c r="Z895" s="44"/>
    </row>
    <row r="896" ht="9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78"/>
      <c r="R896" s="44"/>
      <c r="S896" s="44"/>
      <c r="T896" s="44"/>
      <c r="U896" s="44"/>
      <c r="V896" s="44"/>
      <c r="W896" s="44"/>
      <c r="X896" s="44"/>
      <c r="Y896" s="44"/>
      <c r="Z896" s="44"/>
    </row>
    <row r="897" ht="9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78"/>
      <c r="R897" s="44"/>
      <c r="S897" s="44"/>
      <c r="T897" s="44"/>
      <c r="U897" s="44"/>
      <c r="V897" s="44"/>
      <c r="W897" s="44"/>
      <c r="X897" s="44"/>
      <c r="Y897" s="44"/>
      <c r="Z897" s="44"/>
    </row>
    <row r="898" ht="9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78"/>
      <c r="R898" s="44"/>
      <c r="S898" s="44"/>
      <c r="T898" s="44"/>
      <c r="U898" s="44"/>
      <c r="V898" s="44"/>
      <c r="W898" s="44"/>
      <c r="X898" s="44"/>
      <c r="Y898" s="44"/>
      <c r="Z898" s="44"/>
    </row>
    <row r="899" ht="9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78"/>
      <c r="R899" s="44"/>
      <c r="S899" s="44"/>
      <c r="T899" s="44"/>
      <c r="U899" s="44"/>
      <c r="V899" s="44"/>
      <c r="W899" s="44"/>
      <c r="X899" s="44"/>
      <c r="Y899" s="44"/>
      <c r="Z899" s="44"/>
    </row>
    <row r="900" ht="9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78"/>
      <c r="R900" s="44"/>
      <c r="S900" s="44"/>
      <c r="T900" s="44"/>
      <c r="U900" s="44"/>
      <c r="V900" s="44"/>
      <c r="W900" s="44"/>
      <c r="X900" s="44"/>
      <c r="Y900" s="44"/>
      <c r="Z900" s="44"/>
    </row>
    <row r="901" ht="9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78"/>
      <c r="R901" s="44"/>
      <c r="S901" s="44"/>
      <c r="T901" s="44"/>
      <c r="U901" s="44"/>
      <c r="V901" s="44"/>
      <c r="W901" s="44"/>
      <c r="X901" s="44"/>
      <c r="Y901" s="44"/>
      <c r="Z901" s="44"/>
    </row>
    <row r="902" ht="9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78"/>
      <c r="R902" s="44"/>
      <c r="S902" s="44"/>
      <c r="T902" s="44"/>
      <c r="U902" s="44"/>
      <c r="V902" s="44"/>
      <c r="W902" s="44"/>
      <c r="X902" s="44"/>
      <c r="Y902" s="44"/>
      <c r="Z902" s="44"/>
    </row>
    <row r="903" ht="9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78"/>
      <c r="R903" s="44"/>
      <c r="S903" s="44"/>
      <c r="T903" s="44"/>
      <c r="U903" s="44"/>
      <c r="V903" s="44"/>
      <c r="W903" s="44"/>
      <c r="X903" s="44"/>
      <c r="Y903" s="44"/>
      <c r="Z903" s="44"/>
    </row>
    <row r="904" ht="9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78"/>
      <c r="R904" s="44"/>
      <c r="S904" s="44"/>
      <c r="T904" s="44"/>
      <c r="U904" s="44"/>
      <c r="V904" s="44"/>
      <c r="W904" s="44"/>
      <c r="X904" s="44"/>
      <c r="Y904" s="44"/>
      <c r="Z904" s="44"/>
    </row>
    <row r="905" ht="9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78"/>
      <c r="R905" s="44"/>
      <c r="S905" s="44"/>
      <c r="T905" s="44"/>
      <c r="U905" s="44"/>
      <c r="V905" s="44"/>
      <c r="W905" s="44"/>
      <c r="X905" s="44"/>
      <c r="Y905" s="44"/>
      <c r="Z905" s="44"/>
    </row>
    <row r="906" ht="9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78"/>
      <c r="R906" s="44"/>
      <c r="S906" s="44"/>
      <c r="T906" s="44"/>
      <c r="U906" s="44"/>
      <c r="V906" s="44"/>
      <c r="W906" s="44"/>
      <c r="X906" s="44"/>
      <c r="Y906" s="44"/>
      <c r="Z906" s="44"/>
    </row>
    <row r="907" ht="9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78"/>
      <c r="R907" s="44"/>
      <c r="S907" s="44"/>
      <c r="T907" s="44"/>
      <c r="U907" s="44"/>
      <c r="V907" s="44"/>
      <c r="W907" s="44"/>
      <c r="X907" s="44"/>
      <c r="Y907" s="44"/>
      <c r="Z907" s="44"/>
    </row>
    <row r="908" ht="9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78"/>
      <c r="R908" s="44"/>
      <c r="S908" s="44"/>
      <c r="T908" s="44"/>
      <c r="U908" s="44"/>
      <c r="V908" s="44"/>
      <c r="W908" s="44"/>
      <c r="X908" s="44"/>
      <c r="Y908" s="44"/>
      <c r="Z908" s="44"/>
    </row>
    <row r="909" ht="9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78"/>
      <c r="R909" s="44"/>
      <c r="S909" s="44"/>
      <c r="T909" s="44"/>
      <c r="U909" s="44"/>
      <c r="V909" s="44"/>
      <c r="W909" s="44"/>
      <c r="X909" s="44"/>
      <c r="Y909" s="44"/>
      <c r="Z909" s="44"/>
    </row>
    <row r="910" ht="9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78"/>
      <c r="R910" s="44"/>
      <c r="S910" s="44"/>
      <c r="T910" s="44"/>
      <c r="U910" s="44"/>
      <c r="V910" s="44"/>
      <c r="W910" s="44"/>
      <c r="X910" s="44"/>
      <c r="Y910" s="44"/>
      <c r="Z910" s="44"/>
    </row>
    <row r="911" ht="9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78"/>
      <c r="R911" s="44"/>
      <c r="S911" s="44"/>
      <c r="T911" s="44"/>
      <c r="U911" s="44"/>
      <c r="V911" s="44"/>
      <c r="W911" s="44"/>
      <c r="X911" s="44"/>
      <c r="Y911" s="44"/>
      <c r="Z911" s="44"/>
    </row>
    <row r="912" ht="9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78"/>
      <c r="R912" s="44"/>
      <c r="S912" s="44"/>
      <c r="T912" s="44"/>
      <c r="U912" s="44"/>
      <c r="V912" s="44"/>
      <c r="W912" s="44"/>
      <c r="X912" s="44"/>
      <c r="Y912" s="44"/>
      <c r="Z912" s="44"/>
    </row>
    <row r="913" ht="9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78"/>
      <c r="R913" s="44"/>
      <c r="S913" s="44"/>
      <c r="T913" s="44"/>
      <c r="U913" s="44"/>
      <c r="V913" s="44"/>
      <c r="W913" s="44"/>
      <c r="X913" s="44"/>
      <c r="Y913" s="44"/>
      <c r="Z913" s="44"/>
    </row>
    <row r="914" ht="9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78"/>
      <c r="R914" s="44"/>
      <c r="S914" s="44"/>
      <c r="T914" s="44"/>
      <c r="U914" s="44"/>
      <c r="V914" s="44"/>
      <c r="W914" s="44"/>
      <c r="X914" s="44"/>
      <c r="Y914" s="44"/>
      <c r="Z914" s="44"/>
    </row>
    <row r="915" ht="9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78"/>
      <c r="R915" s="44"/>
      <c r="S915" s="44"/>
      <c r="T915" s="44"/>
      <c r="U915" s="44"/>
      <c r="V915" s="44"/>
      <c r="W915" s="44"/>
      <c r="X915" s="44"/>
      <c r="Y915" s="44"/>
      <c r="Z915" s="44"/>
    </row>
    <row r="916" ht="9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78"/>
      <c r="R916" s="44"/>
      <c r="S916" s="44"/>
      <c r="T916" s="44"/>
      <c r="U916" s="44"/>
      <c r="V916" s="44"/>
      <c r="W916" s="44"/>
      <c r="X916" s="44"/>
      <c r="Y916" s="44"/>
      <c r="Z916" s="44"/>
    </row>
    <row r="917" ht="9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78"/>
      <c r="R917" s="44"/>
      <c r="S917" s="44"/>
      <c r="T917" s="44"/>
      <c r="U917" s="44"/>
      <c r="V917" s="44"/>
      <c r="W917" s="44"/>
      <c r="X917" s="44"/>
      <c r="Y917" s="44"/>
      <c r="Z917" s="44"/>
    </row>
    <row r="918" ht="9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78"/>
      <c r="R918" s="44"/>
      <c r="S918" s="44"/>
      <c r="T918" s="44"/>
      <c r="U918" s="44"/>
      <c r="V918" s="44"/>
      <c r="W918" s="44"/>
      <c r="X918" s="44"/>
      <c r="Y918" s="44"/>
      <c r="Z918" s="44"/>
    </row>
    <row r="919" ht="9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78"/>
      <c r="R919" s="44"/>
      <c r="S919" s="44"/>
      <c r="T919" s="44"/>
      <c r="U919" s="44"/>
      <c r="V919" s="44"/>
      <c r="W919" s="44"/>
      <c r="X919" s="44"/>
      <c r="Y919" s="44"/>
      <c r="Z919" s="44"/>
    </row>
    <row r="920" ht="9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78"/>
      <c r="R920" s="44"/>
      <c r="S920" s="44"/>
      <c r="T920" s="44"/>
      <c r="U920" s="44"/>
      <c r="V920" s="44"/>
      <c r="W920" s="44"/>
      <c r="X920" s="44"/>
      <c r="Y920" s="44"/>
      <c r="Z920" s="44"/>
    </row>
    <row r="921" ht="9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78"/>
      <c r="R921" s="44"/>
      <c r="S921" s="44"/>
      <c r="T921" s="44"/>
      <c r="U921" s="44"/>
      <c r="V921" s="44"/>
      <c r="W921" s="44"/>
      <c r="X921" s="44"/>
      <c r="Y921" s="44"/>
      <c r="Z921" s="44"/>
    </row>
    <row r="922" ht="9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78"/>
      <c r="R922" s="44"/>
      <c r="S922" s="44"/>
      <c r="T922" s="44"/>
      <c r="U922" s="44"/>
      <c r="V922" s="44"/>
      <c r="W922" s="44"/>
      <c r="X922" s="44"/>
      <c r="Y922" s="44"/>
      <c r="Z922" s="44"/>
    </row>
    <row r="923" ht="9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78"/>
      <c r="R923" s="44"/>
      <c r="S923" s="44"/>
      <c r="T923" s="44"/>
      <c r="U923" s="44"/>
      <c r="V923" s="44"/>
      <c r="W923" s="44"/>
      <c r="X923" s="44"/>
      <c r="Y923" s="44"/>
      <c r="Z923" s="44"/>
    </row>
    <row r="924" ht="9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78"/>
      <c r="R924" s="44"/>
      <c r="S924" s="44"/>
      <c r="T924" s="44"/>
      <c r="U924" s="44"/>
      <c r="V924" s="44"/>
      <c r="W924" s="44"/>
      <c r="X924" s="44"/>
      <c r="Y924" s="44"/>
      <c r="Z924" s="44"/>
    </row>
    <row r="925" ht="9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78"/>
      <c r="R925" s="44"/>
      <c r="S925" s="44"/>
      <c r="T925" s="44"/>
      <c r="U925" s="44"/>
      <c r="V925" s="44"/>
      <c r="W925" s="44"/>
      <c r="X925" s="44"/>
      <c r="Y925" s="44"/>
      <c r="Z925" s="44"/>
    </row>
    <row r="926" ht="9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78"/>
      <c r="R926" s="44"/>
      <c r="S926" s="44"/>
      <c r="T926" s="44"/>
      <c r="U926" s="44"/>
      <c r="V926" s="44"/>
      <c r="W926" s="44"/>
      <c r="X926" s="44"/>
      <c r="Y926" s="44"/>
      <c r="Z926" s="44"/>
    </row>
    <row r="927" ht="9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78"/>
      <c r="R927" s="44"/>
      <c r="S927" s="44"/>
      <c r="T927" s="44"/>
      <c r="U927" s="44"/>
      <c r="V927" s="44"/>
      <c r="W927" s="44"/>
      <c r="X927" s="44"/>
      <c r="Y927" s="44"/>
      <c r="Z927" s="44"/>
    </row>
    <row r="928" ht="9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78"/>
      <c r="R928" s="44"/>
      <c r="S928" s="44"/>
      <c r="T928" s="44"/>
      <c r="U928" s="44"/>
      <c r="V928" s="44"/>
      <c r="W928" s="44"/>
      <c r="X928" s="44"/>
      <c r="Y928" s="44"/>
      <c r="Z928" s="44"/>
    </row>
    <row r="929" ht="9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78"/>
      <c r="R929" s="44"/>
      <c r="S929" s="44"/>
      <c r="T929" s="44"/>
      <c r="U929" s="44"/>
      <c r="V929" s="44"/>
      <c r="W929" s="44"/>
      <c r="X929" s="44"/>
      <c r="Y929" s="44"/>
      <c r="Z929" s="44"/>
    </row>
    <row r="930" ht="9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78"/>
      <c r="R930" s="44"/>
      <c r="S930" s="44"/>
      <c r="T930" s="44"/>
      <c r="U930" s="44"/>
      <c r="V930" s="44"/>
      <c r="W930" s="44"/>
      <c r="X930" s="44"/>
      <c r="Y930" s="44"/>
      <c r="Z930" s="44"/>
    </row>
    <row r="931" ht="9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78"/>
      <c r="R931" s="44"/>
      <c r="S931" s="44"/>
      <c r="T931" s="44"/>
      <c r="U931" s="44"/>
      <c r="V931" s="44"/>
      <c r="W931" s="44"/>
      <c r="X931" s="44"/>
      <c r="Y931" s="44"/>
      <c r="Z931" s="44"/>
    </row>
    <row r="932" ht="9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78"/>
      <c r="R932" s="44"/>
      <c r="S932" s="44"/>
      <c r="T932" s="44"/>
      <c r="U932" s="44"/>
      <c r="V932" s="44"/>
      <c r="W932" s="44"/>
      <c r="X932" s="44"/>
      <c r="Y932" s="44"/>
      <c r="Z932" s="44"/>
    </row>
    <row r="933" ht="9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78"/>
      <c r="R933" s="44"/>
      <c r="S933" s="44"/>
      <c r="T933" s="44"/>
      <c r="U933" s="44"/>
      <c r="V933" s="44"/>
      <c r="W933" s="44"/>
      <c r="X933" s="44"/>
      <c r="Y933" s="44"/>
      <c r="Z933" s="44"/>
    </row>
    <row r="934" ht="9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78"/>
      <c r="R934" s="44"/>
      <c r="S934" s="44"/>
      <c r="T934" s="44"/>
      <c r="U934" s="44"/>
      <c r="V934" s="44"/>
      <c r="W934" s="44"/>
      <c r="X934" s="44"/>
      <c r="Y934" s="44"/>
      <c r="Z934" s="44"/>
    </row>
    <row r="935" ht="9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78"/>
      <c r="R935" s="44"/>
      <c r="S935" s="44"/>
      <c r="T935" s="44"/>
      <c r="U935" s="44"/>
      <c r="V935" s="44"/>
      <c r="W935" s="44"/>
      <c r="X935" s="44"/>
      <c r="Y935" s="44"/>
      <c r="Z935" s="44"/>
    </row>
    <row r="936" ht="9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78"/>
      <c r="R936" s="44"/>
      <c r="S936" s="44"/>
      <c r="T936" s="44"/>
      <c r="U936" s="44"/>
      <c r="V936" s="44"/>
      <c r="W936" s="44"/>
      <c r="X936" s="44"/>
      <c r="Y936" s="44"/>
      <c r="Z936" s="44"/>
    </row>
    <row r="937" ht="9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78"/>
      <c r="R937" s="44"/>
      <c r="S937" s="44"/>
      <c r="T937" s="44"/>
      <c r="U937" s="44"/>
      <c r="V937" s="44"/>
      <c r="W937" s="44"/>
      <c r="X937" s="44"/>
      <c r="Y937" s="44"/>
      <c r="Z937" s="44"/>
    </row>
    <row r="938" ht="9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78"/>
      <c r="R938" s="44"/>
      <c r="S938" s="44"/>
      <c r="T938" s="44"/>
      <c r="U938" s="44"/>
      <c r="V938" s="44"/>
      <c r="W938" s="44"/>
      <c r="X938" s="44"/>
      <c r="Y938" s="44"/>
      <c r="Z938" s="44"/>
    </row>
    <row r="939" ht="9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78"/>
      <c r="R939" s="44"/>
      <c r="S939" s="44"/>
      <c r="T939" s="44"/>
      <c r="U939" s="44"/>
      <c r="V939" s="44"/>
      <c r="W939" s="44"/>
      <c r="X939" s="44"/>
      <c r="Y939" s="44"/>
      <c r="Z939" s="44"/>
    </row>
    <row r="940" ht="9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78"/>
      <c r="R940" s="44"/>
      <c r="S940" s="44"/>
      <c r="T940" s="44"/>
      <c r="U940" s="44"/>
      <c r="V940" s="44"/>
      <c r="W940" s="44"/>
      <c r="X940" s="44"/>
      <c r="Y940" s="44"/>
      <c r="Z940" s="44"/>
    </row>
    <row r="941" ht="9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78"/>
      <c r="R941" s="44"/>
      <c r="S941" s="44"/>
      <c r="T941" s="44"/>
      <c r="U941" s="44"/>
      <c r="V941" s="44"/>
      <c r="W941" s="44"/>
      <c r="X941" s="44"/>
      <c r="Y941" s="44"/>
      <c r="Z941" s="44"/>
    </row>
    <row r="942" ht="9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78"/>
      <c r="R942" s="44"/>
      <c r="S942" s="44"/>
      <c r="T942" s="44"/>
      <c r="U942" s="44"/>
      <c r="V942" s="44"/>
      <c r="W942" s="44"/>
      <c r="X942" s="44"/>
      <c r="Y942" s="44"/>
      <c r="Z942" s="44"/>
    </row>
    <row r="943" ht="9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78"/>
      <c r="R943" s="44"/>
      <c r="S943" s="44"/>
      <c r="T943" s="44"/>
      <c r="U943" s="44"/>
      <c r="V943" s="44"/>
      <c r="W943" s="44"/>
      <c r="X943" s="44"/>
      <c r="Y943" s="44"/>
      <c r="Z943" s="44"/>
    </row>
    <row r="944" ht="9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78"/>
      <c r="R944" s="44"/>
      <c r="S944" s="44"/>
      <c r="T944" s="44"/>
      <c r="U944" s="44"/>
      <c r="V944" s="44"/>
      <c r="W944" s="44"/>
      <c r="X944" s="44"/>
      <c r="Y944" s="44"/>
      <c r="Z944" s="44"/>
    </row>
    <row r="945" ht="9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78"/>
      <c r="R945" s="44"/>
      <c r="S945" s="44"/>
      <c r="T945" s="44"/>
      <c r="U945" s="44"/>
      <c r="V945" s="44"/>
      <c r="W945" s="44"/>
      <c r="X945" s="44"/>
      <c r="Y945" s="44"/>
      <c r="Z945" s="44"/>
    </row>
    <row r="946" ht="9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78"/>
      <c r="R946" s="44"/>
      <c r="S946" s="44"/>
      <c r="T946" s="44"/>
      <c r="U946" s="44"/>
      <c r="V946" s="44"/>
      <c r="W946" s="44"/>
      <c r="X946" s="44"/>
      <c r="Y946" s="44"/>
      <c r="Z946" s="44"/>
    </row>
    <row r="947" ht="9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78"/>
      <c r="R947" s="44"/>
      <c r="S947" s="44"/>
      <c r="T947" s="44"/>
      <c r="U947" s="44"/>
      <c r="V947" s="44"/>
      <c r="W947" s="44"/>
      <c r="X947" s="44"/>
      <c r="Y947" s="44"/>
      <c r="Z947" s="44"/>
    </row>
    <row r="948" ht="9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78"/>
      <c r="R948" s="44"/>
      <c r="S948" s="44"/>
      <c r="T948" s="44"/>
      <c r="U948" s="44"/>
      <c r="V948" s="44"/>
      <c r="W948" s="44"/>
      <c r="X948" s="44"/>
      <c r="Y948" s="44"/>
      <c r="Z948" s="44"/>
    </row>
    <row r="949" ht="9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78"/>
      <c r="R949" s="44"/>
      <c r="S949" s="44"/>
      <c r="T949" s="44"/>
      <c r="U949" s="44"/>
      <c r="V949" s="44"/>
      <c r="W949" s="44"/>
      <c r="X949" s="44"/>
      <c r="Y949" s="44"/>
      <c r="Z949" s="44"/>
    </row>
    <row r="950" ht="9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78"/>
      <c r="R950" s="44"/>
      <c r="S950" s="44"/>
      <c r="T950" s="44"/>
      <c r="U950" s="44"/>
      <c r="V950" s="44"/>
      <c r="W950" s="44"/>
      <c r="X950" s="44"/>
      <c r="Y950" s="44"/>
      <c r="Z950" s="44"/>
    </row>
    <row r="951" ht="9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78"/>
      <c r="R951" s="44"/>
      <c r="S951" s="44"/>
      <c r="T951" s="44"/>
      <c r="U951" s="44"/>
      <c r="V951" s="44"/>
      <c r="W951" s="44"/>
      <c r="X951" s="44"/>
      <c r="Y951" s="44"/>
      <c r="Z951" s="44"/>
    </row>
    <row r="952" ht="9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78"/>
      <c r="R952" s="44"/>
      <c r="S952" s="44"/>
      <c r="T952" s="44"/>
      <c r="U952" s="44"/>
      <c r="V952" s="44"/>
      <c r="W952" s="44"/>
      <c r="X952" s="44"/>
      <c r="Y952" s="44"/>
      <c r="Z952" s="44"/>
    </row>
    <row r="953" ht="9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78"/>
      <c r="R953" s="44"/>
      <c r="S953" s="44"/>
      <c r="T953" s="44"/>
      <c r="U953" s="44"/>
      <c r="V953" s="44"/>
      <c r="W953" s="44"/>
      <c r="X953" s="44"/>
      <c r="Y953" s="44"/>
      <c r="Z953" s="44"/>
    </row>
    <row r="954" ht="9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78"/>
      <c r="R954" s="44"/>
      <c r="S954" s="44"/>
      <c r="T954" s="44"/>
      <c r="U954" s="44"/>
      <c r="V954" s="44"/>
      <c r="W954" s="44"/>
      <c r="X954" s="44"/>
      <c r="Y954" s="44"/>
      <c r="Z954" s="44"/>
    </row>
    <row r="955" ht="9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78"/>
      <c r="R955" s="44"/>
      <c r="S955" s="44"/>
      <c r="T955" s="44"/>
      <c r="U955" s="44"/>
      <c r="V955" s="44"/>
      <c r="W955" s="44"/>
      <c r="X955" s="44"/>
      <c r="Y955" s="44"/>
      <c r="Z955" s="44"/>
    </row>
    <row r="956" ht="9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78"/>
      <c r="R956" s="44"/>
      <c r="S956" s="44"/>
      <c r="T956" s="44"/>
      <c r="U956" s="44"/>
      <c r="V956" s="44"/>
      <c r="W956" s="44"/>
      <c r="X956" s="44"/>
      <c r="Y956" s="44"/>
      <c r="Z956" s="44"/>
    </row>
    <row r="957" ht="9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78"/>
      <c r="R957" s="44"/>
      <c r="S957" s="44"/>
      <c r="T957" s="44"/>
      <c r="U957" s="44"/>
      <c r="V957" s="44"/>
      <c r="W957" s="44"/>
      <c r="X957" s="44"/>
      <c r="Y957" s="44"/>
      <c r="Z957" s="44"/>
    </row>
    <row r="958" ht="9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78"/>
      <c r="R958" s="44"/>
      <c r="S958" s="44"/>
      <c r="T958" s="44"/>
      <c r="U958" s="44"/>
      <c r="V958" s="44"/>
      <c r="W958" s="44"/>
      <c r="X958" s="44"/>
      <c r="Y958" s="44"/>
      <c r="Z958" s="44"/>
    </row>
    <row r="959" ht="9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78"/>
      <c r="R959" s="44"/>
      <c r="S959" s="44"/>
      <c r="T959" s="44"/>
      <c r="U959" s="44"/>
      <c r="V959" s="44"/>
      <c r="W959" s="44"/>
      <c r="X959" s="44"/>
      <c r="Y959" s="44"/>
      <c r="Z959" s="44"/>
    </row>
    <row r="960" ht="9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78"/>
      <c r="R960" s="44"/>
      <c r="S960" s="44"/>
      <c r="T960" s="44"/>
      <c r="U960" s="44"/>
      <c r="V960" s="44"/>
      <c r="W960" s="44"/>
      <c r="X960" s="44"/>
      <c r="Y960" s="44"/>
      <c r="Z960" s="44"/>
    </row>
    <row r="961" ht="9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78"/>
      <c r="R961" s="44"/>
      <c r="S961" s="44"/>
      <c r="T961" s="44"/>
      <c r="U961" s="44"/>
      <c r="V961" s="44"/>
      <c r="W961" s="44"/>
      <c r="X961" s="44"/>
      <c r="Y961" s="44"/>
      <c r="Z961" s="44"/>
    </row>
    <row r="962" ht="9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78"/>
      <c r="R962" s="44"/>
      <c r="S962" s="44"/>
      <c r="T962" s="44"/>
      <c r="U962" s="44"/>
      <c r="V962" s="44"/>
      <c r="W962" s="44"/>
      <c r="X962" s="44"/>
      <c r="Y962" s="44"/>
      <c r="Z962" s="44"/>
    </row>
    <row r="963" ht="9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78"/>
      <c r="R963" s="44"/>
      <c r="S963" s="44"/>
      <c r="T963" s="44"/>
      <c r="U963" s="44"/>
      <c r="V963" s="44"/>
      <c r="W963" s="44"/>
      <c r="X963" s="44"/>
      <c r="Y963" s="44"/>
      <c r="Z963" s="44"/>
    </row>
    <row r="964" ht="9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78"/>
      <c r="R964" s="44"/>
      <c r="S964" s="44"/>
      <c r="T964" s="44"/>
      <c r="U964" s="44"/>
      <c r="V964" s="44"/>
      <c r="W964" s="44"/>
      <c r="X964" s="44"/>
      <c r="Y964" s="44"/>
      <c r="Z964" s="44"/>
    </row>
    <row r="965" ht="9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78"/>
      <c r="R965" s="44"/>
      <c r="S965" s="44"/>
      <c r="T965" s="44"/>
      <c r="U965" s="44"/>
      <c r="V965" s="44"/>
      <c r="W965" s="44"/>
      <c r="X965" s="44"/>
      <c r="Y965" s="44"/>
      <c r="Z965" s="44"/>
    </row>
    <row r="966" ht="9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78"/>
      <c r="R966" s="44"/>
      <c r="S966" s="44"/>
      <c r="T966" s="44"/>
      <c r="U966" s="44"/>
      <c r="V966" s="44"/>
      <c r="W966" s="44"/>
      <c r="X966" s="44"/>
      <c r="Y966" s="44"/>
      <c r="Z966" s="44"/>
    </row>
    <row r="967" ht="9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78"/>
      <c r="R967" s="44"/>
      <c r="S967" s="44"/>
      <c r="T967" s="44"/>
      <c r="U967" s="44"/>
      <c r="V967" s="44"/>
      <c r="W967" s="44"/>
      <c r="X967" s="44"/>
      <c r="Y967" s="44"/>
      <c r="Z967" s="44"/>
    </row>
    <row r="968" ht="9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78"/>
      <c r="R968" s="44"/>
      <c r="S968" s="44"/>
      <c r="T968" s="44"/>
      <c r="U968" s="44"/>
      <c r="V968" s="44"/>
      <c r="W968" s="44"/>
      <c r="X968" s="44"/>
      <c r="Y968" s="44"/>
      <c r="Z968" s="44"/>
    </row>
    <row r="969" ht="9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78"/>
      <c r="R969" s="44"/>
      <c r="S969" s="44"/>
      <c r="T969" s="44"/>
      <c r="U969" s="44"/>
      <c r="V969" s="44"/>
      <c r="W969" s="44"/>
      <c r="X969" s="44"/>
      <c r="Y969" s="44"/>
      <c r="Z969" s="44"/>
    </row>
    <row r="970" ht="9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78"/>
      <c r="R970" s="44"/>
      <c r="S970" s="44"/>
      <c r="T970" s="44"/>
      <c r="U970" s="44"/>
      <c r="V970" s="44"/>
      <c r="W970" s="44"/>
      <c r="X970" s="44"/>
      <c r="Y970" s="44"/>
      <c r="Z970" s="44"/>
    </row>
    <row r="971" ht="9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78"/>
      <c r="R971" s="44"/>
      <c r="S971" s="44"/>
      <c r="T971" s="44"/>
      <c r="U971" s="44"/>
      <c r="V971" s="44"/>
      <c r="W971" s="44"/>
      <c r="X971" s="44"/>
      <c r="Y971" s="44"/>
      <c r="Z971" s="44"/>
    </row>
    <row r="972" ht="9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78"/>
      <c r="R972" s="44"/>
      <c r="S972" s="44"/>
      <c r="T972" s="44"/>
      <c r="U972" s="44"/>
      <c r="V972" s="44"/>
      <c r="W972" s="44"/>
      <c r="X972" s="44"/>
      <c r="Y972" s="44"/>
      <c r="Z972" s="44"/>
    </row>
    <row r="973" ht="9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78"/>
      <c r="R973" s="44"/>
      <c r="S973" s="44"/>
      <c r="T973" s="44"/>
      <c r="U973" s="44"/>
      <c r="V973" s="44"/>
      <c r="W973" s="44"/>
      <c r="X973" s="44"/>
      <c r="Y973" s="44"/>
      <c r="Z973" s="44"/>
    </row>
    <row r="974" ht="9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78"/>
      <c r="R974" s="44"/>
      <c r="S974" s="44"/>
      <c r="T974" s="44"/>
      <c r="U974" s="44"/>
      <c r="V974" s="44"/>
      <c r="W974" s="44"/>
      <c r="X974" s="44"/>
      <c r="Y974" s="44"/>
      <c r="Z974" s="44"/>
    </row>
    <row r="975" ht="9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78"/>
      <c r="R975" s="44"/>
      <c r="S975" s="44"/>
      <c r="T975" s="44"/>
      <c r="U975" s="44"/>
      <c r="V975" s="44"/>
      <c r="W975" s="44"/>
      <c r="X975" s="44"/>
      <c r="Y975" s="44"/>
      <c r="Z975" s="44"/>
    </row>
    <row r="976" ht="9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78"/>
      <c r="R976" s="44"/>
      <c r="S976" s="44"/>
      <c r="T976" s="44"/>
      <c r="U976" s="44"/>
      <c r="V976" s="44"/>
      <c r="W976" s="44"/>
      <c r="X976" s="44"/>
      <c r="Y976" s="44"/>
      <c r="Z976" s="44"/>
    </row>
    <row r="977" ht="9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78"/>
      <c r="R977" s="44"/>
      <c r="S977" s="44"/>
      <c r="T977" s="44"/>
      <c r="U977" s="44"/>
      <c r="V977" s="44"/>
      <c r="W977" s="44"/>
      <c r="X977" s="44"/>
      <c r="Y977" s="44"/>
      <c r="Z977" s="44"/>
    </row>
    <row r="978" ht="9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78"/>
      <c r="R978" s="44"/>
      <c r="S978" s="44"/>
      <c r="T978" s="44"/>
      <c r="U978" s="44"/>
      <c r="V978" s="44"/>
      <c r="W978" s="44"/>
      <c r="X978" s="44"/>
      <c r="Y978" s="44"/>
      <c r="Z978" s="44"/>
    </row>
    <row r="979" ht="9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78"/>
      <c r="R979" s="44"/>
      <c r="S979" s="44"/>
      <c r="T979" s="44"/>
      <c r="U979" s="44"/>
      <c r="V979" s="44"/>
      <c r="W979" s="44"/>
      <c r="X979" s="44"/>
      <c r="Y979" s="44"/>
      <c r="Z979" s="44"/>
    </row>
    <row r="980" ht="9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78"/>
      <c r="R980" s="44"/>
      <c r="S980" s="44"/>
      <c r="T980" s="44"/>
      <c r="U980" s="44"/>
      <c r="V980" s="44"/>
      <c r="W980" s="44"/>
      <c r="X980" s="44"/>
      <c r="Y980" s="44"/>
      <c r="Z980" s="44"/>
    </row>
    <row r="981" ht="9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78"/>
      <c r="R981" s="44"/>
      <c r="S981" s="44"/>
      <c r="T981" s="44"/>
      <c r="U981" s="44"/>
      <c r="V981" s="44"/>
      <c r="W981" s="44"/>
      <c r="X981" s="44"/>
      <c r="Y981" s="44"/>
      <c r="Z981" s="44"/>
    </row>
    <row r="982" ht="9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78"/>
      <c r="R982" s="44"/>
      <c r="S982" s="44"/>
      <c r="T982" s="44"/>
      <c r="U982" s="44"/>
      <c r="V982" s="44"/>
      <c r="W982" s="44"/>
      <c r="X982" s="44"/>
      <c r="Y982" s="44"/>
      <c r="Z982" s="44"/>
    </row>
    <row r="983" ht="9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78"/>
      <c r="R983" s="44"/>
      <c r="S983" s="44"/>
      <c r="T983" s="44"/>
      <c r="U983" s="44"/>
      <c r="V983" s="44"/>
      <c r="W983" s="44"/>
      <c r="X983" s="44"/>
      <c r="Y983" s="44"/>
      <c r="Z983" s="44"/>
    </row>
    <row r="984" ht="9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78"/>
      <c r="R984" s="44"/>
      <c r="S984" s="44"/>
      <c r="T984" s="44"/>
      <c r="U984" s="44"/>
      <c r="V984" s="44"/>
      <c r="W984" s="44"/>
      <c r="X984" s="44"/>
      <c r="Y984" s="44"/>
      <c r="Z984" s="44"/>
    </row>
    <row r="985" ht="9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78"/>
      <c r="R985" s="44"/>
      <c r="S985" s="44"/>
      <c r="T985" s="44"/>
      <c r="U985" s="44"/>
      <c r="V985" s="44"/>
      <c r="W985" s="44"/>
      <c r="X985" s="44"/>
      <c r="Y985" s="44"/>
      <c r="Z985" s="44"/>
    </row>
    <row r="986" ht="9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78"/>
      <c r="R986" s="44"/>
      <c r="S986" s="44"/>
      <c r="T986" s="44"/>
      <c r="U986" s="44"/>
      <c r="V986" s="44"/>
      <c r="W986" s="44"/>
      <c r="X986" s="44"/>
      <c r="Y986" s="44"/>
      <c r="Z986" s="44"/>
    </row>
    <row r="987" ht="9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78"/>
      <c r="R987" s="44"/>
      <c r="S987" s="44"/>
      <c r="T987" s="44"/>
      <c r="U987" s="44"/>
      <c r="V987" s="44"/>
      <c r="W987" s="44"/>
      <c r="X987" s="44"/>
      <c r="Y987" s="44"/>
      <c r="Z987" s="44"/>
    </row>
    <row r="988" ht="9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78"/>
      <c r="R988" s="44"/>
      <c r="S988" s="44"/>
      <c r="T988" s="44"/>
      <c r="U988" s="44"/>
      <c r="V988" s="44"/>
      <c r="W988" s="44"/>
      <c r="X988" s="44"/>
      <c r="Y988" s="44"/>
      <c r="Z988" s="44"/>
    </row>
    <row r="989" ht="9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78"/>
      <c r="R989" s="44"/>
      <c r="S989" s="44"/>
      <c r="T989" s="44"/>
      <c r="U989" s="44"/>
      <c r="V989" s="44"/>
      <c r="W989" s="44"/>
      <c r="X989" s="44"/>
      <c r="Y989" s="44"/>
      <c r="Z989" s="44"/>
    </row>
    <row r="990" ht="9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78"/>
      <c r="R990" s="44"/>
      <c r="S990" s="44"/>
      <c r="T990" s="44"/>
      <c r="U990" s="44"/>
      <c r="V990" s="44"/>
      <c r="W990" s="44"/>
      <c r="X990" s="44"/>
      <c r="Y990" s="44"/>
      <c r="Z990" s="44"/>
    </row>
    <row r="991" ht="9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78"/>
      <c r="R991" s="44"/>
      <c r="S991" s="44"/>
      <c r="T991" s="44"/>
      <c r="U991" s="44"/>
      <c r="V991" s="44"/>
      <c r="W991" s="44"/>
      <c r="X991" s="44"/>
      <c r="Y991" s="44"/>
      <c r="Z991" s="44"/>
    </row>
    <row r="992" ht="9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78"/>
      <c r="R992" s="44"/>
      <c r="S992" s="44"/>
      <c r="T992" s="44"/>
      <c r="U992" s="44"/>
      <c r="V992" s="44"/>
      <c r="W992" s="44"/>
      <c r="X992" s="44"/>
      <c r="Y992" s="44"/>
      <c r="Z992" s="44"/>
    </row>
    <row r="993" ht="9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78"/>
      <c r="R993" s="44"/>
      <c r="S993" s="44"/>
      <c r="T993" s="44"/>
      <c r="U993" s="44"/>
      <c r="V993" s="44"/>
      <c r="W993" s="44"/>
      <c r="X993" s="44"/>
      <c r="Y993" s="44"/>
      <c r="Z993" s="44"/>
    </row>
    <row r="994" ht="9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78"/>
      <c r="R994" s="44"/>
      <c r="S994" s="44"/>
      <c r="T994" s="44"/>
      <c r="U994" s="44"/>
      <c r="V994" s="44"/>
      <c r="W994" s="44"/>
      <c r="X994" s="44"/>
      <c r="Y994" s="44"/>
      <c r="Z994" s="44"/>
    </row>
    <row r="995" ht="9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78"/>
      <c r="R995" s="44"/>
      <c r="S995" s="44"/>
      <c r="T995" s="44"/>
      <c r="U995" s="44"/>
      <c r="V995" s="44"/>
      <c r="W995" s="44"/>
      <c r="X995" s="44"/>
      <c r="Y995" s="44"/>
      <c r="Z995" s="44"/>
    </row>
    <row r="996" ht="9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78"/>
      <c r="R996" s="44"/>
      <c r="S996" s="44"/>
      <c r="T996" s="44"/>
      <c r="U996" s="44"/>
      <c r="V996" s="44"/>
      <c r="W996" s="44"/>
      <c r="X996" s="44"/>
      <c r="Y996" s="44"/>
      <c r="Z996" s="44"/>
    </row>
    <row r="997" ht="9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78"/>
      <c r="R997" s="44"/>
      <c r="S997" s="44"/>
      <c r="T997" s="44"/>
      <c r="U997" s="44"/>
      <c r="V997" s="44"/>
      <c r="W997" s="44"/>
      <c r="X997" s="44"/>
      <c r="Y997" s="44"/>
      <c r="Z997" s="44"/>
    </row>
    <row r="998" ht="9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78"/>
      <c r="R998" s="44"/>
      <c r="S998" s="44"/>
      <c r="T998" s="44"/>
      <c r="U998" s="44"/>
      <c r="V998" s="44"/>
      <c r="W998" s="44"/>
      <c r="X998" s="44"/>
      <c r="Y998" s="44"/>
      <c r="Z998" s="44"/>
    </row>
    <row r="999" ht="9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78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9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78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1">
    <mergeCell ref="G5:G6"/>
    <mergeCell ref="H5:H6"/>
    <mergeCell ref="I5:I6"/>
    <mergeCell ref="J5:O5"/>
    <mergeCell ref="H1:R1"/>
    <mergeCell ref="B4:R4"/>
    <mergeCell ref="B5:B6"/>
    <mergeCell ref="C5:C6"/>
    <mergeCell ref="D5:D6"/>
    <mergeCell ref="E5:E6"/>
    <mergeCell ref="F5:F6"/>
  </mergeCells>
  <printOptions/>
  <pageMargins bottom="0.984251968503937" footer="0.0" header="0.0" left="0.7874015748031497" right="0.7874015748031497" top="0.5511811023622047"/>
  <pageSetup paperSize="9" orientation="portrait"/>
  <headerFooter>
    <oddFooter>&amp;C800000&amp;F&amp;R800000&amp;P</oddFooter>
  </headerFooter>
  <colBreaks count="1" manualBreakCount="1">
    <brk id="18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11.5"/>
    <col customWidth="1" min="2" max="4" width="7.5"/>
    <col customWidth="1" min="5" max="5" width="8.5"/>
    <col customWidth="1" min="6" max="6" width="7.5"/>
    <col customWidth="1" min="7" max="7" width="11.5"/>
    <col customWidth="1" min="8" max="8" width="31.75"/>
    <col customWidth="1" min="9" max="9" width="38.88"/>
    <col customWidth="1" min="10" max="10" width="9.63"/>
    <col customWidth="1" min="11" max="11" width="13.5"/>
    <col customWidth="1" min="12" max="12" width="14.5"/>
    <col customWidth="1" min="13" max="13" width="15.13"/>
    <col customWidth="1" min="14" max="14" width="7.0"/>
    <col customWidth="1" min="15" max="15" width="9.0"/>
    <col customWidth="1" min="16" max="16" width="5.63"/>
    <col customWidth="1" min="17" max="17" width="10.13"/>
    <col customWidth="1" min="18" max="18" width="8.0"/>
    <col customWidth="1" min="19" max="19" width="11.5"/>
    <col customWidth="1" min="20" max="20" width="12.0"/>
    <col customWidth="1" hidden="1" min="21" max="37" width="11.5"/>
  </cols>
  <sheetData>
    <row r="1" ht="19.5" customHeight="1">
      <c r="A1" s="79"/>
      <c r="B1" s="80"/>
      <c r="C1" s="81"/>
      <c r="D1" s="81"/>
      <c r="E1" s="82"/>
      <c r="F1" s="82"/>
      <c r="G1" s="83"/>
      <c r="H1" s="44"/>
      <c r="I1" s="44"/>
      <c r="J1" s="84"/>
      <c r="K1" s="84"/>
      <c r="L1" s="84"/>
      <c r="M1" s="84"/>
      <c r="N1" s="84"/>
      <c r="O1" s="85"/>
      <c r="P1" s="85"/>
      <c r="Q1" s="85"/>
      <c r="R1" s="85"/>
      <c r="S1" s="86" t="s">
        <v>156</v>
      </c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</row>
    <row r="2" ht="19.5" customHeight="1">
      <c r="A2" s="79"/>
      <c r="B2" s="80"/>
      <c r="C2" s="81"/>
      <c r="D2" s="81"/>
      <c r="E2" s="82"/>
      <c r="F2" s="82"/>
      <c r="G2" s="83"/>
      <c r="H2" s="44"/>
      <c r="I2" s="87"/>
      <c r="J2" s="88"/>
      <c r="K2" s="84"/>
      <c r="L2" s="84"/>
      <c r="M2" s="84"/>
      <c r="N2" s="84"/>
      <c r="O2" s="85"/>
      <c r="P2" s="85"/>
      <c r="Q2" s="85"/>
      <c r="R2" s="85"/>
      <c r="S2" s="89" t="s">
        <v>180</v>
      </c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</row>
    <row r="3" ht="9.75" customHeight="1">
      <c r="A3" s="79"/>
      <c r="B3" s="80"/>
      <c r="C3" s="81"/>
      <c r="D3" s="81"/>
      <c r="E3" s="82"/>
      <c r="F3" s="82"/>
      <c r="G3" s="83"/>
      <c r="H3" s="44"/>
      <c r="I3" s="44"/>
      <c r="J3" s="88"/>
      <c r="K3" s="88"/>
      <c r="L3" s="84"/>
      <c r="M3" s="84"/>
      <c r="N3" s="84"/>
      <c r="O3" s="84"/>
      <c r="P3" s="84"/>
      <c r="Q3" s="90"/>
      <c r="R3" s="90"/>
      <c r="S3" s="90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</row>
    <row r="4" ht="9.75" customHeight="1">
      <c r="A4" s="79"/>
      <c r="B4" s="91" t="s">
        <v>181</v>
      </c>
      <c r="C4" s="92"/>
      <c r="D4" s="92"/>
      <c r="E4" s="82"/>
      <c r="F4" s="82"/>
      <c r="G4" s="83"/>
      <c r="H4" s="44"/>
      <c r="I4" s="44"/>
      <c r="J4" s="84"/>
      <c r="K4" s="84"/>
      <c r="L4" s="84"/>
      <c r="M4" s="84"/>
      <c r="N4" s="84"/>
      <c r="O4" s="84"/>
      <c r="P4" s="84"/>
      <c r="Q4" s="90"/>
      <c r="R4" s="90"/>
      <c r="S4" s="90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</row>
    <row r="5" ht="9.75" customHeight="1">
      <c r="A5" s="79"/>
      <c r="B5" s="80"/>
      <c r="C5" s="81"/>
      <c r="D5" s="81"/>
      <c r="E5" s="82"/>
      <c r="F5" s="82"/>
      <c r="G5" s="83"/>
      <c r="H5" s="44"/>
      <c r="I5" s="44"/>
      <c r="J5" s="84"/>
      <c r="K5" s="84"/>
      <c r="L5" s="84"/>
      <c r="M5" s="84"/>
      <c r="N5" s="84"/>
      <c r="O5" s="84"/>
      <c r="P5" s="84"/>
      <c r="Q5" s="90"/>
      <c r="R5" s="90"/>
      <c r="S5" s="86" t="s">
        <v>182</v>
      </c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</row>
    <row r="6" ht="15.0" customHeight="1">
      <c r="A6" s="79"/>
      <c r="B6" s="93" t="s">
        <v>183</v>
      </c>
      <c r="C6" s="81"/>
      <c r="D6" s="81"/>
      <c r="E6" s="82"/>
      <c r="F6" s="82"/>
      <c r="G6" s="94"/>
      <c r="H6" s="95"/>
      <c r="I6" s="95"/>
      <c r="J6" s="96"/>
      <c r="K6" s="96"/>
      <c r="L6" s="96"/>
      <c r="M6" s="96"/>
      <c r="N6" s="96"/>
      <c r="O6" s="96"/>
      <c r="P6" s="96"/>
      <c r="Q6" s="90"/>
      <c r="R6" s="90"/>
      <c r="S6" s="90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</row>
    <row r="7" ht="25.5" customHeight="1">
      <c r="A7" s="79"/>
      <c r="B7" s="97" t="s">
        <v>184</v>
      </c>
      <c r="C7" s="98" t="s">
        <v>185</v>
      </c>
      <c r="D7" s="98" t="s">
        <v>186</v>
      </c>
      <c r="E7" s="99" t="s">
        <v>187</v>
      </c>
      <c r="F7" s="99" t="s">
        <v>188</v>
      </c>
      <c r="G7" s="99" t="s">
        <v>189</v>
      </c>
      <c r="H7" s="100" t="s">
        <v>158</v>
      </c>
      <c r="I7" s="100" t="s">
        <v>190</v>
      </c>
      <c r="J7" s="99" t="s">
        <v>159</v>
      </c>
      <c r="K7" s="101" t="s">
        <v>160</v>
      </c>
      <c r="L7" s="101" t="s">
        <v>191</v>
      </c>
      <c r="M7" s="101" t="s">
        <v>192</v>
      </c>
      <c r="N7" s="101" t="s">
        <v>193</v>
      </c>
      <c r="O7" s="101" t="s">
        <v>194</v>
      </c>
      <c r="P7" s="102" t="s">
        <v>163</v>
      </c>
      <c r="Q7" s="99" t="s">
        <v>173</v>
      </c>
      <c r="R7" s="103" t="s">
        <v>195</v>
      </c>
      <c r="S7" s="104" t="s">
        <v>196</v>
      </c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</row>
    <row r="8" ht="12.75" customHeight="1">
      <c r="A8" s="79"/>
      <c r="B8" s="105"/>
      <c r="C8" s="106"/>
      <c r="D8" s="106"/>
      <c r="E8" s="107"/>
      <c r="F8" s="107"/>
      <c r="G8" s="108"/>
      <c r="H8" s="109"/>
      <c r="I8" s="109"/>
      <c r="J8" s="110"/>
      <c r="K8" s="110"/>
      <c r="L8" s="110"/>
      <c r="M8" s="110"/>
      <c r="N8" s="110"/>
      <c r="O8" s="111"/>
      <c r="P8" s="110"/>
      <c r="Q8" s="107"/>
      <c r="R8" s="112"/>
      <c r="S8" s="113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</row>
    <row r="9" ht="12.75" customHeight="1">
      <c r="A9" s="79"/>
      <c r="B9" s="105"/>
      <c r="C9" s="106"/>
      <c r="D9" s="106"/>
      <c r="E9" s="107"/>
      <c r="F9" s="107"/>
      <c r="G9" s="108"/>
      <c r="H9" s="109"/>
      <c r="I9" s="109"/>
      <c r="J9" s="110"/>
      <c r="K9" s="110"/>
      <c r="L9" s="110"/>
      <c r="M9" s="110"/>
      <c r="N9" s="110"/>
      <c r="O9" s="110"/>
      <c r="P9" s="110"/>
      <c r="Q9" s="107"/>
      <c r="R9" s="112"/>
      <c r="S9" s="113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</row>
    <row r="10" ht="12.75" customHeight="1">
      <c r="A10" s="79"/>
      <c r="B10" s="105"/>
      <c r="C10" s="106"/>
      <c r="D10" s="106"/>
      <c r="E10" s="107"/>
      <c r="F10" s="107"/>
      <c r="G10" s="108"/>
      <c r="H10" s="109"/>
      <c r="I10" s="109"/>
      <c r="J10" s="110"/>
      <c r="K10" s="110"/>
      <c r="L10" s="110"/>
      <c r="M10" s="110"/>
      <c r="N10" s="110"/>
      <c r="O10" s="110"/>
      <c r="P10" s="110"/>
      <c r="Q10" s="107"/>
      <c r="R10" s="112"/>
      <c r="S10" s="113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</row>
    <row r="11" ht="12.75" customHeight="1">
      <c r="A11" s="79"/>
      <c r="B11" s="105"/>
      <c r="C11" s="106"/>
      <c r="D11" s="106"/>
      <c r="E11" s="107"/>
      <c r="F11" s="107"/>
      <c r="G11" s="108"/>
      <c r="H11" s="109"/>
      <c r="I11" s="109"/>
      <c r="J11" s="110"/>
      <c r="K11" s="110"/>
      <c r="L11" s="110"/>
      <c r="M11" s="110"/>
      <c r="N11" s="110"/>
      <c r="O11" s="110"/>
      <c r="P11" s="110"/>
      <c r="Q11" s="107"/>
      <c r="R11" s="112"/>
      <c r="S11" s="113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</row>
    <row r="12" ht="12.75" customHeight="1">
      <c r="A12" s="79"/>
      <c r="B12" s="105"/>
      <c r="C12" s="106"/>
      <c r="D12" s="106"/>
      <c r="E12" s="107"/>
      <c r="F12" s="107"/>
      <c r="G12" s="108"/>
      <c r="H12" s="109"/>
      <c r="I12" s="109"/>
      <c r="J12" s="110"/>
      <c r="K12" s="110"/>
      <c r="L12" s="110"/>
      <c r="M12" s="110"/>
      <c r="N12" s="110"/>
      <c r="O12" s="110"/>
      <c r="P12" s="110"/>
      <c r="Q12" s="107"/>
      <c r="R12" s="112"/>
      <c r="S12" s="113"/>
      <c r="T12" s="44"/>
      <c r="U12" s="44"/>
      <c r="V12" s="44"/>
      <c r="W12" s="44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</row>
    <row r="13" ht="12.75" customHeight="1">
      <c r="A13" s="79"/>
      <c r="B13" s="105"/>
      <c r="C13" s="106"/>
      <c r="D13" s="106"/>
      <c r="E13" s="107"/>
      <c r="F13" s="107"/>
      <c r="G13" s="108"/>
      <c r="H13" s="109"/>
      <c r="I13" s="109"/>
      <c r="J13" s="110"/>
      <c r="K13" s="110"/>
      <c r="L13" s="110"/>
      <c r="M13" s="110"/>
      <c r="N13" s="110"/>
      <c r="O13" s="110"/>
      <c r="P13" s="110"/>
      <c r="Q13" s="107"/>
      <c r="R13" s="112"/>
      <c r="S13" s="113"/>
      <c r="T13" s="44"/>
      <c r="U13" s="44"/>
      <c r="V13" s="44"/>
      <c r="W13" s="44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</row>
    <row r="14" ht="12.75" customHeight="1">
      <c r="A14" s="79"/>
      <c r="B14" s="105"/>
      <c r="C14" s="106"/>
      <c r="D14" s="106"/>
      <c r="E14" s="107"/>
      <c r="F14" s="107"/>
      <c r="G14" s="108"/>
      <c r="H14" s="109"/>
      <c r="I14" s="109"/>
      <c r="J14" s="110"/>
      <c r="K14" s="110"/>
      <c r="L14" s="110"/>
      <c r="M14" s="110"/>
      <c r="N14" s="110"/>
      <c r="O14" s="110"/>
      <c r="P14" s="110"/>
      <c r="Q14" s="107"/>
      <c r="R14" s="112"/>
      <c r="S14" s="113"/>
      <c r="T14" s="44"/>
      <c r="U14" s="44"/>
      <c r="V14" s="44"/>
      <c r="W14" s="44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</row>
    <row r="15" ht="12.75" customHeight="1">
      <c r="A15" s="79"/>
      <c r="B15" s="105"/>
      <c r="C15" s="106"/>
      <c r="D15" s="106"/>
      <c r="E15" s="107"/>
      <c r="F15" s="107"/>
      <c r="G15" s="108"/>
      <c r="H15" s="109"/>
      <c r="I15" s="109"/>
      <c r="J15" s="110"/>
      <c r="K15" s="110"/>
      <c r="L15" s="110"/>
      <c r="M15" s="110"/>
      <c r="N15" s="110"/>
      <c r="O15" s="110"/>
      <c r="P15" s="110"/>
      <c r="Q15" s="107"/>
      <c r="R15" s="112"/>
      <c r="S15" s="113"/>
      <c r="T15" s="44"/>
      <c r="U15" s="44"/>
      <c r="V15" s="44"/>
      <c r="W15" s="44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</row>
    <row r="16" ht="12.75" customHeight="1">
      <c r="A16" s="79"/>
      <c r="B16" s="105"/>
      <c r="C16" s="106"/>
      <c r="D16" s="106"/>
      <c r="E16" s="107"/>
      <c r="F16" s="107"/>
      <c r="G16" s="108"/>
      <c r="H16" s="109"/>
      <c r="I16" s="109"/>
      <c r="J16" s="110"/>
      <c r="K16" s="110"/>
      <c r="L16" s="110"/>
      <c r="M16" s="110"/>
      <c r="N16" s="110"/>
      <c r="O16" s="110"/>
      <c r="P16" s="110"/>
      <c r="Q16" s="107"/>
      <c r="R16" s="112"/>
      <c r="S16" s="113"/>
      <c r="T16" s="44"/>
      <c r="U16" s="44"/>
      <c r="V16" s="44"/>
      <c r="W16" s="44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</row>
    <row r="17" ht="12.75" customHeight="1">
      <c r="A17" s="79"/>
      <c r="B17" s="105"/>
      <c r="C17" s="106"/>
      <c r="D17" s="106"/>
      <c r="E17" s="107"/>
      <c r="F17" s="107"/>
      <c r="G17" s="108"/>
      <c r="H17" s="109"/>
      <c r="I17" s="109"/>
      <c r="J17" s="110"/>
      <c r="K17" s="110"/>
      <c r="L17" s="110"/>
      <c r="M17" s="110"/>
      <c r="N17" s="110"/>
      <c r="O17" s="110"/>
      <c r="P17" s="110"/>
      <c r="Q17" s="107"/>
      <c r="R17" s="112"/>
      <c r="S17" s="113"/>
      <c r="T17" s="44"/>
      <c r="U17" s="44"/>
      <c r="V17" s="44"/>
      <c r="W17" s="44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</row>
    <row r="18" ht="12.75" customHeight="1">
      <c r="A18" s="79"/>
      <c r="B18" s="105"/>
      <c r="C18" s="106"/>
      <c r="D18" s="106"/>
      <c r="E18" s="107"/>
      <c r="F18" s="107"/>
      <c r="G18" s="108"/>
      <c r="H18" s="109"/>
      <c r="I18" s="109"/>
      <c r="J18" s="110"/>
      <c r="K18" s="110"/>
      <c r="L18" s="110"/>
      <c r="M18" s="110"/>
      <c r="N18" s="110"/>
      <c r="O18" s="110"/>
      <c r="P18" s="110"/>
      <c r="Q18" s="107"/>
      <c r="R18" s="112"/>
      <c r="S18" s="113"/>
      <c r="T18" s="44"/>
      <c r="U18" s="44"/>
      <c r="V18" s="44"/>
      <c r="W18" s="44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</row>
    <row r="19" ht="12.75" customHeight="1">
      <c r="A19" s="79"/>
      <c r="B19" s="105"/>
      <c r="C19" s="106"/>
      <c r="D19" s="106"/>
      <c r="E19" s="107"/>
      <c r="F19" s="107"/>
      <c r="G19" s="108"/>
      <c r="H19" s="109"/>
      <c r="I19" s="109"/>
      <c r="J19" s="110"/>
      <c r="K19" s="110"/>
      <c r="L19" s="110"/>
      <c r="M19" s="110"/>
      <c r="N19" s="110"/>
      <c r="O19" s="110"/>
      <c r="P19" s="110"/>
      <c r="Q19" s="107"/>
      <c r="R19" s="112"/>
      <c r="S19" s="113"/>
      <c r="T19" s="44"/>
      <c r="U19" s="44"/>
      <c r="V19" s="44"/>
      <c r="W19" s="44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</row>
    <row r="20" ht="12.75" customHeight="1">
      <c r="A20" s="79"/>
      <c r="B20" s="105"/>
      <c r="C20" s="106"/>
      <c r="D20" s="106"/>
      <c r="E20" s="107"/>
      <c r="F20" s="107"/>
      <c r="G20" s="108"/>
      <c r="H20" s="109"/>
      <c r="I20" s="109"/>
      <c r="J20" s="110"/>
      <c r="K20" s="110"/>
      <c r="L20" s="110"/>
      <c r="M20" s="110"/>
      <c r="N20" s="110"/>
      <c r="O20" s="110"/>
      <c r="P20" s="110"/>
      <c r="Q20" s="107"/>
      <c r="R20" s="112"/>
      <c r="S20" s="113"/>
      <c r="T20" s="44"/>
      <c r="U20" s="44"/>
      <c r="V20" s="44"/>
      <c r="W20" s="44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</row>
    <row r="21" ht="12.75" customHeight="1">
      <c r="A21" s="79"/>
      <c r="B21" s="105"/>
      <c r="C21" s="106"/>
      <c r="D21" s="106"/>
      <c r="E21" s="107"/>
      <c r="F21" s="107"/>
      <c r="G21" s="108"/>
      <c r="H21" s="109"/>
      <c r="I21" s="109"/>
      <c r="J21" s="110"/>
      <c r="K21" s="110"/>
      <c r="L21" s="110"/>
      <c r="M21" s="110"/>
      <c r="N21" s="110"/>
      <c r="O21" s="110"/>
      <c r="P21" s="110"/>
      <c r="Q21" s="107"/>
      <c r="R21" s="112"/>
      <c r="S21" s="113"/>
      <c r="T21" s="44"/>
      <c r="U21" s="44"/>
      <c r="V21" s="44"/>
      <c r="W21" s="44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</row>
    <row r="22" ht="12.75" customHeight="1">
      <c r="A22" s="79"/>
      <c r="B22" s="105"/>
      <c r="C22" s="106"/>
      <c r="D22" s="106"/>
      <c r="E22" s="107"/>
      <c r="F22" s="107"/>
      <c r="G22" s="108"/>
      <c r="H22" s="109"/>
      <c r="I22" s="109"/>
      <c r="J22" s="110"/>
      <c r="K22" s="110"/>
      <c r="L22" s="110"/>
      <c r="M22" s="110"/>
      <c r="N22" s="110"/>
      <c r="O22" s="110"/>
      <c r="P22" s="110"/>
      <c r="Q22" s="107"/>
      <c r="R22" s="112"/>
      <c r="S22" s="113"/>
      <c r="T22" s="44"/>
      <c r="U22" s="44"/>
      <c r="V22" s="44"/>
      <c r="W22" s="44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</row>
    <row r="23" ht="12.75" customHeight="1">
      <c r="A23" s="79"/>
      <c r="B23" s="105"/>
      <c r="C23" s="106"/>
      <c r="D23" s="106"/>
      <c r="E23" s="107"/>
      <c r="F23" s="107"/>
      <c r="G23" s="108"/>
      <c r="H23" s="109"/>
      <c r="I23" s="109"/>
      <c r="J23" s="110"/>
      <c r="K23" s="110"/>
      <c r="L23" s="110"/>
      <c r="M23" s="110"/>
      <c r="N23" s="110"/>
      <c r="O23" s="110"/>
      <c r="P23" s="110"/>
      <c r="Q23" s="107"/>
      <c r="R23" s="112"/>
      <c r="S23" s="113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</row>
    <row r="24" ht="12.75" customHeight="1">
      <c r="A24" s="79"/>
      <c r="B24" s="105"/>
      <c r="C24" s="106"/>
      <c r="D24" s="106"/>
      <c r="E24" s="107"/>
      <c r="F24" s="107"/>
      <c r="G24" s="108"/>
      <c r="H24" s="109"/>
      <c r="I24" s="109"/>
      <c r="J24" s="110"/>
      <c r="K24" s="110"/>
      <c r="L24" s="110"/>
      <c r="M24" s="110"/>
      <c r="N24" s="110"/>
      <c r="O24" s="110"/>
      <c r="P24" s="110"/>
      <c r="Q24" s="107"/>
      <c r="R24" s="112"/>
      <c r="S24" s="113"/>
      <c r="T24" s="114"/>
      <c r="U24" s="114"/>
      <c r="V24" s="114"/>
      <c r="W24" s="114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</row>
    <row r="25" ht="12.75" customHeight="1">
      <c r="A25" s="79"/>
      <c r="B25" s="105"/>
      <c r="C25" s="106"/>
      <c r="D25" s="106"/>
      <c r="E25" s="107"/>
      <c r="F25" s="107"/>
      <c r="G25" s="108"/>
      <c r="H25" s="109"/>
      <c r="I25" s="109"/>
      <c r="J25" s="110"/>
      <c r="K25" s="110"/>
      <c r="L25" s="110"/>
      <c r="M25" s="110"/>
      <c r="N25" s="110"/>
      <c r="O25" s="110"/>
      <c r="P25" s="110"/>
      <c r="Q25" s="107"/>
      <c r="R25" s="112"/>
      <c r="S25" s="113"/>
      <c r="T25" s="114"/>
      <c r="U25" s="114"/>
      <c r="V25" s="114"/>
      <c r="W25" s="114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</row>
    <row r="26" ht="12.75" customHeight="1">
      <c r="A26" s="79"/>
      <c r="B26" s="105"/>
      <c r="C26" s="106"/>
      <c r="D26" s="106"/>
      <c r="E26" s="107"/>
      <c r="F26" s="107"/>
      <c r="G26" s="108"/>
      <c r="H26" s="109"/>
      <c r="I26" s="109"/>
      <c r="J26" s="110"/>
      <c r="K26" s="110"/>
      <c r="L26" s="110"/>
      <c r="M26" s="110"/>
      <c r="N26" s="110"/>
      <c r="O26" s="110"/>
      <c r="P26" s="110"/>
      <c r="Q26" s="107"/>
      <c r="R26" s="112"/>
      <c r="S26" s="113"/>
      <c r="T26" s="114"/>
      <c r="U26" s="114"/>
      <c r="V26" s="114"/>
      <c r="W26" s="114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</row>
    <row r="27" ht="12.75" customHeight="1">
      <c r="A27" s="79"/>
      <c r="B27" s="105"/>
      <c r="C27" s="106"/>
      <c r="D27" s="106"/>
      <c r="E27" s="107"/>
      <c r="F27" s="107"/>
      <c r="G27" s="108"/>
      <c r="H27" s="109"/>
      <c r="I27" s="109"/>
      <c r="J27" s="110"/>
      <c r="K27" s="110"/>
      <c r="L27" s="110"/>
      <c r="M27" s="110"/>
      <c r="N27" s="110"/>
      <c r="O27" s="110"/>
      <c r="P27" s="110"/>
      <c r="Q27" s="107"/>
      <c r="R27" s="112"/>
      <c r="S27" s="113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</row>
    <row r="28" ht="12.75" customHeight="1">
      <c r="A28" s="79"/>
      <c r="B28" s="105"/>
      <c r="C28" s="106"/>
      <c r="D28" s="106"/>
      <c r="E28" s="107"/>
      <c r="F28" s="107"/>
      <c r="G28" s="108"/>
      <c r="H28" s="109"/>
      <c r="I28" s="109"/>
      <c r="J28" s="110"/>
      <c r="K28" s="110"/>
      <c r="L28" s="110"/>
      <c r="M28" s="110"/>
      <c r="N28" s="110"/>
      <c r="O28" s="110"/>
      <c r="P28" s="110"/>
      <c r="Q28" s="107"/>
      <c r="R28" s="112"/>
      <c r="S28" s="113"/>
      <c r="T28" s="114"/>
      <c r="U28" s="114"/>
      <c r="V28" s="114"/>
      <c r="W28" s="114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</row>
    <row r="29" ht="12.75" customHeight="1">
      <c r="A29" s="79"/>
      <c r="B29" s="105"/>
      <c r="C29" s="106"/>
      <c r="D29" s="106"/>
      <c r="E29" s="107"/>
      <c r="F29" s="107"/>
      <c r="G29" s="108"/>
      <c r="H29" s="109"/>
      <c r="I29" s="109"/>
      <c r="J29" s="110"/>
      <c r="K29" s="110"/>
      <c r="L29" s="110"/>
      <c r="M29" s="110"/>
      <c r="N29" s="110"/>
      <c r="O29" s="110"/>
      <c r="P29" s="110"/>
      <c r="Q29" s="107"/>
      <c r="R29" s="112"/>
      <c r="S29" s="113"/>
      <c r="T29" s="114"/>
      <c r="U29" s="114"/>
      <c r="V29" s="114"/>
      <c r="W29" s="114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</row>
    <row r="30" ht="12.75" customHeight="1">
      <c r="A30" s="79"/>
      <c r="B30" s="105"/>
      <c r="C30" s="106"/>
      <c r="D30" s="106"/>
      <c r="E30" s="107"/>
      <c r="F30" s="107"/>
      <c r="G30" s="108"/>
      <c r="H30" s="109"/>
      <c r="I30" s="109"/>
      <c r="J30" s="110"/>
      <c r="K30" s="110"/>
      <c r="L30" s="110"/>
      <c r="M30" s="110"/>
      <c r="N30" s="110"/>
      <c r="O30" s="110"/>
      <c r="P30" s="110"/>
      <c r="Q30" s="107"/>
      <c r="R30" s="112"/>
      <c r="S30" s="113"/>
      <c r="T30" s="114"/>
      <c r="U30" s="114"/>
      <c r="V30" s="114"/>
      <c r="W30" s="114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</row>
    <row r="31" ht="12.75" customHeight="1">
      <c r="A31" s="79"/>
      <c r="B31" s="105"/>
      <c r="C31" s="106"/>
      <c r="D31" s="106"/>
      <c r="E31" s="107"/>
      <c r="F31" s="107"/>
      <c r="G31" s="108"/>
      <c r="H31" s="109"/>
      <c r="I31" s="109"/>
      <c r="J31" s="110"/>
      <c r="K31" s="110"/>
      <c r="L31" s="110"/>
      <c r="M31" s="110"/>
      <c r="N31" s="110"/>
      <c r="O31" s="110"/>
      <c r="P31" s="110"/>
      <c r="Q31" s="107"/>
      <c r="R31" s="112"/>
      <c r="S31" s="113"/>
      <c r="T31" s="114"/>
      <c r="U31" s="114"/>
      <c r="V31" s="114"/>
      <c r="W31" s="114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</row>
    <row r="32" ht="12.75" customHeight="1">
      <c r="A32" s="79"/>
      <c r="B32" s="105"/>
      <c r="C32" s="106"/>
      <c r="D32" s="106"/>
      <c r="E32" s="107"/>
      <c r="F32" s="107"/>
      <c r="G32" s="108"/>
      <c r="H32" s="109"/>
      <c r="I32" s="109"/>
      <c r="J32" s="110"/>
      <c r="K32" s="110"/>
      <c r="L32" s="110"/>
      <c r="M32" s="110"/>
      <c r="N32" s="110"/>
      <c r="O32" s="110"/>
      <c r="P32" s="110"/>
      <c r="Q32" s="107"/>
      <c r="R32" s="112"/>
      <c r="S32" s="113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</row>
    <row r="33" ht="12.75" customHeight="1">
      <c r="A33" s="79"/>
      <c r="B33" s="105"/>
      <c r="C33" s="106"/>
      <c r="D33" s="106"/>
      <c r="E33" s="107"/>
      <c r="F33" s="107"/>
      <c r="G33" s="108"/>
      <c r="H33" s="109"/>
      <c r="I33" s="109"/>
      <c r="J33" s="110"/>
      <c r="K33" s="110"/>
      <c r="L33" s="110"/>
      <c r="M33" s="110"/>
      <c r="N33" s="110"/>
      <c r="O33" s="110"/>
      <c r="P33" s="110"/>
      <c r="Q33" s="107"/>
      <c r="R33" s="112"/>
      <c r="S33" s="113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</row>
    <row r="34" ht="12.75" customHeight="1">
      <c r="A34" s="79"/>
      <c r="B34" s="105"/>
      <c r="C34" s="106"/>
      <c r="D34" s="106"/>
      <c r="E34" s="107"/>
      <c r="F34" s="107"/>
      <c r="G34" s="108"/>
      <c r="H34" s="109"/>
      <c r="I34" s="109"/>
      <c r="J34" s="110"/>
      <c r="K34" s="110"/>
      <c r="L34" s="110"/>
      <c r="M34" s="110"/>
      <c r="N34" s="110"/>
      <c r="O34" s="110"/>
      <c r="P34" s="110"/>
      <c r="Q34" s="107"/>
      <c r="R34" s="112"/>
      <c r="S34" s="113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</row>
    <row r="35" ht="12.75" customHeight="1">
      <c r="A35" s="79"/>
      <c r="B35" s="105"/>
      <c r="C35" s="106"/>
      <c r="D35" s="106"/>
      <c r="E35" s="107"/>
      <c r="F35" s="107"/>
      <c r="G35" s="108"/>
      <c r="H35" s="109"/>
      <c r="I35" s="109"/>
      <c r="J35" s="110"/>
      <c r="K35" s="110"/>
      <c r="L35" s="110"/>
      <c r="M35" s="110"/>
      <c r="N35" s="110"/>
      <c r="O35" s="110"/>
      <c r="P35" s="110"/>
      <c r="Q35" s="107"/>
      <c r="R35" s="112"/>
      <c r="S35" s="113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</row>
    <row r="36" ht="12.75" customHeight="1">
      <c r="A36" s="79"/>
      <c r="B36" s="105"/>
      <c r="C36" s="106"/>
      <c r="D36" s="106"/>
      <c r="E36" s="107"/>
      <c r="F36" s="107"/>
      <c r="G36" s="108"/>
      <c r="H36" s="109"/>
      <c r="I36" s="109"/>
      <c r="J36" s="110"/>
      <c r="K36" s="110"/>
      <c r="L36" s="110"/>
      <c r="M36" s="110"/>
      <c r="N36" s="110"/>
      <c r="O36" s="110"/>
      <c r="P36" s="110"/>
      <c r="Q36" s="107"/>
      <c r="R36" s="112"/>
      <c r="S36" s="113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</row>
    <row r="37" ht="12.75" customHeight="1">
      <c r="A37" s="79"/>
      <c r="B37" s="105"/>
      <c r="C37" s="106"/>
      <c r="D37" s="106"/>
      <c r="E37" s="107"/>
      <c r="F37" s="107"/>
      <c r="G37" s="108"/>
      <c r="H37" s="109"/>
      <c r="I37" s="109"/>
      <c r="J37" s="110"/>
      <c r="K37" s="110"/>
      <c r="L37" s="110"/>
      <c r="M37" s="110"/>
      <c r="N37" s="110"/>
      <c r="O37" s="110"/>
      <c r="P37" s="110"/>
      <c r="Q37" s="107"/>
      <c r="R37" s="112"/>
      <c r="S37" s="113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</row>
    <row r="38" ht="12.75" customHeight="1">
      <c r="A38" s="79"/>
      <c r="B38" s="105"/>
      <c r="C38" s="106"/>
      <c r="D38" s="106"/>
      <c r="E38" s="107"/>
      <c r="F38" s="107"/>
      <c r="G38" s="108"/>
      <c r="H38" s="109"/>
      <c r="I38" s="109"/>
      <c r="J38" s="110"/>
      <c r="K38" s="110"/>
      <c r="L38" s="110"/>
      <c r="M38" s="110"/>
      <c r="N38" s="110"/>
      <c r="O38" s="110"/>
      <c r="P38" s="110"/>
      <c r="Q38" s="107"/>
      <c r="R38" s="112"/>
      <c r="S38" s="113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</row>
    <row r="39" ht="12.75" customHeight="1">
      <c r="A39" s="79"/>
      <c r="B39" s="105"/>
      <c r="C39" s="106"/>
      <c r="D39" s="106"/>
      <c r="E39" s="107"/>
      <c r="F39" s="107"/>
      <c r="G39" s="108"/>
      <c r="H39" s="109"/>
      <c r="I39" s="109"/>
      <c r="J39" s="110"/>
      <c r="K39" s="110"/>
      <c r="L39" s="110"/>
      <c r="M39" s="110"/>
      <c r="N39" s="110"/>
      <c r="O39" s="110"/>
      <c r="P39" s="110"/>
      <c r="Q39" s="107"/>
      <c r="R39" s="112"/>
      <c r="S39" s="113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</row>
    <row r="40" ht="9.75" customHeight="1">
      <c r="A40" s="79"/>
      <c r="B40" s="105"/>
      <c r="C40" s="106"/>
      <c r="D40" s="106"/>
      <c r="E40" s="107"/>
      <c r="F40" s="107"/>
      <c r="G40" s="108"/>
      <c r="H40" s="109"/>
      <c r="I40" s="109"/>
      <c r="J40" s="110"/>
      <c r="K40" s="110"/>
      <c r="L40" s="110"/>
      <c r="M40" s="110"/>
      <c r="N40" s="110"/>
      <c r="O40" s="110"/>
      <c r="P40" s="110"/>
      <c r="Q40" s="107"/>
      <c r="R40" s="112"/>
      <c r="S40" s="113"/>
      <c r="T40" s="95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</row>
    <row r="41" ht="9.75" customHeight="1">
      <c r="A41" s="79"/>
      <c r="B41" s="105"/>
      <c r="C41" s="106"/>
      <c r="D41" s="106"/>
      <c r="E41" s="107"/>
      <c r="F41" s="107"/>
      <c r="G41" s="108"/>
      <c r="H41" s="109"/>
      <c r="I41" s="109"/>
      <c r="J41" s="110"/>
      <c r="K41" s="110"/>
      <c r="L41" s="110"/>
      <c r="M41" s="110"/>
      <c r="N41" s="110"/>
      <c r="O41" s="110"/>
      <c r="P41" s="110"/>
      <c r="Q41" s="107"/>
      <c r="R41" s="112"/>
      <c r="S41" s="113"/>
      <c r="T41" s="44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</row>
    <row r="42" ht="9.75" customHeight="1">
      <c r="A42" s="79"/>
      <c r="B42" s="105"/>
      <c r="C42" s="106"/>
      <c r="D42" s="106"/>
      <c r="E42" s="107"/>
      <c r="F42" s="107"/>
      <c r="G42" s="108"/>
      <c r="H42" s="109"/>
      <c r="I42" s="109"/>
      <c r="J42" s="110"/>
      <c r="K42" s="110"/>
      <c r="L42" s="110"/>
      <c r="M42" s="110"/>
      <c r="N42" s="110"/>
      <c r="O42" s="110"/>
      <c r="P42" s="110"/>
      <c r="Q42" s="107"/>
      <c r="R42" s="112"/>
      <c r="S42" s="113"/>
      <c r="T42" s="95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</row>
    <row r="43" ht="12.75" customHeight="1">
      <c r="A43" s="79"/>
      <c r="B43" s="105"/>
      <c r="C43" s="106"/>
      <c r="D43" s="106"/>
      <c r="E43" s="107"/>
      <c r="F43" s="107"/>
      <c r="G43" s="108"/>
      <c r="H43" s="109"/>
      <c r="I43" s="109"/>
      <c r="J43" s="110"/>
      <c r="K43" s="110"/>
      <c r="L43" s="110"/>
      <c r="M43" s="110"/>
      <c r="N43" s="110"/>
      <c r="O43" s="110"/>
      <c r="P43" s="110"/>
      <c r="Q43" s="107"/>
      <c r="R43" s="112"/>
      <c r="S43" s="113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</row>
    <row r="44" ht="12.75" customHeight="1">
      <c r="A44" s="79"/>
      <c r="B44" s="105"/>
      <c r="C44" s="106"/>
      <c r="D44" s="106"/>
      <c r="E44" s="107"/>
      <c r="F44" s="107"/>
      <c r="G44" s="108"/>
      <c r="H44" s="109"/>
      <c r="I44" s="109"/>
      <c r="J44" s="110"/>
      <c r="K44" s="110"/>
      <c r="L44" s="110"/>
      <c r="M44" s="110"/>
      <c r="N44" s="110"/>
      <c r="O44" s="110"/>
      <c r="P44" s="110"/>
      <c r="Q44" s="107"/>
      <c r="R44" s="112"/>
      <c r="S44" s="113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</row>
    <row r="45" ht="12.75" customHeight="1">
      <c r="A45" s="79"/>
      <c r="B45" s="105"/>
      <c r="C45" s="106"/>
      <c r="D45" s="106"/>
      <c r="E45" s="107"/>
      <c r="F45" s="107"/>
      <c r="G45" s="108"/>
      <c r="H45" s="109"/>
      <c r="I45" s="109"/>
      <c r="J45" s="110"/>
      <c r="K45" s="110"/>
      <c r="L45" s="110"/>
      <c r="M45" s="110"/>
      <c r="N45" s="110"/>
      <c r="O45" s="110"/>
      <c r="P45" s="110"/>
      <c r="Q45" s="107"/>
      <c r="R45" s="112"/>
      <c r="S45" s="113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</row>
    <row r="46" ht="12.75" customHeight="1">
      <c r="A46" s="79"/>
      <c r="B46" s="105"/>
      <c r="C46" s="106"/>
      <c r="D46" s="106"/>
      <c r="E46" s="107"/>
      <c r="F46" s="107"/>
      <c r="G46" s="108"/>
      <c r="H46" s="109"/>
      <c r="I46" s="109"/>
      <c r="J46" s="110"/>
      <c r="K46" s="110"/>
      <c r="L46" s="110"/>
      <c r="M46" s="110"/>
      <c r="N46" s="110"/>
      <c r="O46" s="110"/>
      <c r="P46" s="110"/>
      <c r="Q46" s="107"/>
      <c r="R46" s="112"/>
      <c r="S46" s="113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</row>
    <row r="47" ht="12.75" customHeight="1">
      <c r="A47" s="79"/>
      <c r="B47" s="105"/>
      <c r="C47" s="106"/>
      <c r="D47" s="106"/>
      <c r="E47" s="107"/>
      <c r="F47" s="107"/>
      <c r="G47" s="108"/>
      <c r="H47" s="109"/>
      <c r="I47" s="109"/>
      <c r="J47" s="110"/>
      <c r="K47" s="110"/>
      <c r="L47" s="110"/>
      <c r="M47" s="110"/>
      <c r="N47" s="110"/>
      <c r="O47" s="110"/>
      <c r="P47" s="110"/>
      <c r="Q47" s="107"/>
      <c r="R47" s="112"/>
      <c r="S47" s="113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</row>
    <row r="48" ht="12.75" customHeight="1">
      <c r="A48" s="79"/>
      <c r="B48" s="105"/>
      <c r="C48" s="106"/>
      <c r="D48" s="106"/>
      <c r="E48" s="107"/>
      <c r="F48" s="107"/>
      <c r="G48" s="108"/>
      <c r="H48" s="109"/>
      <c r="I48" s="109"/>
      <c r="J48" s="110"/>
      <c r="K48" s="110"/>
      <c r="L48" s="110"/>
      <c r="M48" s="110"/>
      <c r="N48" s="110"/>
      <c r="O48" s="110"/>
      <c r="P48" s="110"/>
      <c r="Q48" s="107"/>
      <c r="R48" s="112"/>
      <c r="S48" s="113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</row>
    <row r="49" ht="12.75" customHeight="1">
      <c r="A49" s="79"/>
      <c r="B49" s="105"/>
      <c r="C49" s="106"/>
      <c r="D49" s="106"/>
      <c r="E49" s="107"/>
      <c r="F49" s="107"/>
      <c r="G49" s="108"/>
      <c r="H49" s="109"/>
      <c r="I49" s="109"/>
      <c r="J49" s="110"/>
      <c r="K49" s="110"/>
      <c r="L49" s="110"/>
      <c r="M49" s="110"/>
      <c r="N49" s="110"/>
      <c r="O49" s="110"/>
      <c r="P49" s="110"/>
      <c r="Q49" s="107"/>
      <c r="R49" s="112"/>
      <c r="S49" s="113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</row>
    <row r="50" ht="12.75" customHeight="1">
      <c r="A50" s="79"/>
      <c r="B50" s="105"/>
      <c r="C50" s="106"/>
      <c r="D50" s="106"/>
      <c r="E50" s="107"/>
      <c r="F50" s="107"/>
      <c r="G50" s="108"/>
      <c r="H50" s="109"/>
      <c r="I50" s="109"/>
      <c r="J50" s="110"/>
      <c r="K50" s="110"/>
      <c r="L50" s="110"/>
      <c r="M50" s="110"/>
      <c r="N50" s="110"/>
      <c r="O50" s="110"/>
      <c r="P50" s="110"/>
      <c r="Q50" s="107"/>
      <c r="R50" s="112"/>
      <c r="S50" s="113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</row>
    <row r="51" ht="12.75" customHeight="1">
      <c r="A51" s="79"/>
      <c r="B51" s="105"/>
      <c r="C51" s="106"/>
      <c r="D51" s="106"/>
      <c r="E51" s="107"/>
      <c r="F51" s="107"/>
      <c r="G51" s="108"/>
      <c r="H51" s="109"/>
      <c r="I51" s="109"/>
      <c r="J51" s="110"/>
      <c r="K51" s="110"/>
      <c r="L51" s="110"/>
      <c r="M51" s="110"/>
      <c r="N51" s="110"/>
      <c r="O51" s="110"/>
      <c r="P51" s="110"/>
      <c r="Q51" s="107"/>
      <c r="R51" s="112"/>
      <c r="S51" s="113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</row>
    <row r="52" ht="12.75" customHeight="1">
      <c r="A52" s="79"/>
      <c r="B52" s="105"/>
      <c r="C52" s="106"/>
      <c r="D52" s="106"/>
      <c r="E52" s="107"/>
      <c r="F52" s="107"/>
      <c r="G52" s="108"/>
      <c r="H52" s="109"/>
      <c r="I52" s="109"/>
      <c r="J52" s="110"/>
      <c r="K52" s="110"/>
      <c r="L52" s="110"/>
      <c r="M52" s="110"/>
      <c r="N52" s="110"/>
      <c r="O52" s="110"/>
      <c r="P52" s="110"/>
      <c r="Q52" s="107"/>
      <c r="R52" s="112"/>
      <c r="S52" s="113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</row>
    <row r="53" ht="12.75" customHeight="1">
      <c r="A53" s="79"/>
      <c r="B53" s="105"/>
      <c r="C53" s="106"/>
      <c r="D53" s="106"/>
      <c r="E53" s="107"/>
      <c r="F53" s="107"/>
      <c r="G53" s="108"/>
      <c r="H53" s="109"/>
      <c r="I53" s="109"/>
      <c r="J53" s="110"/>
      <c r="K53" s="110"/>
      <c r="L53" s="110"/>
      <c r="M53" s="110"/>
      <c r="N53" s="110"/>
      <c r="O53" s="110"/>
      <c r="P53" s="110"/>
      <c r="Q53" s="107"/>
      <c r="R53" s="112"/>
      <c r="S53" s="113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</row>
    <row r="54" ht="12.75" customHeight="1">
      <c r="A54" s="79"/>
      <c r="B54" s="105"/>
      <c r="C54" s="106"/>
      <c r="D54" s="106"/>
      <c r="E54" s="107"/>
      <c r="F54" s="107"/>
      <c r="G54" s="108"/>
      <c r="H54" s="109"/>
      <c r="I54" s="109"/>
      <c r="J54" s="110"/>
      <c r="K54" s="110"/>
      <c r="L54" s="110"/>
      <c r="M54" s="110"/>
      <c r="N54" s="110"/>
      <c r="O54" s="110"/>
      <c r="P54" s="110"/>
      <c r="Q54" s="107"/>
      <c r="R54" s="112"/>
      <c r="S54" s="113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</row>
    <row r="55" ht="12.75" customHeight="1">
      <c r="A55" s="79"/>
      <c r="B55" s="105"/>
      <c r="C55" s="106"/>
      <c r="D55" s="106"/>
      <c r="E55" s="107"/>
      <c r="F55" s="107"/>
      <c r="G55" s="108"/>
      <c r="H55" s="109"/>
      <c r="I55" s="109"/>
      <c r="J55" s="110"/>
      <c r="K55" s="110"/>
      <c r="L55" s="110"/>
      <c r="M55" s="110"/>
      <c r="N55" s="110"/>
      <c r="O55" s="110"/>
      <c r="P55" s="110"/>
      <c r="Q55" s="107"/>
      <c r="R55" s="112"/>
      <c r="S55" s="113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</row>
    <row r="56" ht="12.75" customHeight="1">
      <c r="A56" s="79"/>
      <c r="B56" s="105"/>
      <c r="C56" s="106"/>
      <c r="D56" s="106"/>
      <c r="E56" s="107"/>
      <c r="F56" s="107"/>
      <c r="G56" s="108"/>
      <c r="H56" s="109"/>
      <c r="I56" s="109"/>
      <c r="J56" s="110"/>
      <c r="K56" s="110"/>
      <c r="L56" s="110"/>
      <c r="M56" s="110"/>
      <c r="N56" s="110"/>
      <c r="O56" s="110"/>
      <c r="P56" s="110"/>
      <c r="Q56" s="107"/>
      <c r="R56" s="112"/>
      <c r="S56" s="113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</row>
    <row r="57" ht="12.75" customHeight="1">
      <c r="A57" s="79"/>
      <c r="B57" s="105"/>
      <c r="C57" s="106"/>
      <c r="D57" s="106"/>
      <c r="E57" s="107"/>
      <c r="F57" s="107"/>
      <c r="G57" s="108"/>
      <c r="H57" s="109"/>
      <c r="I57" s="109"/>
      <c r="J57" s="110"/>
      <c r="K57" s="110"/>
      <c r="L57" s="110"/>
      <c r="M57" s="110"/>
      <c r="N57" s="110"/>
      <c r="O57" s="110"/>
      <c r="P57" s="110"/>
      <c r="Q57" s="107"/>
      <c r="R57" s="112"/>
      <c r="S57" s="113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</row>
    <row r="58" ht="12.75" customHeight="1">
      <c r="A58" s="79"/>
      <c r="B58" s="105"/>
      <c r="C58" s="106"/>
      <c r="D58" s="106"/>
      <c r="E58" s="107"/>
      <c r="F58" s="107"/>
      <c r="G58" s="108"/>
      <c r="H58" s="109"/>
      <c r="I58" s="109"/>
      <c r="J58" s="110"/>
      <c r="K58" s="110"/>
      <c r="L58" s="110"/>
      <c r="M58" s="110"/>
      <c r="N58" s="110"/>
      <c r="O58" s="110"/>
      <c r="P58" s="110"/>
      <c r="Q58" s="107"/>
      <c r="R58" s="112"/>
      <c r="S58" s="113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</row>
    <row r="59" ht="9.75" customHeight="1">
      <c r="A59" s="79"/>
      <c r="B59" s="105"/>
      <c r="C59" s="106"/>
      <c r="D59" s="106"/>
      <c r="E59" s="107"/>
      <c r="F59" s="107"/>
      <c r="G59" s="108"/>
      <c r="H59" s="109"/>
      <c r="I59" s="109"/>
      <c r="J59" s="110"/>
      <c r="K59" s="110"/>
      <c r="L59" s="110"/>
      <c r="M59" s="110"/>
      <c r="N59" s="110"/>
      <c r="O59" s="110"/>
      <c r="P59" s="110"/>
      <c r="Q59" s="107"/>
      <c r="R59" s="112"/>
      <c r="S59" s="113"/>
      <c r="T59" s="95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</row>
    <row r="60" ht="9.75" customHeight="1">
      <c r="A60" s="79"/>
      <c r="B60" s="105"/>
      <c r="C60" s="106"/>
      <c r="D60" s="106"/>
      <c r="E60" s="107"/>
      <c r="F60" s="107"/>
      <c r="G60" s="108"/>
      <c r="H60" s="109"/>
      <c r="I60" s="109"/>
      <c r="J60" s="110"/>
      <c r="K60" s="110"/>
      <c r="L60" s="110"/>
      <c r="M60" s="110"/>
      <c r="N60" s="110"/>
      <c r="O60" s="110"/>
      <c r="P60" s="110"/>
      <c r="Q60" s="107"/>
      <c r="R60" s="112"/>
      <c r="S60" s="113"/>
      <c r="T60" s="44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</row>
    <row r="61" ht="9.75" customHeight="1">
      <c r="A61" s="79"/>
      <c r="B61" s="105"/>
      <c r="C61" s="106"/>
      <c r="D61" s="106"/>
      <c r="E61" s="107"/>
      <c r="F61" s="107"/>
      <c r="G61" s="108"/>
      <c r="H61" s="109"/>
      <c r="I61" s="109"/>
      <c r="J61" s="110"/>
      <c r="K61" s="110"/>
      <c r="L61" s="110"/>
      <c r="M61" s="110"/>
      <c r="N61" s="110"/>
      <c r="O61" s="110"/>
      <c r="P61" s="110"/>
      <c r="Q61" s="107"/>
      <c r="R61" s="112"/>
      <c r="S61" s="113"/>
      <c r="T61" s="95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</row>
    <row r="62" ht="12.75" customHeight="1">
      <c r="A62" s="79"/>
      <c r="B62" s="105"/>
      <c r="C62" s="106"/>
      <c r="D62" s="106"/>
      <c r="E62" s="107"/>
      <c r="F62" s="107"/>
      <c r="G62" s="108"/>
      <c r="H62" s="109"/>
      <c r="I62" s="109"/>
      <c r="J62" s="110"/>
      <c r="K62" s="110"/>
      <c r="L62" s="110"/>
      <c r="M62" s="110"/>
      <c r="N62" s="110"/>
      <c r="O62" s="110"/>
      <c r="P62" s="110"/>
      <c r="Q62" s="107"/>
      <c r="R62" s="112"/>
      <c r="S62" s="113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</row>
    <row r="63" ht="12.75" customHeight="1">
      <c r="A63" s="79"/>
      <c r="B63" s="105"/>
      <c r="C63" s="106"/>
      <c r="D63" s="106"/>
      <c r="E63" s="107"/>
      <c r="F63" s="107"/>
      <c r="G63" s="108"/>
      <c r="H63" s="109"/>
      <c r="I63" s="109"/>
      <c r="J63" s="110"/>
      <c r="K63" s="110"/>
      <c r="L63" s="110"/>
      <c r="M63" s="110"/>
      <c r="N63" s="110"/>
      <c r="O63" s="110"/>
      <c r="P63" s="110"/>
      <c r="Q63" s="107"/>
      <c r="R63" s="112"/>
      <c r="S63" s="113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</row>
    <row r="64" ht="12.75" customHeight="1">
      <c r="A64" s="79"/>
      <c r="B64" s="105"/>
      <c r="C64" s="106"/>
      <c r="D64" s="106"/>
      <c r="E64" s="107"/>
      <c r="F64" s="107"/>
      <c r="G64" s="108"/>
      <c r="H64" s="109"/>
      <c r="I64" s="109"/>
      <c r="J64" s="110"/>
      <c r="K64" s="110"/>
      <c r="L64" s="110"/>
      <c r="M64" s="110"/>
      <c r="N64" s="110"/>
      <c r="O64" s="110"/>
      <c r="P64" s="110"/>
      <c r="Q64" s="107"/>
      <c r="R64" s="112"/>
      <c r="S64" s="113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</row>
    <row r="65" ht="12.75" customHeight="1">
      <c r="A65" s="79"/>
      <c r="B65" s="105"/>
      <c r="C65" s="106"/>
      <c r="D65" s="106"/>
      <c r="E65" s="107"/>
      <c r="F65" s="107"/>
      <c r="G65" s="108"/>
      <c r="H65" s="109"/>
      <c r="I65" s="109"/>
      <c r="J65" s="110"/>
      <c r="K65" s="110"/>
      <c r="L65" s="110"/>
      <c r="M65" s="110"/>
      <c r="N65" s="110"/>
      <c r="O65" s="110"/>
      <c r="P65" s="110"/>
      <c r="Q65" s="107"/>
      <c r="R65" s="112"/>
      <c r="S65" s="113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</row>
    <row r="66" ht="12.75" customHeight="1">
      <c r="A66" s="79"/>
      <c r="B66" s="105"/>
      <c r="C66" s="106"/>
      <c r="D66" s="106"/>
      <c r="E66" s="107"/>
      <c r="F66" s="107"/>
      <c r="G66" s="108"/>
      <c r="H66" s="109"/>
      <c r="I66" s="109"/>
      <c r="J66" s="110"/>
      <c r="K66" s="110"/>
      <c r="L66" s="110"/>
      <c r="M66" s="110"/>
      <c r="N66" s="110"/>
      <c r="O66" s="110"/>
      <c r="P66" s="110"/>
      <c r="Q66" s="107"/>
      <c r="R66" s="112"/>
      <c r="S66" s="113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</row>
    <row r="67" ht="12.75" customHeight="1">
      <c r="A67" s="79"/>
      <c r="B67" s="105"/>
      <c r="C67" s="106"/>
      <c r="D67" s="106"/>
      <c r="E67" s="107"/>
      <c r="F67" s="107"/>
      <c r="G67" s="108"/>
      <c r="H67" s="109"/>
      <c r="I67" s="109"/>
      <c r="J67" s="110"/>
      <c r="K67" s="110"/>
      <c r="L67" s="110"/>
      <c r="M67" s="110"/>
      <c r="N67" s="110"/>
      <c r="O67" s="110"/>
      <c r="P67" s="110"/>
      <c r="Q67" s="107"/>
      <c r="R67" s="112"/>
      <c r="S67" s="113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</row>
    <row r="68" ht="12.75" customHeight="1">
      <c r="A68" s="79"/>
      <c r="B68" s="105"/>
      <c r="C68" s="106"/>
      <c r="D68" s="106"/>
      <c r="E68" s="107"/>
      <c r="F68" s="107"/>
      <c r="G68" s="108"/>
      <c r="H68" s="109"/>
      <c r="I68" s="109"/>
      <c r="J68" s="110"/>
      <c r="K68" s="110"/>
      <c r="L68" s="110"/>
      <c r="M68" s="110"/>
      <c r="N68" s="110"/>
      <c r="O68" s="110"/>
      <c r="P68" s="110"/>
      <c r="Q68" s="107"/>
      <c r="R68" s="112"/>
      <c r="S68" s="113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</row>
    <row r="69" ht="12.75" customHeight="1">
      <c r="A69" s="79"/>
      <c r="B69" s="105"/>
      <c r="C69" s="106"/>
      <c r="D69" s="106"/>
      <c r="E69" s="107"/>
      <c r="F69" s="107"/>
      <c r="G69" s="108"/>
      <c r="H69" s="109"/>
      <c r="I69" s="109"/>
      <c r="J69" s="110"/>
      <c r="K69" s="110"/>
      <c r="L69" s="110"/>
      <c r="M69" s="110"/>
      <c r="N69" s="110"/>
      <c r="O69" s="110"/>
      <c r="P69" s="110"/>
      <c r="Q69" s="107"/>
      <c r="R69" s="112"/>
      <c r="S69" s="113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</row>
    <row r="70" ht="12.75" customHeight="1">
      <c r="A70" s="79"/>
      <c r="B70" s="105"/>
      <c r="C70" s="106"/>
      <c r="D70" s="106"/>
      <c r="E70" s="107"/>
      <c r="F70" s="107"/>
      <c r="G70" s="108"/>
      <c r="H70" s="109"/>
      <c r="I70" s="109"/>
      <c r="J70" s="110"/>
      <c r="K70" s="110"/>
      <c r="L70" s="110"/>
      <c r="M70" s="110"/>
      <c r="N70" s="110"/>
      <c r="O70" s="110"/>
      <c r="P70" s="110"/>
      <c r="Q70" s="107"/>
      <c r="R70" s="112"/>
      <c r="S70" s="113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</row>
    <row r="71" ht="12.75" customHeight="1">
      <c r="A71" s="79"/>
      <c r="B71" s="105"/>
      <c r="C71" s="106"/>
      <c r="D71" s="106"/>
      <c r="E71" s="107"/>
      <c r="F71" s="107"/>
      <c r="G71" s="108"/>
      <c r="H71" s="109"/>
      <c r="I71" s="109"/>
      <c r="J71" s="110"/>
      <c r="K71" s="110"/>
      <c r="L71" s="110"/>
      <c r="M71" s="110"/>
      <c r="N71" s="110"/>
      <c r="O71" s="110"/>
      <c r="P71" s="110"/>
      <c r="Q71" s="107"/>
      <c r="R71" s="112"/>
      <c r="S71" s="113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</row>
    <row r="72" ht="12.75" customHeight="1">
      <c r="A72" s="79"/>
      <c r="B72" s="105"/>
      <c r="C72" s="106"/>
      <c r="D72" s="106"/>
      <c r="E72" s="107"/>
      <c r="F72" s="107"/>
      <c r="G72" s="108"/>
      <c r="H72" s="109"/>
      <c r="I72" s="109"/>
      <c r="J72" s="110"/>
      <c r="K72" s="110"/>
      <c r="L72" s="110"/>
      <c r="M72" s="110"/>
      <c r="N72" s="110"/>
      <c r="O72" s="110"/>
      <c r="P72" s="110"/>
      <c r="Q72" s="107"/>
      <c r="R72" s="112"/>
      <c r="S72" s="113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</row>
    <row r="73" ht="12.75" customHeight="1">
      <c r="A73" s="79"/>
      <c r="B73" s="105"/>
      <c r="C73" s="106"/>
      <c r="D73" s="106"/>
      <c r="E73" s="107"/>
      <c r="F73" s="107"/>
      <c r="G73" s="108"/>
      <c r="H73" s="109"/>
      <c r="I73" s="109"/>
      <c r="J73" s="110"/>
      <c r="K73" s="110"/>
      <c r="L73" s="110"/>
      <c r="M73" s="110"/>
      <c r="N73" s="110"/>
      <c r="O73" s="110"/>
      <c r="P73" s="110"/>
      <c r="Q73" s="107"/>
      <c r="R73" s="112"/>
      <c r="S73" s="113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</row>
    <row r="74" ht="12.75" customHeight="1">
      <c r="A74" s="79"/>
      <c r="B74" s="105"/>
      <c r="C74" s="106"/>
      <c r="D74" s="106"/>
      <c r="E74" s="107"/>
      <c r="F74" s="107"/>
      <c r="G74" s="108"/>
      <c r="H74" s="109"/>
      <c r="I74" s="109"/>
      <c r="J74" s="110"/>
      <c r="K74" s="110"/>
      <c r="L74" s="110"/>
      <c r="M74" s="110"/>
      <c r="N74" s="110"/>
      <c r="O74" s="110"/>
      <c r="P74" s="110"/>
      <c r="Q74" s="107"/>
      <c r="R74" s="112"/>
      <c r="S74" s="113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</row>
    <row r="75" ht="12.75" customHeight="1">
      <c r="A75" s="79"/>
      <c r="B75" s="105"/>
      <c r="C75" s="106"/>
      <c r="D75" s="106"/>
      <c r="E75" s="107"/>
      <c r="F75" s="107"/>
      <c r="G75" s="108"/>
      <c r="H75" s="109"/>
      <c r="I75" s="109"/>
      <c r="J75" s="110"/>
      <c r="K75" s="110"/>
      <c r="L75" s="110"/>
      <c r="M75" s="110"/>
      <c r="N75" s="110"/>
      <c r="O75" s="110"/>
      <c r="P75" s="110"/>
      <c r="Q75" s="107"/>
      <c r="R75" s="112"/>
      <c r="S75" s="113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</row>
    <row r="76" ht="12.75" customHeight="1">
      <c r="A76" s="79"/>
      <c r="B76" s="105"/>
      <c r="C76" s="106"/>
      <c r="D76" s="106"/>
      <c r="E76" s="107"/>
      <c r="F76" s="107"/>
      <c r="G76" s="108"/>
      <c r="H76" s="109"/>
      <c r="I76" s="109"/>
      <c r="J76" s="110"/>
      <c r="K76" s="110"/>
      <c r="L76" s="110"/>
      <c r="M76" s="110"/>
      <c r="N76" s="110"/>
      <c r="O76" s="110"/>
      <c r="P76" s="110"/>
      <c r="Q76" s="107"/>
      <c r="R76" s="112"/>
      <c r="S76" s="113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</row>
    <row r="77" ht="12.75" customHeight="1">
      <c r="A77" s="79"/>
      <c r="B77" s="105"/>
      <c r="C77" s="106"/>
      <c r="D77" s="106"/>
      <c r="E77" s="107"/>
      <c r="F77" s="107"/>
      <c r="G77" s="108"/>
      <c r="H77" s="109"/>
      <c r="I77" s="109"/>
      <c r="J77" s="110"/>
      <c r="K77" s="110"/>
      <c r="L77" s="110"/>
      <c r="M77" s="110"/>
      <c r="N77" s="110"/>
      <c r="O77" s="110"/>
      <c r="P77" s="110"/>
      <c r="Q77" s="107"/>
      <c r="R77" s="112"/>
      <c r="S77" s="113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</row>
    <row r="78" ht="12.75" customHeight="1">
      <c r="A78" s="79"/>
      <c r="B78" s="105"/>
      <c r="C78" s="106"/>
      <c r="D78" s="106"/>
      <c r="E78" s="107"/>
      <c r="F78" s="107"/>
      <c r="G78" s="108"/>
      <c r="H78" s="109"/>
      <c r="I78" s="109"/>
      <c r="J78" s="110"/>
      <c r="K78" s="110"/>
      <c r="L78" s="110"/>
      <c r="M78" s="110"/>
      <c r="N78" s="110"/>
      <c r="O78" s="110"/>
      <c r="P78" s="110"/>
      <c r="Q78" s="107"/>
      <c r="R78" s="112"/>
      <c r="S78" s="113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</row>
    <row r="79" ht="12.75" customHeight="1">
      <c r="A79" s="79"/>
      <c r="B79" s="105"/>
      <c r="C79" s="106"/>
      <c r="D79" s="106"/>
      <c r="E79" s="107"/>
      <c r="F79" s="107"/>
      <c r="G79" s="108"/>
      <c r="H79" s="109"/>
      <c r="I79" s="109"/>
      <c r="J79" s="110"/>
      <c r="K79" s="110"/>
      <c r="L79" s="110"/>
      <c r="M79" s="110"/>
      <c r="N79" s="110"/>
      <c r="O79" s="110"/>
      <c r="P79" s="110"/>
      <c r="Q79" s="107"/>
      <c r="R79" s="112"/>
      <c r="S79" s="113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</row>
    <row r="80" ht="12.75" customHeight="1">
      <c r="A80" s="79"/>
      <c r="B80" s="105"/>
      <c r="C80" s="106"/>
      <c r="D80" s="106"/>
      <c r="E80" s="107"/>
      <c r="F80" s="107"/>
      <c r="G80" s="108"/>
      <c r="H80" s="109"/>
      <c r="I80" s="109"/>
      <c r="J80" s="110"/>
      <c r="K80" s="110"/>
      <c r="L80" s="110"/>
      <c r="M80" s="110"/>
      <c r="N80" s="110"/>
      <c r="O80" s="110"/>
      <c r="P80" s="110"/>
      <c r="Q80" s="107"/>
      <c r="R80" s="112"/>
      <c r="S80" s="113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</row>
    <row r="81" ht="12.75" customHeight="1">
      <c r="A81" s="79"/>
      <c r="B81" s="105"/>
      <c r="C81" s="106"/>
      <c r="D81" s="106"/>
      <c r="E81" s="107"/>
      <c r="F81" s="107"/>
      <c r="G81" s="108"/>
      <c r="H81" s="109"/>
      <c r="I81" s="109"/>
      <c r="J81" s="110"/>
      <c r="K81" s="110"/>
      <c r="L81" s="110"/>
      <c r="M81" s="110"/>
      <c r="N81" s="110"/>
      <c r="O81" s="110"/>
      <c r="P81" s="110"/>
      <c r="Q81" s="107"/>
      <c r="R81" s="112"/>
      <c r="S81" s="113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</row>
    <row r="82" ht="12.75" customHeight="1">
      <c r="A82" s="79"/>
      <c r="B82" s="105"/>
      <c r="C82" s="106"/>
      <c r="D82" s="106"/>
      <c r="E82" s="107"/>
      <c r="F82" s="107"/>
      <c r="G82" s="108"/>
      <c r="H82" s="109"/>
      <c r="I82" s="109"/>
      <c r="J82" s="110"/>
      <c r="K82" s="110"/>
      <c r="L82" s="110"/>
      <c r="M82" s="110"/>
      <c r="N82" s="110"/>
      <c r="O82" s="110"/>
      <c r="P82" s="110"/>
      <c r="Q82" s="107"/>
      <c r="R82" s="112"/>
      <c r="S82" s="113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</row>
    <row r="83" ht="12.75" customHeight="1">
      <c r="A83" s="79"/>
      <c r="B83" s="105"/>
      <c r="C83" s="106"/>
      <c r="D83" s="106"/>
      <c r="E83" s="107"/>
      <c r="F83" s="107"/>
      <c r="G83" s="108"/>
      <c r="H83" s="109"/>
      <c r="I83" s="109"/>
      <c r="J83" s="110"/>
      <c r="K83" s="110"/>
      <c r="L83" s="110"/>
      <c r="M83" s="110"/>
      <c r="N83" s="110"/>
      <c r="O83" s="110"/>
      <c r="P83" s="110"/>
      <c r="Q83" s="107"/>
      <c r="R83" s="112"/>
      <c r="S83" s="113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</row>
    <row r="84" ht="12.75" customHeight="1">
      <c r="A84" s="79"/>
      <c r="B84" s="105"/>
      <c r="C84" s="106"/>
      <c r="D84" s="106"/>
      <c r="E84" s="107"/>
      <c r="F84" s="107"/>
      <c r="G84" s="108"/>
      <c r="H84" s="109"/>
      <c r="I84" s="109"/>
      <c r="J84" s="110"/>
      <c r="K84" s="110"/>
      <c r="L84" s="110"/>
      <c r="M84" s="110"/>
      <c r="N84" s="110"/>
      <c r="O84" s="110"/>
      <c r="P84" s="110"/>
      <c r="Q84" s="107"/>
      <c r="R84" s="112"/>
      <c r="S84" s="113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</row>
    <row r="85" ht="12.75" customHeight="1">
      <c r="A85" s="79"/>
      <c r="B85" s="105"/>
      <c r="C85" s="106"/>
      <c r="D85" s="106"/>
      <c r="E85" s="107"/>
      <c r="F85" s="107"/>
      <c r="G85" s="108"/>
      <c r="H85" s="109"/>
      <c r="I85" s="109"/>
      <c r="J85" s="110"/>
      <c r="K85" s="110"/>
      <c r="L85" s="110"/>
      <c r="M85" s="110"/>
      <c r="N85" s="110"/>
      <c r="O85" s="110"/>
      <c r="P85" s="110"/>
      <c r="Q85" s="107"/>
      <c r="R85" s="112"/>
      <c r="S85" s="113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</row>
    <row r="86" ht="12.75" customHeight="1">
      <c r="A86" s="79"/>
      <c r="B86" s="105"/>
      <c r="C86" s="106"/>
      <c r="D86" s="106"/>
      <c r="E86" s="107"/>
      <c r="F86" s="107"/>
      <c r="G86" s="108"/>
      <c r="H86" s="109"/>
      <c r="I86" s="109"/>
      <c r="J86" s="110"/>
      <c r="K86" s="110"/>
      <c r="L86" s="110"/>
      <c r="M86" s="110"/>
      <c r="N86" s="110"/>
      <c r="O86" s="110"/>
      <c r="P86" s="110"/>
      <c r="Q86" s="107"/>
      <c r="R86" s="112"/>
      <c r="S86" s="113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</row>
    <row r="87" ht="12.75" customHeight="1">
      <c r="A87" s="79"/>
      <c r="B87" s="105"/>
      <c r="C87" s="106"/>
      <c r="D87" s="106"/>
      <c r="E87" s="107"/>
      <c r="F87" s="107"/>
      <c r="G87" s="108"/>
      <c r="H87" s="109"/>
      <c r="I87" s="109"/>
      <c r="J87" s="110"/>
      <c r="K87" s="110"/>
      <c r="L87" s="110"/>
      <c r="M87" s="110"/>
      <c r="N87" s="110"/>
      <c r="O87" s="110"/>
      <c r="P87" s="110"/>
      <c r="Q87" s="107"/>
      <c r="R87" s="112"/>
      <c r="S87" s="113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</row>
    <row r="88" ht="12.75" customHeight="1">
      <c r="A88" s="79"/>
      <c r="B88" s="105"/>
      <c r="C88" s="106"/>
      <c r="D88" s="106"/>
      <c r="E88" s="107"/>
      <c r="F88" s="107"/>
      <c r="G88" s="108"/>
      <c r="H88" s="109"/>
      <c r="I88" s="109"/>
      <c r="J88" s="110"/>
      <c r="K88" s="110"/>
      <c r="L88" s="110"/>
      <c r="M88" s="110"/>
      <c r="N88" s="110"/>
      <c r="O88" s="110"/>
      <c r="P88" s="110"/>
      <c r="Q88" s="107"/>
      <c r="R88" s="112"/>
      <c r="S88" s="113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</row>
    <row r="89" ht="9.75" customHeight="1">
      <c r="A89" s="79"/>
      <c r="B89" s="105"/>
      <c r="C89" s="106"/>
      <c r="D89" s="106"/>
      <c r="E89" s="107"/>
      <c r="F89" s="107"/>
      <c r="G89" s="108"/>
      <c r="H89" s="109"/>
      <c r="I89" s="109"/>
      <c r="J89" s="110"/>
      <c r="K89" s="110"/>
      <c r="L89" s="110"/>
      <c r="M89" s="110"/>
      <c r="N89" s="110"/>
      <c r="O89" s="110"/>
      <c r="P89" s="110"/>
      <c r="Q89" s="107"/>
      <c r="R89" s="112"/>
      <c r="S89" s="113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</row>
    <row r="90" ht="12.75" customHeight="1">
      <c r="A90" s="79"/>
      <c r="B90" s="105"/>
      <c r="C90" s="106"/>
      <c r="D90" s="106"/>
      <c r="E90" s="107"/>
      <c r="F90" s="107"/>
      <c r="G90" s="108"/>
      <c r="H90" s="109"/>
      <c r="I90" s="109"/>
      <c r="J90" s="110"/>
      <c r="K90" s="110"/>
      <c r="L90" s="110"/>
      <c r="M90" s="110"/>
      <c r="N90" s="110"/>
      <c r="O90" s="110"/>
      <c r="P90" s="110"/>
      <c r="Q90" s="107"/>
      <c r="R90" s="112"/>
      <c r="S90" s="113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</row>
    <row r="91" ht="12.75" customHeight="1">
      <c r="A91" s="79"/>
      <c r="B91" s="105"/>
      <c r="C91" s="106"/>
      <c r="D91" s="106"/>
      <c r="E91" s="107"/>
      <c r="F91" s="107"/>
      <c r="G91" s="108"/>
      <c r="H91" s="109"/>
      <c r="I91" s="109"/>
      <c r="J91" s="110"/>
      <c r="K91" s="110"/>
      <c r="L91" s="110"/>
      <c r="M91" s="110"/>
      <c r="N91" s="110"/>
      <c r="O91" s="110"/>
      <c r="P91" s="110"/>
      <c r="Q91" s="107"/>
      <c r="R91" s="112"/>
      <c r="S91" s="113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</row>
    <row r="92" ht="12.75" customHeight="1">
      <c r="A92" s="79"/>
      <c r="B92" s="105"/>
      <c r="C92" s="106"/>
      <c r="D92" s="106"/>
      <c r="E92" s="107"/>
      <c r="F92" s="107"/>
      <c r="G92" s="108"/>
      <c r="H92" s="109"/>
      <c r="I92" s="109"/>
      <c r="J92" s="110"/>
      <c r="K92" s="110"/>
      <c r="L92" s="110"/>
      <c r="M92" s="110"/>
      <c r="N92" s="110"/>
      <c r="O92" s="110"/>
      <c r="P92" s="110"/>
      <c r="Q92" s="107"/>
      <c r="R92" s="112"/>
      <c r="S92" s="113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</row>
    <row r="93" ht="12.75" customHeight="1">
      <c r="A93" s="79"/>
      <c r="B93" s="105"/>
      <c r="C93" s="106"/>
      <c r="D93" s="106"/>
      <c r="E93" s="107"/>
      <c r="F93" s="107"/>
      <c r="G93" s="108"/>
      <c r="H93" s="109"/>
      <c r="I93" s="109"/>
      <c r="J93" s="110"/>
      <c r="K93" s="110"/>
      <c r="L93" s="110"/>
      <c r="M93" s="110"/>
      <c r="N93" s="110"/>
      <c r="O93" s="110"/>
      <c r="P93" s="110"/>
      <c r="Q93" s="107"/>
      <c r="R93" s="112"/>
      <c r="S93" s="113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</row>
    <row r="94" ht="12.75" customHeight="1">
      <c r="A94" s="79"/>
      <c r="B94" s="105"/>
      <c r="C94" s="106"/>
      <c r="D94" s="106"/>
      <c r="E94" s="107"/>
      <c r="F94" s="107"/>
      <c r="G94" s="108"/>
      <c r="H94" s="109"/>
      <c r="I94" s="109"/>
      <c r="J94" s="110"/>
      <c r="K94" s="110"/>
      <c r="L94" s="110"/>
      <c r="M94" s="110"/>
      <c r="N94" s="110"/>
      <c r="O94" s="110"/>
      <c r="P94" s="110"/>
      <c r="Q94" s="107"/>
      <c r="R94" s="112"/>
      <c r="S94" s="113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</row>
    <row r="95" ht="12.75" customHeight="1">
      <c r="A95" s="79"/>
      <c r="B95" s="105"/>
      <c r="C95" s="106"/>
      <c r="D95" s="106"/>
      <c r="E95" s="107"/>
      <c r="F95" s="107"/>
      <c r="G95" s="108"/>
      <c r="H95" s="109"/>
      <c r="I95" s="109"/>
      <c r="J95" s="110"/>
      <c r="K95" s="110"/>
      <c r="L95" s="110"/>
      <c r="M95" s="110"/>
      <c r="N95" s="110"/>
      <c r="O95" s="110"/>
      <c r="P95" s="110"/>
      <c r="Q95" s="107"/>
      <c r="R95" s="112"/>
      <c r="S95" s="113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</row>
    <row r="96" ht="12.75" customHeight="1">
      <c r="A96" s="79"/>
      <c r="B96" s="105"/>
      <c r="C96" s="106"/>
      <c r="D96" s="106"/>
      <c r="E96" s="107"/>
      <c r="F96" s="107"/>
      <c r="G96" s="108"/>
      <c r="H96" s="109"/>
      <c r="I96" s="109"/>
      <c r="J96" s="110"/>
      <c r="K96" s="110"/>
      <c r="L96" s="110"/>
      <c r="M96" s="110"/>
      <c r="N96" s="110"/>
      <c r="O96" s="110"/>
      <c r="P96" s="110"/>
      <c r="Q96" s="107"/>
      <c r="R96" s="112"/>
      <c r="S96" s="113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</row>
    <row r="97" ht="12.75" customHeight="1">
      <c r="A97" s="79"/>
      <c r="B97" s="105"/>
      <c r="C97" s="106"/>
      <c r="D97" s="106"/>
      <c r="E97" s="107"/>
      <c r="F97" s="107"/>
      <c r="G97" s="108"/>
      <c r="H97" s="109"/>
      <c r="I97" s="109"/>
      <c r="J97" s="110"/>
      <c r="K97" s="110"/>
      <c r="L97" s="110"/>
      <c r="M97" s="110"/>
      <c r="N97" s="110"/>
      <c r="O97" s="110"/>
      <c r="P97" s="110"/>
      <c r="Q97" s="107"/>
      <c r="R97" s="112"/>
      <c r="S97" s="113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</row>
    <row r="98" ht="12.75" customHeight="1">
      <c r="A98" s="79"/>
      <c r="B98" s="105"/>
      <c r="C98" s="106"/>
      <c r="D98" s="106"/>
      <c r="E98" s="107"/>
      <c r="F98" s="107"/>
      <c r="G98" s="108"/>
      <c r="H98" s="109"/>
      <c r="I98" s="109"/>
      <c r="J98" s="110"/>
      <c r="K98" s="110"/>
      <c r="L98" s="110"/>
      <c r="M98" s="110"/>
      <c r="N98" s="110"/>
      <c r="O98" s="110"/>
      <c r="P98" s="110"/>
      <c r="Q98" s="107"/>
      <c r="R98" s="112"/>
      <c r="S98" s="113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</row>
    <row r="99" ht="12.75" customHeight="1">
      <c r="A99" s="79"/>
      <c r="B99" s="105"/>
      <c r="C99" s="106"/>
      <c r="D99" s="106"/>
      <c r="E99" s="107"/>
      <c r="F99" s="107"/>
      <c r="G99" s="108"/>
      <c r="H99" s="109"/>
      <c r="I99" s="109"/>
      <c r="J99" s="110"/>
      <c r="K99" s="110"/>
      <c r="L99" s="110"/>
      <c r="M99" s="110"/>
      <c r="N99" s="110"/>
      <c r="O99" s="110"/>
      <c r="P99" s="110"/>
      <c r="Q99" s="107"/>
      <c r="R99" s="112"/>
      <c r="S99" s="113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</row>
    <row r="100" ht="12.75" customHeight="1">
      <c r="A100" s="79"/>
      <c r="B100" s="105"/>
      <c r="C100" s="106"/>
      <c r="D100" s="106"/>
      <c r="E100" s="107"/>
      <c r="F100" s="107"/>
      <c r="G100" s="108"/>
      <c r="H100" s="109"/>
      <c r="I100" s="109"/>
      <c r="J100" s="110"/>
      <c r="K100" s="110"/>
      <c r="L100" s="110"/>
      <c r="M100" s="110"/>
      <c r="N100" s="110"/>
      <c r="O100" s="110"/>
      <c r="P100" s="110"/>
      <c r="Q100" s="107"/>
      <c r="R100" s="112"/>
      <c r="S100" s="113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</row>
    <row r="101" ht="12.75" customHeight="1">
      <c r="A101" s="79"/>
      <c r="B101" s="105"/>
      <c r="C101" s="106"/>
      <c r="D101" s="106"/>
      <c r="E101" s="107"/>
      <c r="F101" s="107"/>
      <c r="G101" s="108"/>
      <c r="H101" s="109"/>
      <c r="I101" s="109"/>
      <c r="J101" s="110"/>
      <c r="K101" s="110"/>
      <c r="L101" s="110"/>
      <c r="M101" s="110"/>
      <c r="N101" s="110"/>
      <c r="O101" s="110"/>
      <c r="P101" s="110"/>
      <c r="Q101" s="107"/>
      <c r="R101" s="112"/>
      <c r="S101" s="113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</row>
    <row r="102" ht="12.75" customHeight="1">
      <c r="A102" s="79"/>
      <c r="B102" s="105"/>
      <c r="C102" s="106"/>
      <c r="D102" s="106"/>
      <c r="E102" s="107"/>
      <c r="F102" s="107"/>
      <c r="G102" s="108"/>
      <c r="H102" s="109"/>
      <c r="I102" s="109"/>
      <c r="J102" s="110"/>
      <c r="K102" s="110"/>
      <c r="L102" s="110"/>
      <c r="M102" s="110"/>
      <c r="N102" s="110"/>
      <c r="O102" s="110"/>
      <c r="P102" s="110"/>
      <c r="Q102" s="107"/>
      <c r="R102" s="112"/>
      <c r="S102" s="113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</row>
    <row r="103" ht="12.75" customHeight="1">
      <c r="A103" s="79"/>
      <c r="B103" s="105"/>
      <c r="C103" s="106"/>
      <c r="D103" s="106"/>
      <c r="E103" s="107"/>
      <c r="F103" s="107"/>
      <c r="G103" s="108"/>
      <c r="H103" s="109"/>
      <c r="I103" s="109"/>
      <c r="J103" s="110"/>
      <c r="K103" s="110"/>
      <c r="L103" s="110"/>
      <c r="M103" s="110"/>
      <c r="N103" s="110"/>
      <c r="O103" s="110"/>
      <c r="P103" s="110"/>
      <c r="Q103" s="107"/>
      <c r="R103" s="112"/>
      <c r="S103" s="113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</row>
    <row r="104" ht="12.75" customHeight="1">
      <c r="A104" s="79"/>
      <c r="B104" s="105"/>
      <c r="C104" s="106"/>
      <c r="D104" s="106"/>
      <c r="E104" s="107"/>
      <c r="F104" s="107"/>
      <c r="G104" s="108"/>
      <c r="H104" s="109"/>
      <c r="I104" s="109"/>
      <c r="J104" s="110"/>
      <c r="K104" s="110"/>
      <c r="L104" s="110"/>
      <c r="M104" s="110"/>
      <c r="N104" s="110"/>
      <c r="O104" s="110"/>
      <c r="P104" s="110"/>
      <c r="Q104" s="107"/>
      <c r="R104" s="112"/>
      <c r="S104" s="113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</row>
    <row r="105" ht="12.75" customHeight="1">
      <c r="A105" s="79"/>
      <c r="B105" s="105"/>
      <c r="C105" s="106"/>
      <c r="D105" s="106"/>
      <c r="E105" s="107"/>
      <c r="F105" s="107"/>
      <c r="G105" s="108"/>
      <c r="H105" s="109"/>
      <c r="I105" s="109"/>
      <c r="J105" s="110"/>
      <c r="K105" s="110"/>
      <c r="L105" s="110"/>
      <c r="M105" s="110"/>
      <c r="N105" s="110"/>
      <c r="O105" s="110"/>
      <c r="P105" s="110"/>
      <c r="Q105" s="107"/>
      <c r="R105" s="112"/>
      <c r="S105" s="113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</row>
    <row r="106" ht="12.75" customHeight="1">
      <c r="A106" s="79"/>
      <c r="B106" s="105"/>
      <c r="C106" s="106"/>
      <c r="D106" s="106"/>
      <c r="E106" s="107"/>
      <c r="F106" s="107"/>
      <c r="G106" s="108"/>
      <c r="H106" s="109"/>
      <c r="I106" s="109"/>
      <c r="J106" s="110"/>
      <c r="K106" s="110"/>
      <c r="L106" s="110"/>
      <c r="M106" s="110"/>
      <c r="N106" s="110"/>
      <c r="O106" s="110"/>
      <c r="P106" s="110"/>
      <c r="Q106" s="107"/>
      <c r="R106" s="112"/>
      <c r="S106" s="113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</row>
    <row r="107" ht="12.75" customHeight="1">
      <c r="A107" s="79"/>
      <c r="B107" s="105"/>
      <c r="C107" s="106"/>
      <c r="D107" s="106"/>
      <c r="E107" s="107"/>
      <c r="F107" s="107"/>
      <c r="G107" s="108"/>
      <c r="H107" s="109"/>
      <c r="I107" s="109"/>
      <c r="J107" s="110"/>
      <c r="K107" s="110"/>
      <c r="L107" s="110"/>
      <c r="M107" s="110"/>
      <c r="N107" s="110"/>
      <c r="O107" s="110"/>
      <c r="P107" s="110"/>
      <c r="Q107" s="107"/>
      <c r="R107" s="112"/>
      <c r="S107" s="113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</row>
    <row r="108" ht="12.75" customHeight="1">
      <c r="A108" s="79"/>
      <c r="B108" s="105"/>
      <c r="C108" s="106"/>
      <c r="D108" s="106"/>
      <c r="E108" s="107"/>
      <c r="F108" s="107"/>
      <c r="G108" s="108"/>
      <c r="H108" s="109"/>
      <c r="I108" s="109"/>
      <c r="J108" s="110"/>
      <c r="K108" s="110"/>
      <c r="L108" s="110"/>
      <c r="M108" s="110"/>
      <c r="N108" s="110"/>
      <c r="O108" s="110"/>
      <c r="P108" s="110"/>
      <c r="Q108" s="107"/>
      <c r="R108" s="112"/>
      <c r="S108" s="113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</row>
    <row r="109" ht="12.75" customHeight="1">
      <c r="A109" s="79"/>
      <c r="B109" s="105"/>
      <c r="C109" s="106"/>
      <c r="D109" s="106"/>
      <c r="E109" s="107"/>
      <c r="F109" s="107"/>
      <c r="G109" s="108"/>
      <c r="H109" s="109"/>
      <c r="I109" s="109"/>
      <c r="J109" s="110"/>
      <c r="K109" s="110"/>
      <c r="L109" s="110"/>
      <c r="M109" s="110"/>
      <c r="N109" s="110"/>
      <c r="O109" s="110"/>
      <c r="P109" s="110"/>
      <c r="Q109" s="107"/>
      <c r="R109" s="112"/>
      <c r="S109" s="113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</row>
    <row r="110" ht="12.75" customHeight="1">
      <c r="A110" s="79"/>
      <c r="B110" s="105"/>
      <c r="C110" s="106"/>
      <c r="D110" s="106"/>
      <c r="E110" s="107"/>
      <c r="F110" s="107"/>
      <c r="G110" s="108"/>
      <c r="H110" s="109"/>
      <c r="I110" s="109"/>
      <c r="J110" s="110"/>
      <c r="K110" s="110"/>
      <c r="L110" s="110"/>
      <c r="M110" s="110"/>
      <c r="N110" s="110"/>
      <c r="O110" s="110"/>
      <c r="P110" s="110"/>
      <c r="Q110" s="107"/>
      <c r="R110" s="112"/>
      <c r="S110" s="113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</row>
    <row r="111" ht="12.75" customHeight="1">
      <c r="A111" s="79"/>
      <c r="B111" s="105"/>
      <c r="C111" s="106"/>
      <c r="D111" s="106"/>
      <c r="E111" s="107"/>
      <c r="F111" s="107"/>
      <c r="G111" s="108"/>
      <c r="H111" s="109"/>
      <c r="I111" s="109"/>
      <c r="J111" s="110"/>
      <c r="K111" s="110"/>
      <c r="L111" s="110"/>
      <c r="M111" s="110"/>
      <c r="N111" s="110"/>
      <c r="O111" s="110"/>
      <c r="P111" s="110"/>
      <c r="Q111" s="107"/>
      <c r="R111" s="112"/>
      <c r="S111" s="113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</row>
    <row r="112" ht="12.75" customHeight="1">
      <c r="A112" s="79"/>
      <c r="B112" s="105"/>
      <c r="C112" s="106"/>
      <c r="D112" s="106"/>
      <c r="E112" s="107"/>
      <c r="F112" s="107"/>
      <c r="G112" s="108"/>
      <c r="H112" s="109"/>
      <c r="I112" s="109"/>
      <c r="J112" s="110"/>
      <c r="K112" s="110"/>
      <c r="L112" s="110"/>
      <c r="M112" s="110"/>
      <c r="N112" s="110"/>
      <c r="O112" s="110"/>
      <c r="P112" s="110"/>
      <c r="Q112" s="107"/>
      <c r="R112" s="112"/>
      <c r="S112" s="113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</row>
    <row r="113" ht="12.75" customHeight="1">
      <c r="A113" s="79"/>
      <c r="B113" s="105"/>
      <c r="C113" s="106"/>
      <c r="D113" s="106"/>
      <c r="E113" s="107"/>
      <c r="F113" s="107"/>
      <c r="G113" s="108"/>
      <c r="H113" s="109"/>
      <c r="I113" s="109"/>
      <c r="J113" s="110"/>
      <c r="K113" s="110"/>
      <c r="L113" s="110"/>
      <c r="M113" s="110"/>
      <c r="N113" s="110"/>
      <c r="O113" s="110"/>
      <c r="P113" s="110"/>
      <c r="Q113" s="107"/>
      <c r="R113" s="112"/>
      <c r="S113" s="113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</row>
    <row r="114" ht="12.75" customHeight="1">
      <c r="A114" s="79"/>
      <c r="B114" s="105"/>
      <c r="C114" s="106"/>
      <c r="D114" s="106"/>
      <c r="E114" s="107"/>
      <c r="F114" s="107"/>
      <c r="G114" s="108"/>
      <c r="H114" s="109"/>
      <c r="I114" s="109"/>
      <c r="J114" s="110"/>
      <c r="K114" s="110"/>
      <c r="L114" s="110"/>
      <c r="M114" s="110"/>
      <c r="N114" s="110"/>
      <c r="O114" s="110"/>
      <c r="P114" s="110"/>
      <c r="Q114" s="107"/>
      <c r="R114" s="112"/>
      <c r="S114" s="113"/>
      <c r="T114" s="95"/>
      <c r="U114" s="116" t="s">
        <v>197</v>
      </c>
      <c r="V114" s="116" t="s">
        <v>198</v>
      </c>
      <c r="W114" s="116" t="s">
        <v>199</v>
      </c>
      <c r="X114" s="117"/>
      <c r="Y114" s="117"/>
      <c r="Z114" s="118"/>
      <c r="AA114" s="118"/>
      <c r="AB114" s="118"/>
      <c r="AC114" s="118"/>
      <c r="AD114" s="118"/>
      <c r="AE114" s="118"/>
      <c r="AF114" s="118"/>
      <c r="AG114" s="119">
        <v>30.0</v>
      </c>
      <c r="AH114" s="120" t="s">
        <v>200</v>
      </c>
      <c r="AI114" s="121"/>
      <c r="AJ114" s="122" t="s">
        <v>201</v>
      </c>
      <c r="AK114" s="118"/>
    </row>
    <row r="115" ht="12.75" customHeight="1">
      <c r="A115" s="79"/>
      <c r="B115" s="105"/>
      <c r="C115" s="106"/>
      <c r="D115" s="106"/>
      <c r="E115" s="107"/>
      <c r="F115" s="107"/>
      <c r="G115" s="108"/>
      <c r="H115" s="109"/>
      <c r="I115" s="109"/>
      <c r="J115" s="110"/>
      <c r="K115" s="110"/>
      <c r="L115" s="110"/>
      <c r="M115" s="110"/>
      <c r="N115" s="110"/>
      <c r="O115" s="110"/>
      <c r="P115" s="110"/>
      <c r="Q115" s="107"/>
      <c r="R115" s="112"/>
      <c r="S115" s="113"/>
      <c r="T115" s="95"/>
      <c r="U115" s="116" t="s">
        <v>202</v>
      </c>
      <c r="V115" s="116" t="s">
        <v>198</v>
      </c>
      <c r="W115" s="116" t="s">
        <v>203</v>
      </c>
      <c r="X115" s="117"/>
      <c r="Y115" s="117"/>
      <c r="Z115" s="118"/>
      <c r="AA115" s="118"/>
      <c r="AB115" s="118"/>
      <c r="AC115" s="118"/>
      <c r="AD115" s="118"/>
      <c r="AE115" s="118"/>
      <c r="AF115" s="118"/>
      <c r="AG115" s="119">
        <v>31.0</v>
      </c>
      <c r="AH115" s="120" t="s">
        <v>204</v>
      </c>
      <c r="AI115" s="121"/>
      <c r="AJ115" s="122" t="s">
        <v>201</v>
      </c>
      <c r="AK115" s="118"/>
    </row>
    <row r="116" ht="12.75" customHeight="1">
      <c r="A116" s="79"/>
      <c r="B116" s="105"/>
      <c r="C116" s="106"/>
      <c r="D116" s="106"/>
      <c r="E116" s="107"/>
      <c r="F116" s="107"/>
      <c r="G116" s="108"/>
      <c r="H116" s="109"/>
      <c r="I116" s="109"/>
      <c r="J116" s="110"/>
      <c r="K116" s="110"/>
      <c r="L116" s="110"/>
      <c r="M116" s="110"/>
      <c r="N116" s="110"/>
      <c r="O116" s="110"/>
      <c r="P116" s="110"/>
      <c r="Q116" s="107"/>
      <c r="R116" s="112"/>
      <c r="S116" s="113"/>
      <c r="T116" s="95"/>
      <c r="U116" s="116" t="s">
        <v>205</v>
      </c>
      <c r="V116" s="116" t="s">
        <v>198</v>
      </c>
      <c r="W116" s="116" t="s">
        <v>206</v>
      </c>
      <c r="X116" s="117"/>
      <c r="Y116" s="117"/>
      <c r="Z116" s="118"/>
      <c r="AA116" s="118"/>
      <c r="AB116" s="118"/>
      <c r="AC116" s="118"/>
      <c r="AD116" s="118"/>
      <c r="AE116" s="118"/>
      <c r="AF116" s="118"/>
      <c r="AG116" s="119">
        <v>32.0</v>
      </c>
      <c r="AH116" s="120" t="s">
        <v>207</v>
      </c>
      <c r="AI116" s="121"/>
      <c r="AJ116" s="122" t="s">
        <v>208</v>
      </c>
      <c r="AK116" s="118"/>
    </row>
    <row r="117" ht="12.75" customHeight="1">
      <c r="A117" s="79"/>
      <c r="B117" s="105"/>
      <c r="C117" s="106"/>
      <c r="D117" s="106"/>
      <c r="E117" s="107"/>
      <c r="F117" s="107"/>
      <c r="G117" s="108"/>
      <c r="H117" s="109"/>
      <c r="I117" s="109"/>
      <c r="J117" s="110"/>
      <c r="K117" s="110"/>
      <c r="L117" s="110"/>
      <c r="M117" s="110"/>
      <c r="N117" s="110"/>
      <c r="O117" s="110"/>
      <c r="P117" s="110"/>
      <c r="Q117" s="107"/>
      <c r="R117" s="112"/>
      <c r="S117" s="113"/>
      <c r="T117" s="95"/>
      <c r="U117" s="123" t="s">
        <v>209</v>
      </c>
      <c r="V117" s="123" t="s">
        <v>198</v>
      </c>
      <c r="W117" s="123" t="s">
        <v>210</v>
      </c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9">
        <v>24.0</v>
      </c>
      <c r="AH117" s="120" t="s">
        <v>211</v>
      </c>
      <c r="AI117" s="121"/>
      <c r="AJ117" s="122" t="s">
        <v>201</v>
      </c>
      <c r="AK117" s="118"/>
    </row>
    <row r="118" ht="12.75" customHeight="1">
      <c r="A118" s="79"/>
      <c r="B118" s="105"/>
      <c r="C118" s="106"/>
      <c r="D118" s="106"/>
      <c r="E118" s="107"/>
      <c r="F118" s="107"/>
      <c r="G118" s="108"/>
      <c r="H118" s="109"/>
      <c r="I118" s="109"/>
      <c r="J118" s="110"/>
      <c r="K118" s="110"/>
      <c r="L118" s="110"/>
      <c r="M118" s="110"/>
      <c r="N118" s="110"/>
      <c r="O118" s="110"/>
      <c r="P118" s="110"/>
      <c r="Q118" s="107"/>
      <c r="R118" s="112"/>
      <c r="S118" s="113"/>
      <c r="T118" s="95"/>
      <c r="U118" s="123" t="s">
        <v>212</v>
      </c>
      <c r="V118" s="123" t="s">
        <v>198</v>
      </c>
      <c r="W118" s="123" t="s">
        <v>213</v>
      </c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9">
        <v>25.0</v>
      </c>
      <c r="AH118" s="120" t="s">
        <v>214</v>
      </c>
      <c r="AI118" s="121"/>
      <c r="AJ118" s="122" t="s">
        <v>201</v>
      </c>
      <c r="AK118" s="118"/>
    </row>
    <row r="119" ht="12.75" customHeight="1">
      <c r="A119" s="79"/>
      <c r="B119" s="105"/>
      <c r="C119" s="106"/>
      <c r="D119" s="106"/>
      <c r="E119" s="107"/>
      <c r="F119" s="107"/>
      <c r="G119" s="108"/>
      <c r="H119" s="109"/>
      <c r="I119" s="109"/>
      <c r="J119" s="110"/>
      <c r="K119" s="110"/>
      <c r="L119" s="110"/>
      <c r="M119" s="110"/>
      <c r="N119" s="110"/>
      <c r="O119" s="110"/>
      <c r="P119" s="110"/>
      <c r="Q119" s="107"/>
      <c r="R119" s="112"/>
      <c r="S119" s="113"/>
      <c r="T119" s="95"/>
      <c r="U119" s="123" t="s">
        <v>215</v>
      </c>
      <c r="V119" s="123" t="s">
        <v>198</v>
      </c>
      <c r="W119" s="123" t="s">
        <v>216</v>
      </c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9">
        <v>26.0</v>
      </c>
      <c r="AH119" s="120" t="s">
        <v>217</v>
      </c>
      <c r="AI119" s="121"/>
      <c r="AJ119" s="122" t="s">
        <v>201</v>
      </c>
      <c r="AK119" s="118"/>
    </row>
    <row r="120" ht="12.75" customHeight="1">
      <c r="A120" s="79"/>
      <c r="B120" s="105"/>
      <c r="C120" s="106"/>
      <c r="D120" s="106"/>
      <c r="E120" s="107"/>
      <c r="F120" s="107"/>
      <c r="G120" s="108"/>
      <c r="H120" s="109"/>
      <c r="I120" s="109"/>
      <c r="J120" s="110"/>
      <c r="K120" s="110"/>
      <c r="L120" s="110"/>
      <c r="M120" s="110"/>
      <c r="N120" s="110"/>
      <c r="O120" s="110"/>
      <c r="P120" s="110"/>
      <c r="Q120" s="107"/>
      <c r="R120" s="112"/>
      <c r="S120" s="113"/>
      <c r="T120" s="95"/>
      <c r="U120" s="124" t="s">
        <v>218</v>
      </c>
      <c r="V120" s="124" t="s">
        <v>208</v>
      </c>
      <c r="W120" s="124" t="s">
        <v>219</v>
      </c>
      <c r="X120" s="118"/>
      <c r="Y120" s="118"/>
      <c r="Z120" s="118"/>
      <c r="AA120" s="118"/>
      <c r="AB120" s="118"/>
      <c r="AC120" s="118" t="s">
        <v>220</v>
      </c>
      <c r="AD120" s="118" t="str">
        <f t="shared" ref="AD120:AD122" si="1">+CONCATENATE("BLOQUE ",AC120)</f>
        <v>BLOQUE VI</v>
      </c>
      <c r="AE120" s="118"/>
      <c r="AF120" s="118"/>
      <c r="AG120" s="119">
        <v>3.0</v>
      </c>
      <c r="AH120" s="120" t="s">
        <v>221</v>
      </c>
      <c r="AI120" s="125" t="str">
        <f>K128+K151+#REF!+K262+K345</f>
        <v>#REF!</v>
      </c>
      <c r="AJ120" s="122" t="s">
        <v>201</v>
      </c>
      <c r="AK120" s="118"/>
    </row>
    <row r="121" ht="12.75" customHeight="1">
      <c r="A121" s="79"/>
      <c r="B121" s="105"/>
      <c r="C121" s="106"/>
      <c r="D121" s="106"/>
      <c r="E121" s="107"/>
      <c r="F121" s="107"/>
      <c r="G121" s="108"/>
      <c r="H121" s="109"/>
      <c r="I121" s="109"/>
      <c r="J121" s="110"/>
      <c r="K121" s="110"/>
      <c r="L121" s="110"/>
      <c r="M121" s="110"/>
      <c r="N121" s="110"/>
      <c r="O121" s="110"/>
      <c r="P121" s="110"/>
      <c r="Q121" s="107"/>
      <c r="R121" s="112"/>
      <c r="S121" s="113"/>
      <c r="T121" s="95"/>
      <c r="U121" s="126" t="s">
        <v>222</v>
      </c>
      <c r="V121" s="126" t="s">
        <v>208</v>
      </c>
      <c r="W121" s="126" t="s">
        <v>223</v>
      </c>
      <c r="X121" s="118"/>
      <c r="Y121" s="118"/>
      <c r="Z121" s="118"/>
      <c r="AA121" s="118"/>
      <c r="AB121" s="118"/>
      <c r="AC121" s="118" t="s">
        <v>224</v>
      </c>
      <c r="AD121" s="118" t="str">
        <f t="shared" si="1"/>
        <v>BLOQUE VII</v>
      </c>
      <c r="AE121" s="118"/>
      <c r="AF121" s="118"/>
      <c r="AG121" s="119">
        <v>4.0</v>
      </c>
      <c r="AH121" s="120" t="s">
        <v>225</v>
      </c>
      <c r="AI121" s="125">
        <f>K125+K154+K225+K265+K348</f>
        <v>0</v>
      </c>
      <c r="AJ121" s="122" t="s">
        <v>201</v>
      </c>
      <c r="AK121" s="118"/>
    </row>
    <row r="122" ht="12.75" customHeight="1">
      <c r="A122" s="79"/>
      <c r="B122" s="105"/>
      <c r="C122" s="106"/>
      <c r="D122" s="106"/>
      <c r="E122" s="107"/>
      <c r="F122" s="107"/>
      <c r="G122" s="108"/>
      <c r="H122" s="109"/>
      <c r="I122" s="109"/>
      <c r="J122" s="110"/>
      <c r="K122" s="110"/>
      <c r="L122" s="110"/>
      <c r="M122" s="110"/>
      <c r="N122" s="110"/>
      <c r="O122" s="110"/>
      <c r="P122" s="110"/>
      <c r="Q122" s="107"/>
      <c r="R122" s="112"/>
      <c r="S122" s="113"/>
      <c r="T122" s="95"/>
      <c r="U122" s="123" t="s">
        <v>226</v>
      </c>
      <c r="V122" s="123" t="s">
        <v>208</v>
      </c>
      <c r="W122" s="126" t="s">
        <v>227</v>
      </c>
      <c r="X122" s="127"/>
      <c r="Y122" s="127"/>
      <c r="Z122" s="118"/>
      <c r="AA122" s="118"/>
      <c r="AB122" s="118"/>
      <c r="AC122" s="118" t="s">
        <v>228</v>
      </c>
      <c r="AD122" s="118" t="str">
        <f t="shared" si="1"/>
        <v>BLOQUE VIII</v>
      </c>
      <c r="AE122" s="118"/>
      <c r="AF122" s="118"/>
      <c r="AG122" s="119">
        <v>5.0</v>
      </c>
      <c r="AH122" s="120" t="s">
        <v>229</v>
      </c>
      <c r="AI122" s="121"/>
      <c r="AJ122" s="122" t="s">
        <v>208</v>
      </c>
      <c r="AK122" s="118"/>
    </row>
    <row r="123" ht="12.75" customHeight="1">
      <c r="A123" s="79"/>
      <c r="B123" s="105"/>
      <c r="C123" s="106"/>
      <c r="D123" s="106"/>
      <c r="E123" s="107"/>
      <c r="F123" s="107"/>
      <c r="G123" s="108"/>
      <c r="H123" s="109"/>
      <c r="I123" s="109"/>
      <c r="J123" s="110"/>
      <c r="K123" s="110"/>
      <c r="L123" s="110"/>
      <c r="M123" s="110"/>
      <c r="N123" s="110"/>
      <c r="O123" s="110"/>
      <c r="P123" s="110"/>
      <c r="Q123" s="107"/>
      <c r="R123" s="112"/>
      <c r="S123" s="113"/>
      <c r="T123" s="95"/>
      <c r="U123" s="128" t="s">
        <v>230</v>
      </c>
      <c r="V123" s="128" t="s">
        <v>198</v>
      </c>
      <c r="W123" s="128" t="s">
        <v>231</v>
      </c>
      <c r="X123" s="117"/>
      <c r="Y123" s="117"/>
      <c r="Z123" s="118"/>
      <c r="AA123" s="118"/>
      <c r="AB123" s="118"/>
      <c r="AC123" s="118"/>
      <c r="AD123" s="118"/>
      <c r="AE123" s="118"/>
      <c r="AF123" s="118"/>
      <c r="AG123" s="119">
        <v>12.0</v>
      </c>
      <c r="AH123" s="120" t="s">
        <v>232</v>
      </c>
      <c r="AI123" s="121"/>
      <c r="AJ123" s="122" t="s">
        <v>201</v>
      </c>
      <c r="AK123" s="118"/>
    </row>
    <row r="124" ht="12.0" customHeight="1">
      <c r="A124" s="79"/>
      <c r="B124" s="105"/>
      <c r="C124" s="106"/>
      <c r="D124" s="106"/>
      <c r="E124" s="107"/>
      <c r="F124" s="107"/>
      <c r="G124" s="108"/>
      <c r="H124" s="109"/>
      <c r="I124" s="109"/>
      <c r="J124" s="110"/>
      <c r="K124" s="110"/>
      <c r="L124" s="110"/>
      <c r="M124" s="110"/>
      <c r="N124" s="110"/>
      <c r="O124" s="110"/>
      <c r="P124" s="110"/>
      <c r="Q124" s="107"/>
      <c r="R124" s="112"/>
      <c r="S124" s="113"/>
      <c r="T124" s="95"/>
      <c r="U124" s="128" t="s">
        <v>233</v>
      </c>
      <c r="V124" s="128" t="s">
        <v>198</v>
      </c>
      <c r="W124" s="128" t="s">
        <v>234</v>
      </c>
      <c r="X124" s="117"/>
      <c r="Y124" s="117"/>
      <c r="Z124" s="118"/>
      <c r="AA124" s="118"/>
      <c r="AB124" s="118"/>
      <c r="AC124" s="118"/>
      <c r="AD124" s="118"/>
      <c r="AE124" s="118"/>
      <c r="AF124" s="118"/>
      <c r="AG124" s="119">
        <v>13.0</v>
      </c>
      <c r="AH124" s="120" t="s">
        <v>235</v>
      </c>
      <c r="AI124" s="125">
        <f>K157+K228+K271+K351</f>
        <v>0</v>
      </c>
      <c r="AJ124" s="122" t="s">
        <v>201</v>
      </c>
      <c r="AK124" s="118"/>
    </row>
    <row r="125" ht="12.75" customHeight="1">
      <c r="A125" s="79"/>
      <c r="B125" s="105"/>
      <c r="C125" s="106"/>
      <c r="D125" s="106"/>
      <c r="E125" s="107"/>
      <c r="F125" s="107"/>
      <c r="G125" s="108"/>
      <c r="H125" s="109"/>
      <c r="I125" s="109"/>
      <c r="J125" s="110"/>
      <c r="K125" s="110"/>
      <c r="L125" s="110"/>
      <c r="M125" s="110"/>
      <c r="N125" s="110"/>
      <c r="O125" s="110"/>
      <c r="P125" s="110"/>
      <c r="Q125" s="107"/>
      <c r="R125" s="112"/>
      <c r="S125" s="113"/>
      <c r="T125" s="95"/>
      <c r="U125" s="123" t="s">
        <v>236</v>
      </c>
      <c r="V125" s="123" t="s">
        <v>198</v>
      </c>
      <c r="W125" s="123" t="s">
        <v>237</v>
      </c>
      <c r="X125" s="127"/>
      <c r="Y125" s="127"/>
      <c r="Z125" s="118"/>
      <c r="AA125" s="118"/>
      <c r="AB125" s="118"/>
      <c r="AC125" s="118"/>
      <c r="AD125" s="118"/>
      <c r="AE125" s="118"/>
      <c r="AF125" s="118"/>
      <c r="AG125" s="119">
        <v>14.0</v>
      </c>
      <c r="AH125" s="120" t="s">
        <v>238</v>
      </c>
      <c r="AI125" s="121"/>
      <c r="AJ125" s="122" t="s">
        <v>201</v>
      </c>
      <c r="AK125" s="118"/>
    </row>
    <row r="126" ht="12.75" customHeight="1">
      <c r="A126" s="79"/>
      <c r="B126" s="105"/>
      <c r="C126" s="106"/>
      <c r="D126" s="106"/>
      <c r="E126" s="107"/>
      <c r="F126" s="107"/>
      <c r="G126" s="108"/>
      <c r="H126" s="109"/>
      <c r="I126" s="109"/>
      <c r="J126" s="110"/>
      <c r="K126" s="110"/>
      <c r="L126" s="110"/>
      <c r="M126" s="110"/>
      <c r="N126" s="110"/>
      <c r="O126" s="110"/>
      <c r="P126" s="110"/>
      <c r="Q126" s="107"/>
      <c r="R126" s="112"/>
      <c r="S126" s="113"/>
      <c r="T126" s="95"/>
      <c r="U126" s="129" t="s">
        <v>239</v>
      </c>
      <c r="V126" s="129" t="s">
        <v>198</v>
      </c>
      <c r="W126" s="129" t="s">
        <v>240</v>
      </c>
      <c r="X126" s="130"/>
      <c r="Y126" s="130"/>
      <c r="Z126" s="118"/>
      <c r="AA126" s="118"/>
      <c r="AB126" s="118"/>
      <c r="AC126" s="118" t="s">
        <v>241</v>
      </c>
      <c r="AD126" s="118" t="str">
        <f>+CONCATENATE("BLOQUE ",AC126)</f>
        <v>BLOQUE XIV</v>
      </c>
      <c r="AE126" s="118"/>
      <c r="AF126" s="118"/>
      <c r="AG126" s="119">
        <v>9.0</v>
      </c>
      <c r="AH126" s="120" t="s">
        <v>242</v>
      </c>
      <c r="AI126" s="121"/>
      <c r="AJ126" s="122" t="s">
        <v>208</v>
      </c>
      <c r="AK126" s="118"/>
    </row>
    <row r="127" ht="12.75" customHeight="1">
      <c r="A127" s="79"/>
      <c r="B127" s="105"/>
      <c r="C127" s="106"/>
      <c r="D127" s="106"/>
      <c r="E127" s="107"/>
      <c r="F127" s="107"/>
      <c r="G127" s="108"/>
      <c r="H127" s="109"/>
      <c r="I127" s="109"/>
      <c r="J127" s="110"/>
      <c r="K127" s="110"/>
      <c r="L127" s="110"/>
      <c r="M127" s="110"/>
      <c r="N127" s="110"/>
      <c r="O127" s="110"/>
      <c r="P127" s="110"/>
      <c r="Q127" s="107"/>
      <c r="R127" s="112"/>
      <c r="S127" s="113"/>
      <c r="T127" s="95"/>
      <c r="U127" s="129" t="s">
        <v>243</v>
      </c>
      <c r="V127" s="129" t="s">
        <v>198</v>
      </c>
      <c r="W127" s="129" t="s">
        <v>244</v>
      </c>
      <c r="X127" s="130"/>
      <c r="Y127" s="130"/>
      <c r="Z127" s="118"/>
      <c r="AA127" s="118"/>
      <c r="AB127" s="118"/>
      <c r="AC127" s="118"/>
      <c r="AD127" s="118"/>
      <c r="AE127" s="118"/>
      <c r="AF127" s="118"/>
      <c r="AG127" s="119">
        <v>10.0</v>
      </c>
      <c r="AH127" s="120" t="s">
        <v>245</v>
      </c>
      <c r="AI127" s="121"/>
      <c r="AJ127" s="122" t="s">
        <v>208</v>
      </c>
      <c r="AK127" s="118"/>
    </row>
    <row r="128" ht="12.75" customHeight="1">
      <c r="A128" s="79"/>
      <c r="B128" s="105"/>
      <c r="C128" s="106"/>
      <c r="D128" s="106"/>
      <c r="E128" s="107"/>
      <c r="F128" s="107"/>
      <c r="G128" s="108"/>
      <c r="H128" s="109"/>
      <c r="I128" s="109"/>
      <c r="J128" s="110"/>
      <c r="K128" s="110"/>
      <c r="L128" s="110"/>
      <c r="M128" s="110"/>
      <c r="N128" s="110"/>
      <c r="O128" s="110"/>
      <c r="P128" s="110"/>
      <c r="Q128" s="107"/>
      <c r="R128" s="112"/>
      <c r="S128" s="113"/>
      <c r="T128" s="95"/>
      <c r="U128" s="128" t="s">
        <v>246</v>
      </c>
      <c r="V128" s="128" t="s">
        <v>198</v>
      </c>
      <c r="W128" s="128" t="s">
        <v>247</v>
      </c>
      <c r="X128" s="117"/>
      <c r="Y128" s="117"/>
      <c r="Z128" s="118"/>
      <c r="AA128" s="118"/>
      <c r="AB128" s="118"/>
      <c r="AC128" s="118"/>
      <c r="AD128" s="118"/>
      <c r="AE128" s="118"/>
      <c r="AF128" s="118"/>
      <c r="AG128" s="119">
        <v>11.0</v>
      </c>
      <c r="AH128" s="120" t="s">
        <v>248</v>
      </c>
      <c r="AI128" s="121"/>
      <c r="AJ128" s="122" t="s">
        <v>201</v>
      </c>
      <c r="AK128" s="118"/>
    </row>
    <row r="129" ht="12.75" customHeight="1">
      <c r="A129" s="79"/>
      <c r="B129" s="105"/>
      <c r="C129" s="106"/>
      <c r="D129" s="106"/>
      <c r="E129" s="107"/>
      <c r="F129" s="107"/>
      <c r="G129" s="108"/>
      <c r="H129" s="109"/>
      <c r="I129" s="109"/>
      <c r="J129" s="110"/>
      <c r="K129" s="110"/>
      <c r="L129" s="110"/>
      <c r="M129" s="110"/>
      <c r="N129" s="110"/>
      <c r="O129" s="110"/>
      <c r="P129" s="110"/>
      <c r="Q129" s="107"/>
      <c r="R129" s="112"/>
      <c r="S129" s="113"/>
      <c r="T129" s="95"/>
      <c r="U129" s="123" t="s">
        <v>249</v>
      </c>
      <c r="V129" s="123" t="s">
        <v>208</v>
      </c>
      <c r="W129" s="123" t="s">
        <v>250</v>
      </c>
      <c r="X129" s="127"/>
      <c r="Y129" s="127"/>
      <c r="Z129" s="118"/>
      <c r="AA129" s="118"/>
      <c r="AB129" s="118"/>
      <c r="AC129" s="118" t="s">
        <v>251</v>
      </c>
      <c r="AD129" s="118" t="str">
        <f t="shared" ref="AD129:AD131" si="2">+CONCATENATE("BLOQUE ",AC129)</f>
        <v>BLOQUE IX</v>
      </c>
      <c r="AE129" s="118"/>
      <c r="AF129" s="118"/>
      <c r="AG129" s="119">
        <v>6.0</v>
      </c>
      <c r="AH129" s="120" t="s">
        <v>252</v>
      </c>
      <c r="AI129" s="121"/>
      <c r="AJ129" s="122" t="s">
        <v>201</v>
      </c>
      <c r="AK129" s="118"/>
    </row>
    <row r="130" ht="12.75" customHeight="1">
      <c r="A130" s="79"/>
      <c r="B130" s="105"/>
      <c r="C130" s="106"/>
      <c r="D130" s="106"/>
      <c r="E130" s="107"/>
      <c r="F130" s="107"/>
      <c r="G130" s="108"/>
      <c r="H130" s="109"/>
      <c r="I130" s="109"/>
      <c r="J130" s="110"/>
      <c r="K130" s="110"/>
      <c r="L130" s="110"/>
      <c r="M130" s="110"/>
      <c r="N130" s="110"/>
      <c r="O130" s="110"/>
      <c r="P130" s="110"/>
      <c r="Q130" s="107"/>
      <c r="R130" s="112"/>
      <c r="S130" s="113"/>
      <c r="T130" s="95"/>
      <c r="U130" s="123" t="s">
        <v>253</v>
      </c>
      <c r="V130" s="123" t="s">
        <v>208</v>
      </c>
      <c r="W130" s="123" t="s">
        <v>254</v>
      </c>
      <c r="X130" s="127"/>
      <c r="Y130" s="127"/>
      <c r="Z130" s="118"/>
      <c r="AA130" s="118"/>
      <c r="AB130" s="118"/>
      <c r="AC130" s="118" t="s">
        <v>255</v>
      </c>
      <c r="AD130" s="118" t="str">
        <f t="shared" si="2"/>
        <v>BLOQUE X</v>
      </c>
      <c r="AE130" s="118"/>
      <c r="AF130" s="118"/>
      <c r="AG130" s="119">
        <v>7.0</v>
      </c>
      <c r="AH130" s="120" t="s">
        <v>256</v>
      </c>
      <c r="AI130" s="121"/>
      <c r="AJ130" s="122" t="s">
        <v>201</v>
      </c>
      <c r="AK130" s="118"/>
    </row>
    <row r="131" ht="12.75" customHeight="1">
      <c r="A131" s="79"/>
      <c r="B131" s="105"/>
      <c r="C131" s="106"/>
      <c r="D131" s="106"/>
      <c r="E131" s="107"/>
      <c r="F131" s="107"/>
      <c r="G131" s="108"/>
      <c r="H131" s="109"/>
      <c r="I131" s="109"/>
      <c r="J131" s="110"/>
      <c r="K131" s="110"/>
      <c r="L131" s="110"/>
      <c r="M131" s="110"/>
      <c r="N131" s="110"/>
      <c r="O131" s="110"/>
      <c r="P131" s="110"/>
      <c r="Q131" s="107"/>
      <c r="R131" s="112"/>
      <c r="S131" s="113"/>
      <c r="T131" s="95"/>
      <c r="U131" s="123" t="s">
        <v>257</v>
      </c>
      <c r="V131" s="123" t="s">
        <v>208</v>
      </c>
      <c r="W131" s="123" t="s">
        <v>258</v>
      </c>
      <c r="X131" s="127"/>
      <c r="Y131" s="127"/>
      <c r="Z131" s="118"/>
      <c r="AA131" s="118"/>
      <c r="AB131" s="118"/>
      <c r="AC131" s="118" t="s">
        <v>259</v>
      </c>
      <c r="AD131" s="118" t="str">
        <f t="shared" si="2"/>
        <v>BLOQUE XI</v>
      </c>
      <c r="AE131" s="118"/>
      <c r="AF131" s="118"/>
      <c r="AG131" s="119">
        <v>8.0</v>
      </c>
      <c r="AH131" s="120" t="s">
        <v>260</v>
      </c>
      <c r="AI131" s="121"/>
      <c r="AJ131" s="122" t="s">
        <v>201</v>
      </c>
      <c r="AK131" s="118"/>
    </row>
    <row r="132" ht="12.75" customHeight="1">
      <c r="A132" s="79"/>
      <c r="B132" s="105"/>
      <c r="C132" s="106"/>
      <c r="D132" s="106"/>
      <c r="E132" s="107"/>
      <c r="F132" s="107"/>
      <c r="G132" s="108"/>
      <c r="H132" s="109"/>
      <c r="I132" s="109"/>
      <c r="J132" s="110"/>
      <c r="K132" s="110"/>
      <c r="L132" s="110"/>
      <c r="M132" s="110"/>
      <c r="N132" s="110"/>
      <c r="O132" s="110"/>
      <c r="P132" s="110"/>
      <c r="Q132" s="107"/>
      <c r="R132" s="112"/>
      <c r="S132" s="113"/>
      <c r="T132" s="95"/>
      <c r="U132" s="123" t="s">
        <v>261</v>
      </c>
      <c r="V132" s="123" t="s">
        <v>198</v>
      </c>
      <c r="W132" s="123" t="s">
        <v>262</v>
      </c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9">
        <v>21.0</v>
      </c>
      <c r="AH132" s="120" t="s">
        <v>263</v>
      </c>
      <c r="AI132" s="121"/>
      <c r="AJ132" s="122" t="s">
        <v>208</v>
      </c>
      <c r="AK132" s="118"/>
    </row>
    <row r="133" ht="12.75" customHeight="1">
      <c r="A133" s="79"/>
      <c r="B133" s="105"/>
      <c r="C133" s="106"/>
      <c r="D133" s="106"/>
      <c r="E133" s="107"/>
      <c r="F133" s="107"/>
      <c r="G133" s="108"/>
      <c r="H133" s="109"/>
      <c r="I133" s="109"/>
      <c r="J133" s="110"/>
      <c r="K133" s="110"/>
      <c r="L133" s="110"/>
      <c r="M133" s="110"/>
      <c r="N133" s="110"/>
      <c r="O133" s="110"/>
      <c r="P133" s="110"/>
      <c r="Q133" s="107"/>
      <c r="R133" s="112"/>
      <c r="S133" s="113"/>
      <c r="T133" s="95"/>
      <c r="U133" s="123" t="s">
        <v>264</v>
      </c>
      <c r="V133" s="123" t="s">
        <v>198</v>
      </c>
      <c r="W133" s="123" t="s">
        <v>265</v>
      </c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9">
        <v>22.0</v>
      </c>
      <c r="AH133" s="120" t="s">
        <v>266</v>
      </c>
      <c r="AI133" s="121"/>
      <c r="AJ133" s="122" t="s">
        <v>208</v>
      </c>
      <c r="AK133" s="118"/>
    </row>
    <row r="134" ht="12.75" customHeight="1">
      <c r="A134" s="79"/>
      <c r="B134" s="105"/>
      <c r="C134" s="106"/>
      <c r="D134" s="106"/>
      <c r="E134" s="107"/>
      <c r="F134" s="107"/>
      <c r="G134" s="108"/>
      <c r="H134" s="109"/>
      <c r="I134" s="109"/>
      <c r="J134" s="110"/>
      <c r="K134" s="110"/>
      <c r="L134" s="110"/>
      <c r="M134" s="110"/>
      <c r="N134" s="110"/>
      <c r="O134" s="110"/>
      <c r="P134" s="110"/>
      <c r="Q134" s="107"/>
      <c r="R134" s="112"/>
      <c r="S134" s="113"/>
      <c r="T134" s="95"/>
      <c r="U134" s="123" t="s">
        <v>267</v>
      </c>
      <c r="V134" s="123" t="s">
        <v>198</v>
      </c>
      <c r="W134" s="123" t="s">
        <v>268</v>
      </c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9">
        <v>23.0</v>
      </c>
      <c r="AH134" s="120" t="s">
        <v>269</v>
      </c>
      <c r="AI134" s="121"/>
      <c r="AJ134" s="122" t="s">
        <v>201</v>
      </c>
      <c r="AK134" s="118"/>
    </row>
    <row r="135" ht="12.75" customHeight="1">
      <c r="A135" s="79"/>
      <c r="B135" s="105"/>
      <c r="C135" s="106"/>
      <c r="D135" s="106"/>
      <c r="E135" s="107"/>
      <c r="F135" s="107"/>
      <c r="G135" s="108"/>
      <c r="H135" s="109"/>
      <c r="I135" s="109"/>
      <c r="J135" s="110"/>
      <c r="K135" s="110"/>
      <c r="L135" s="110"/>
      <c r="M135" s="110"/>
      <c r="N135" s="110"/>
      <c r="O135" s="110"/>
      <c r="P135" s="110"/>
      <c r="Q135" s="107"/>
      <c r="R135" s="112"/>
      <c r="S135" s="113"/>
      <c r="T135" s="95"/>
      <c r="U135" s="126" t="s">
        <v>270</v>
      </c>
      <c r="V135" s="126" t="s">
        <v>198</v>
      </c>
      <c r="W135" s="123" t="s">
        <v>271</v>
      </c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9">
        <v>27.0</v>
      </c>
      <c r="AH135" s="120" t="s">
        <v>272</v>
      </c>
      <c r="AI135" s="121"/>
      <c r="AJ135" s="122" t="s">
        <v>201</v>
      </c>
      <c r="AK135" s="118"/>
    </row>
    <row r="136" ht="12.75" customHeight="1">
      <c r="A136" s="79"/>
      <c r="B136" s="105"/>
      <c r="C136" s="106"/>
      <c r="D136" s="106"/>
      <c r="E136" s="107"/>
      <c r="F136" s="107"/>
      <c r="G136" s="108"/>
      <c r="H136" s="109"/>
      <c r="I136" s="109"/>
      <c r="J136" s="110"/>
      <c r="K136" s="110"/>
      <c r="L136" s="110"/>
      <c r="M136" s="110"/>
      <c r="N136" s="110"/>
      <c r="O136" s="110"/>
      <c r="P136" s="110"/>
      <c r="Q136" s="107"/>
      <c r="R136" s="112"/>
      <c r="S136" s="113"/>
      <c r="T136" s="95"/>
      <c r="U136" s="126" t="s">
        <v>273</v>
      </c>
      <c r="V136" s="126" t="s">
        <v>208</v>
      </c>
      <c r="W136" s="126" t="s">
        <v>274</v>
      </c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9">
        <v>28.0</v>
      </c>
      <c r="AH136" s="120" t="s">
        <v>275</v>
      </c>
      <c r="AI136" s="121"/>
      <c r="AJ136" s="122" t="s">
        <v>201</v>
      </c>
      <c r="AK136" s="118"/>
    </row>
    <row r="137" ht="12.75" customHeight="1">
      <c r="A137" s="79"/>
      <c r="B137" s="105"/>
      <c r="C137" s="106"/>
      <c r="D137" s="106"/>
      <c r="E137" s="107"/>
      <c r="F137" s="107"/>
      <c r="G137" s="108"/>
      <c r="H137" s="109"/>
      <c r="I137" s="109"/>
      <c r="J137" s="110"/>
      <c r="K137" s="110"/>
      <c r="L137" s="110"/>
      <c r="M137" s="110"/>
      <c r="N137" s="110"/>
      <c r="O137" s="110"/>
      <c r="P137" s="110"/>
      <c r="Q137" s="107"/>
      <c r="R137" s="112"/>
      <c r="S137" s="113"/>
      <c r="T137" s="95"/>
      <c r="U137" s="126" t="s">
        <v>276</v>
      </c>
      <c r="V137" s="126" t="s">
        <v>208</v>
      </c>
      <c r="W137" s="126" t="s">
        <v>277</v>
      </c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9">
        <v>29.0</v>
      </c>
      <c r="AH137" s="120" t="s">
        <v>278</v>
      </c>
      <c r="AI137" s="121"/>
      <c r="AJ137" s="122" t="s">
        <v>201</v>
      </c>
      <c r="AK137" s="118"/>
    </row>
    <row r="138" ht="12.75" customHeight="1">
      <c r="A138" s="79"/>
      <c r="B138" s="105"/>
      <c r="C138" s="106"/>
      <c r="D138" s="106"/>
      <c r="E138" s="107"/>
      <c r="F138" s="107"/>
      <c r="G138" s="108"/>
      <c r="H138" s="109"/>
      <c r="I138" s="109"/>
      <c r="J138" s="110"/>
      <c r="K138" s="110"/>
      <c r="L138" s="110"/>
      <c r="M138" s="110"/>
      <c r="N138" s="110"/>
      <c r="O138" s="110"/>
      <c r="P138" s="110"/>
      <c r="Q138" s="107"/>
      <c r="R138" s="112"/>
      <c r="S138" s="113"/>
      <c r="T138" s="95"/>
      <c r="U138" s="123" t="s">
        <v>279</v>
      </c>
      <c r="V138" s="123" t="s">
        <v>198</v>
      </c>
      <c r="W138" s="123" t="s">
        <v>280</v>
      </c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9">
        <v>18.0</v>
      </c>
      <c r="AH138" s="120" t="s">
        <v>281</v>
      </c>
      <c r="AI138" s="125">
        <f>K140+K160+K234+K277+K357</f>
        <v>0</v>
      </c>
      <c r="AJ138" s="122" t="s">
        <v>201</v>
      </c>
      <c r="AK138" s="118"/>
    </row>
    <row r="139" ht="12.75" customHeight="1">
      <c r="A139" s="79"/>
      <c r="B139" s="105"/>
      <c r="C139" s="106"/>
      <c r="D139" s="106"/>
      <c r="E139" s="107"/>
      <c r="F139" s="107"/>
      <c r="G139" s="108"/>
      <c r="H139" s="109"/>
      <c r="I139" s="109"/>
      <c r="J139" s="110"/>
      <c r="K139" s="110"/>
      <c r="L139" s="110"/>
      <c r="M139" s="110"/>
      <c r="N139" s="110"/>
      <c r="O139" s="110"/>
      <c r="P139" s="110"/>
      <c r="Q139" s="107"/>
      <c r="R139" s="112"/>
      <c r="S139" s="113"/>
      <c r="T139" s="95"/>
      <c r="U139" s="123" t="s">
        <v>282</v>
      </c>
      <c r="V139" s="123" t="s">
        <v>208</v>
      </c>
      <c r="W139" s="123" t="s">
        <v>283</v>
      </c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9">
        <v>19.0</v>
      </c>
      <c r="AH139" s="120" t="s">
        <v>284</v>
      </c>
      <c r="AI139" s="121"/>
      <c r="AJ139" s="122" t="s">
        <v>208</v>
      </c>
      <c r="AK139" s="118"/>
    </row>
    <row r="140" ht="12.75" customHeight="1">
      <c r="A140" s="79"/>
      <c r="B140" s="105"/>
      <c r="C140" s="106"/>
      <c r="D140" s="106"/>
      <c r="E140" s="107"/>
      <c r="F140" s="107"/>
      <c r="G140" s="108"/>
      <c r="H140" s="109"/>
      <c r="I140" s="109"/>
      <c r="J140" s="110"/>
      <c r="K140" s="110"/>
      <c r="L140" s="110"/>
      <c r="M140" s="110"/>
      <c r="N140" s="110"/>
      <c r="O140" s="110"/>
      <c r="P140" s="110"/>
      <c r="Q140" s="107"/>
      <c r="R140" s="112"/>
      <c r="S140" s="113"/>
      <c r="T140" s="95"/>
      <c r="U140" s="123" t="s">
        <v>285</v>
      </c>
      <c r="V140" s="123" t="s">
        <v>208</v>
      </c>
      <c r="W140" s="123" t="s">
        <v>286</v>
      </c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9">
        <v>20.0</v>
      </c>
      <c r="AH140" s="120" t="s">
        <v>287</v>
      </c>
      <c r="AI140" s="121"/>
      <c r="AJ140" s="122" t="s">
        <v>208</v>
      </c>
      <c r="AK140" s="118"/>
    </row>
    <row r="141" ht="12.75" customHeight="1">
      <c r="A141" s="79"/>
      <c r="B141" s="105"/>
      <c r="C141" s="106"/>
      <c r="D141" s="106"/>
      <c r="E141" s="107"/>
      <c r="F141" s="107"/>
      <c r="G141" s="108"/>
      <c r="H141" s="109"/>
      <c r="I141" s="109"/>
      <c r="J141" s="110"/>
      <c r="K141" s="110"/>
      <c r="L141" s="110"/>
      <c r="M141" s="110"/>
      <c r="N141" s="110"/>
      <c r="O141" s="110"/>
      <c r="P141" s="110"/>
      <c r="Q141" s="107"/>
      <c r="R141" s="112"/>
      <c r="S141" s="113"/>
      <c r="T141" s="95"/>
      <c r="U141" s="123" t="s">
        <v>288</v>
      </c>
      <c r="V141" s="123" t="s">
        <v>198</v>
      </c>
      <c r="W141" s="123" t="s">
        <v>289</v>
      </c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9">
        <v>15.0</v>
      </c>
      <c r="AH141" s="120" t="s">
        <v>290</v>
      </c>
      <c r="AI141" s="121"/>
      <c r="AJ141" s="122" t="s">
        <v>201</v>
      </c>
      <c r="AK141" s="118"/>
    </row>
    <row r="142" ht="12.75" customHeight="1">
      <c r="A142" s="79"/>
      <c r="B142" s="105"/>
      <c r="C142" s="106"/>
      <c r="D142" s="106"/>
      <c r="E142" s="107"/>
      <c r="F142" s="107"/>
      <c r="G142" s="108"/>
      <c r="H142" s="109"/>
      <c r="I142" s="109"/>
      <c r="J142" s="110"/>
      <c r="K142" s="110"/>
      <c r="L142" s="110"/>
      <c r="M142" s="110"/>
      <c r="N142" s="110"/>
      <c r="O142" s="110"/>
      <c r="P142" s="110"/>
      <c r="Q142" s="107"/>
      <c r="R142" s="112"/>
      <c r="S142" s="113"/>
      <c r="T142" s="95"/>
      <c r="U142" s="123" t="s">
        <v>291</v>
      </c>
      <c r="V142" s="123" t="s">
        <v>198</v>
      </c>
      <c r="W142" s="123" t="s">
        <v>292</v>
      </c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9">
        <v>16.0</v>
      </c>
      <c r="AH142" s="120" t="s">
        <v>293</v>
      </c>
      <c r="AI142" s="121"/>
      <c r="AJ142" s="122" t="s">
        <v>201</v>
      </c>
      <c r="AK142" s="131">
        <f>K231+K274+K354</f>
        <v>0</v>
      </c>
    </row>
    <row r="143" ht="12.75" customHeight="1">
      <c r="A143" s="79"/>
      <c r="B143" s="105"/>
      <c r="C143" s="106"/>
      <c r="D143" s="106"/>
      <c r="E143" s="107"/>
      <c r="F143" s="107"/>
      <c r="G143" s="108"/>
      <c r="H143" s="109"/>
      <c r="I143" s="109"/>
      <c r="J143" s="110"/>
      <c r="K143" s="110"/>
      <c r="L143" s="110"/>
      <c r="M143" s="110"/>
      <c r="N143" s="110"/>
      <c r="O143" s="110"/>
      <c r="P143" s="110"/>
      <c r="Q143" s="107"/>
      <c r="R143" s="112"/>
      <c r="S143" s="113"/>
      <c r="T143" s="95"/>
      <c r="U143" s="123" t="s">
        <v>294</v>
      </c>
      <c r="V143" s="123" t="s">
        <v>198</v>
      </c>
      <c r="W143" s="123" t="s">
        <v>295</v>
      </c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9">
        <v>17.0</v>
      </c>
      <c r="AH143" s="120" t="s">
        <v>296</v>
      </c>
      <c r="AI143" s="121"/>
      <c r="AJ143" s="122" t="s">
        <v>201</v>
      </c>
      <c r="AK143" s="118"/>
    </row>
    <row r="144" ht="9.75" customHeight="1">
      <c r="A144" s="79"/>
      <c r="B144" s="105"/>
      <c r="C144" s="106"/>
      <c r="D144" s="106"/>
      <c r="E144" s="107"/>
      <c r="F144" s="107"/>
      <c r="G144" s="108"/>
      <c r="H144" s="109"/>
      <c r="I144" s="109"/>
      <c r="J144" s="110"/>
      <c r="K144" s="110"/>
      <c r="L144" s="110"/>
      <c r="M144" s="110"/>
      <c r="N144" s="110"/>
      <c r="O144" s="110"/>
      <c r="P144" s="110"/>
      <c r="Q144" s="107"/>
      <c r="R144" s="112"/>
      <c r="S144" s="113"/>
      <c r="T144" s="95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</row>
    <row r="145" ht="9.75" customHeight="1">
      <c r="A145" s="79"/>
      <c r="B145" s="105"/>
      <c r="C145" s="106"/>
      <c r="D145" s="106"/>
      <c r="E145" s="107"/>
      <c r="F145" s="107"/>
      <c r="G145" s="108"/>
      <c r="H145" s="109"/>
      <c r="I145" s="109"/>
      <c r="J145" s="110"/>
      <c r="K145" s="110"/>
      <c r="L145" s="110"/>
      <c r="M145" s="110"/>
      <c r="N145" s="110"/>
      <c r="O145" s="110"/>
      <c r="P145" s="110"/>
      <c r="Q145" s="107"/>
      <c r="R145" s="112"/>
      <c r="S145" s="113"/>
      <c r="T145" s="44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</row>
    <row r="146" ht="9.75" customHeight="1">
      <c r="A146" s="79"/>
      <c r="B146" s="105"/>
      <c r="C146" s="106"/>
      <c r="D146" s="106"/>
      <c r="E146" s="107"/>
      <c r="F146" s="107"/>
      <c r="G146" s="108"/>
      <c r="H146" s="109"/>
      <c r="I146" s="109"/>
      <c r="J146" s="110"/>
      <c r="K146" s="110"/>
      <c r="L146" s="110"/>
      <c r="M146" s="110"/>
      <c r="N146" s="110"/>
      <c r="O146" s="110"/>
      <c r="P146" s="110"/>
      <c r="Q146" s="107"/>
      <c r="R146" s="112"/>
      <c r="S146" s="113"/>
      <c r="T146" s="95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</row>
    <row r="147" ht="12.75" customHeight="1">
      <c r="A147" s="79"/>
      <c r="B147" s="105"/>
      <c r="C147" s="106"/>
      <c r="D147" s="106"/>
      <c r="E147" s="107"/>
      <c r="F147" s="107"/>
      <c r="G147" s="108"/>
      <c r="H147" s="109"/>
      <c r="I147" s="109"/>
      <c r="J147" s="110"/>
      <c r="K147" s="110"/>
      <c r="L147" s="110"/>
      <c r="M147" s="110"/>
      <c r="N147" s="110"/>
      <c r="O147" s="110"/>
      <c r="P147" s="110"/>
      <c r="Q147" s="107"/>
      <c r="R147" s="112"/>
      <c r="S147" s="113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</row>
    <row r="148" ht="12.75" customHeight="1">
      <c r="A148" s="79"/>
      <c r="B148" s="105"/>
      <c r="C148" s="106"/>
      <c r="D148" s="106"/>
      <c r="E148" s="107"/>
      <c r="F148" s="107"/>
      <c r="G148" s="108"/>
      <c r="H148" s="109"/>
      <c r="I148" s="109"/>
      <c r="J148" s="110"/>
      <c r="K148" s="110"/>
      <c r="L148" s="110"/>
      <c r="M148" s="110"/>
      <c r="N148" s="110"/>
      <c r="O148" s="110"/>
      <c r="P148" s="110"/>
      <c r="Q148" s="107"/>
      <c r="R148" s="112"/>
      <c r="S148" s="113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</row>
    <row r="149" ht="12.75" customHeight="1">
      <c r="A149" s="79"/>
      <c r="B149" s="105"/>
      <c r="C149" s="106"/>
      <c r="D149" s="106"/>
      <c r="E149" s="107"/>
      <c r="F149" s="107"/>
      <c r="G149" s="108"/>
      <c r="H149" s="109"/>
      <c r="I149" s="109"/>
      <c r="J149" s="110"/>
      <c r="K149" s="110"/>
      <c r="L149" s="110"/>
      <c r="M149" s="110"/>
      <c r="N149" s="110"/>
      <c r="O149" s="110"/>
      <c r="P149" s="110"/>
      <c r="Q149" s="107"/>
      <c r="R149" s="112"/>
      <c r="S149" s="113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</row>
    <row r="150" ht="12.75" customHeight="1">
      <c r="A150" s="79"/>
      <c r="B150" s="105"/>
      <c r="C150" s="106"/>
      <c r="D150" s="106"/>
      <c r="E150" s="107"/>
      <c r="F150" s="107"/>
      <c r="G150" s="108"/>
      <c r="H150" s="109"/>
      <c r="I150" s="109"/>
      <c r="J150" s="110"/>
      <c r="K150" s="110"/>
      <c r="L150" s="110"/>
      <c r="M150" s="110"/>
      <c r="N150" s="110"/>
      <c r="O150" s="110"/>
      <c r="P150" s="110"/>
      <c r="Q150" s="107"/>
      <c r="R150" s="112"/>
      <c r="S150" s="113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</row>
    <row r="151" ht="12.75" customHeight="1">
      <c r="A151" s="79"/>
      <c r="B151" s="105"/>
      <c r="C151" s="106"/>
      <c r="D151" s="106"/>
      <c r="E151" s="107"/>
      <c r="F151" s="107"/>
      <c r="G151" s="108"/>
      <c r="H151" s="109"/>
      <c r="I151" s="109"/>
      <c r="J151" s="110"/>
      <c r="K151" s="110"/>
      <c r="L151" s="110"/>
      <c r="M151" s="110"/>
      <c r="N151" s="110"/>
      <c r="O151" s="110"/>
      <c r="P151" s="110"/>
      <c r="Q151" s="107"/>
      <c r="R151" s="112"/>
      <c r="S151" s="113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</row>
    <row r="152" ht="12.75" customHeight="1">
      <c r="A152" s="79"/>
      <c r="B152" s="105"/>
      <c r="C152" s="106"/>
      <c r="D152" s="106"/>
      <c r="E152" s="107"/>
      <c r="F152" s="107"/>
      <c r="G152" s="108"/>
      <c r="H152" s="109"/>
      <c r="I152" s="109"/>
      <c r="J152" s="110"/>
      <c r="K152" s="110"/>
      <c r="L152" s="110"/>
      <c r="M152" s="110"/>
      <c r="N152" s="110"/>
      <c r="O152" s="110"/>
      <c r="P152" s="110"/>
      <c r="Q152" s="107"/>
      <c r="R152" s="112"/>
      <c r="S152" s="113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</row>
    <row r="153" ht="12.75" customHeight="1">
      <c r="A153" s="79"/>
      <c r="B153" s="105"/>
      <c r="C153" s="106"/>
      <c r="D153" s="106"/>
      <c r="E153" s="107"/>
      <c r="F153" s="107"/>
      <c r="G153" s="108"/>
      <c r="H153" s="109"/>
      <c r="I153" s="109"/>
      <c r="J153" s="110"/>
      <c r="K153" s="110"/>
      <c r="L153" s="110"/>
      <c r="M153" s="110"/>
      <c r="N153" s="110"/>
      <c r="O153" s="110"/>
      <c r="P153" s="110"/>
      <c r="Q153" s="107"/>
      <c r="R153" s="112"/>
      <c r="S153" s="113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</row>
    <row r="154" ht="12.75" customHeight="1">
      <c r="A154" s="79"/>
      <c r="B154" s="105"/>
      <c r="C154" s="106"/>
      <c r="D154" s="106"/>
      <c r="E154" s="107"/>
      <c r="F154" s="107"/>
      <c r="G154" s="108"/>
      <c r="H154" s="109"/>
      <c r="I154" s="109"/>
      <c r="J154" s="110"/>
      <c r="K154" s="110"/>
      <c r="L154" s="110"/>
      <c r="M154" s="110"/>
      <c r="N154" s="110"/>
      <c r="O154" s="110"/>
      <c r="P154" s="110"/>
      <c r="Q154" s="107"/>
      <c r="R154" s="112"/>
      <c r="S154" s="113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</row>
    <row r="155" ht="12.75" customHeight="1">
      <c r="A155" s="79"/>
      <c r="B155" s="105"/>
      <c r="C155" s="106"/>
      <c r="D155" s="106"/>
      <c r="E155" s="107"/>
      <c r="F155" s="107"/>
      <c r="G155" s="108"/>
      <c r="H155" s="109"/>
      <c r="I155" s="109"/>
      <c r="J155" s="110"/>
      <c r="K155" s="110"/>
      <c r="L155" s="110"/>
      <c r="M155" s="110"/>
      <c r="N155" s="110"/>
      <c r="O155" s="110"/>
      <c r="P155" s="110"/>
      <c r="Q155" s="107"/>
      <c r="R155" s="112"/>
      <c r="S155" s="113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</row>
    <row r="156" ht="12.75" customHeight="1">
      <c r="A156" s="79"/>
      <c r="B156" s="105"/>
      <c r="C156" s="106"/>
      <c r="D156" s="106"/>
      <c r="E156" s="107"/>
      <c r="F156" s="107"/>
      <c r="G156" s="108"/>
      <c r="H156" s="109"/>
      <c r="I156" s="109"/>
      <c r="J156" s="110"/>
      <c r="K156" s="110"/>
      <c r="L156" s="110"/>
      <c r="M156" s="110"/>
      <c r="N156" s="110"/>
      <c r="O156" s="110"/>
      <c r="P156" s="110"/>
      <c r="Q156" s="107"/>
      <c r="R156" s="112"/>
      <c r="S156" s="113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</row>
    <row r="157" ht="12.75" customHeight="1">
      <c r="A157" s="79"/>
      <c r="B157" s="105"/>
      <c r="C157" s="106"/>
      <c r="D157" s="106"/>
      <c r="E157" s="107"/>
      <c r="F157" s="107"/>
      <c r="G157" s="108"/>
      <c r="H157" s="109"/>
      <c r="I157" s="109"/>
      <c r="J157" s="110"/>
      <c r="K157" s="110"/>
      <c r="L157" s="110"/>
      <c r="M157" s="110"/>
      <c r="N157" s="110"/>
      <c r="O157" s="110"/>
      <c r="P157" s="110"/>
      <c r="Q157" s="107"/>
      <c r="R157" s="112"/>
      <c r="S157" s="113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</row>
    <row r="158" ht="12.75" customHeight="1">
      <c r="A158" s="79"/>
      <c r="B158" s="105"/>
      <c r="C158" s="106"/>
      <c r="D158" s="106"/>
      <c r="E158" s="107"/>
      <c r="F158" s="107"/>
      <c r="G158" s="108"/>
      <c r="H158" s="109"/>
      <c r="I158" s="109"/>
      <c r="J158" s="110"/>
      <c r="K158" s="110"/>
      <c r="L158" s="110"/>
      <c r="M158" s="110"/>
      <c r="N158" s="110"/>
      <c r="O158" s="110"/>
      <c r="P158" s="110"/>
      <c r="Q158" s="107"/>
      <c r="R158" s="112"/>
      <c r="S158" s="113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</row>
    <row r="159" ht="12.75" customHeight="1">
      <c r="A159" s="79"/>
      <c r="B159" s="105"/>
      <c r="C159" s="106"/>
      <c r="D159" s="106"/>
      <c r="E159" s="107"/>
      <c r="F159" s="107"/>
      <c r="G159" s="108"/>
      <c r="H159" s="109"/>
      <c r="I159" s="109"/>
      <c r="J159" s="110"/>
      <c r="K159" s="110"/>
      <c r="L159" s="110"/>
      <c r="M159" s="110"/>
      <c r="N159" s="110"/>
      <c r="O159" s="110"/>
      <c r="P159" s="110"/>
      <c r="Q159" s="107"/>
      <c r="R159" s="112"/>
      <c r="S159" s="113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</row>
    <row r="160" ht="12.75" customHeight="1">
      <c r="A160" s="79"/>
      <c r="B160" s="105"/>
      <c r="C160" s="106"/>
      <c r="D160" s="106"/>
      <c r="E160" s="107"/>
      <c r="F160" s="107"/>
      <c r="G160" s="108"/>
      <c r="H160" s="109"/>
      <c r="I160" s="109"/>
      <c r="J160" s="110"/>
      <c r="K160" s="110"/>
      <c r="L160" s="110"/>
      <c r="M160" s="110"/>
      <c r="N160" s="110"/>
      <c r="O160" s="110"/>
      <c r="P160" s="110"/>
      <c r="Q160" s="107"/>
      <c r="R160" s="112"/>
      <c r="S160" s="113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</row>
    <row r="161" ht="12.75" customHeight="1">
      <c r="A161" s="79"/>
      <c r="B161" s="105"/>
      <c r="C161" s="106"/>
      <c r="D161" s="106"/>
      <c r="E161" s="107"/>
      <c r="F161" s="107"/>
      <c r="G161" s="108"/>
      <c r="H161" s="109"/>
      <c r="I161" s="109"/>
      <c r="J161" s="110"/>
      <c r="K161" s="110"/>
      <c r="L161" s="110"/>
      <c r="M161" s="110"/>
      <c r="N161" s="110"/>
      <c r="O161" s="110"/>
      <c r="P161" s="110"/>
      <c r="Q161" s="107"/>
      <c r="R161" s="112"/>
      <c r="S161" s="113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</row>
    <row r="162" ht="12.75" customHeight="1">
      <c r="A162" s="79"/>
      <c r="B162" s="105"/>
      <c r="C162" s="106"/>
      <c r="D162" s="106"/>
      <c r="E162" s="107"/>
      <c r="F162" s="107"/>
      <c r="G162" s="108"/>
      <c r="H162" s="109"/>
      <c r="I162" s="109"/>
      <c r="J162" s="110"/>
      <c r="K162" s="110"/>
      <c r="L162" s="110"/>
      <c r="M162" s="110"/>
      <c r="N162" s="110"/>
      <c r="O162" s="110"/>
      <c r="P162" s="110"/>
      <c r="Q162" s="107"/>
      <c r="R162" s="112"/>
      <c r="S162" s="113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</row>
    <row r="163" ht="12.75" customHeight="1">
      <c r="A163" s="79"/>
      <c r="B163" s="105"/>
      <c r="C163" s="106"/>
      <c r="D163" s="106"/>
      <c r="E163" s="107"/>
      <c r="F163" s="107"/>
      <c r="G163" s="108"/>
      <c r="H163" s="109"/>
      <c r="I163" s="109"/>
      <c r="J163" s="110"/>
      <c r="K163" s="110"/>
      <c r="L163" s="110"/>
      <c r="M163" s="110"/>
      <c r="N163" s="110"/>
      <c r="O163" s="110"/>
      <c r="P163" s="110"/>
      <c r="Q163" s="107"/>
      <c r="R163" s="112"/>
      <c r="S163" s="113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</row>
    <row r="164" ht="12.75" customHeight="1">
      <c r="A164" s="79"/>
      <c r="B164" s="105"/>
      <c r="C164" s="106"/>
      <c r="D164" s="106"/>
      <c r="E164" s="107"/>
      <c r="F164" s="107"/>
      <c r="G164" s="108"/>
      <c r="H164" s="109"/>
      <c r="I164" s="109"/>
      <c r="J164" s="110"/>
      <c r="K164" s="110"/>
      <c r="L164" s="110"/>
      <c r="M164" s="110"/>
      <c r="N164" s="110"/>
      <c r="O164" s="110"/>
      <c r="P164" s="110"/>
      <c r="Q164" s="107"/>
      <c r="R164" s="112"/>
      <c r="S164" s="113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</row>
    <row r="165" ht="12.75" customHeight="1">
      <c r="A165" s="79"/>
      <c r="B165" s="105"/>
      <c r="C165" s="106"/>
      <c r="D165" s="106"/>
      <c r="E165" s="107"/>
      <c r="F165" s="107"/>
      <c r="G165" s="108"/>
      <c r="H165" s="109"/>
      <c r="I165" s="109"/>
      <c r="J165" s="110"/>
      <c r="K165" s="110"/>
      <c r="L165" s="110"/>
      <c r="M165" s="110"/>
      <c r="N165" s="110"/>
      <c r="O165" s="110"/>
      <c r="P165" s="110"/>
      <c r="Q165" s="107"/>
      <c r="R165" s="112"/>
      <c r="S165" s="113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</row>
    <row r="166" ht="9.75" customHeight="1">
      <c r="A166" s="79"/>
      <c r="B166" s="105"/>
      <c r="C166" s="106"/>
      <c r="D166" s="106"/>
      <c r="E166" s="107"/>
      <c r="F166" s="107"/>
      <c r="G166" s="108"/>
      <c r="H166" s="109"/>
      <c r="I166" s="109"/>
      <c r="J166" s="110"/>
      <c r="K166" s="110"/>
      <c r="L166" s="110"/>
      <c r="M166" s="110"/>
      <c r="N166" s="110"/>
      <c r="O166" s="110"/>
      <c r="P166" s="110"/>
      <c r="Q166" s="107"/>
      <c r="R166" s="112"/>
      <c r="S166" s="113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</row>
    <row r="167" ht="12.75" customHeight="1">
      <c r="A167" s="79"/>
      <c r="B167" s="105"/>
      <c r="C167" s="106"/>
      <c r="D167" s="106"/>
      <c r="E167" s="107"/>
      <c r="F167" s="107"/>
      <c r="G167" s="108"/>
      <c r="H167" s="109"/>
      <c r="I167" s="109"/>
      <c r="J167" s="110"/>
      <c r="K167" s="110"/>
      <c r="L167" s="110"/>
      <c r="M167" s="110"/>
      <c r="N167" s="110"/>
      <c r="O167" s="110"/>
      <c r="P167" s="110"/>
      <c r="Q167" s="107"/>
      <c r="R167" s="112"/>
      <c r="S167" s="113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</row>
    <row r="168" ht="12.75" customHeight="1">
      <c r="A168" s="79"/>
      <c r="B168" s="105"/>
      <c r="C168" s="106"/>
      <c r="D168" s="106"/>
      <c r="E168" s="107"/>
      <c r="F168" s="107"/>
      <c r="G168" s="108"/>
      <c r="H168" s="109"/>
      <c r="I168" s="109"/>
      <c r="J168" s="110"/>
      <c r="K168" s="110"/>
      <c r="L168" s="110"/>
      <c r="M168" s="110"/>
      <c r="N168" s="110"/>
      <c r="O168" s="110"/>
      <c r="P168" s="110"/>
      <c r="Q168" s="107"/>
      <c r="R168" s="112"/>
      <c r="S168" s="113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</row>
    <row r="169" ht="12.75" customHeight="1">
      <c r="A169" s="79"/>
      <c r="B169" s="105"/>
      <c r="C169" s="106"/>
      <c r="D169" s="106"/>
      <c r="E169" s="107"/>
      <c r="F169" s="107"/>
      <c r="G169" s="108"/>
      <c r="H169" s="109"/>
      <c r="I169" s="109"/>
      <c r="J169" s="110"/>
      <c r="K169" s="110"/>
      <c r="L169" s="110"/>
      <c r="M169" s="110"/>
      <c r="N169" s="110"/>
      <c r="O169" s="110"/>
      <c r="P169" s="110"/>
      <c r="Q169" s="107"/>
      <c r="R169" s="112"/>
      <c r="S169" s="113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</row>
    <row r="170" ht="12.75" customHeight="1">
      <c r="A170" s="79"/>
      <c r="B170" s="105"/>
      <c r="C170" s="106"/>
      <c r="D170" s="106"/>
      <c r="E170" s="107"/>
      <c r="F170" s="107"/>
      <c r="G170" s="108"/>
      <c r="H170" s="109"/>
      <c r="I170" s="109"/>
      <c r="J170" s="110"/>
      <c r="K170" s="110"/>
      <c r="L170" s="110"/>
      <c r="M170" s="110"/>
      <c r="N170" s="110"/>
      <c r="O170" s="110"/>
      <c r="P170" s="110"/>
      <c r="Q170" s="107"/>
      <c r="R170" s="112"/>
      <c r="S170" s="113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</row>
    <row r="171" ht="12.75" customHeight="1">
      <c r="A171" s="79"/>
      <c r="B171" s="105"/>
      <c r="C171" s="106"/>
      <c r="D171" s="106"/>
      <c r="E171" s="107"/>
      <c r="F171" s="107"/>
      <c r="G171" s="108"/>
      <c r="H171" s="109"/>
      <c r="I171" s="109"/>
      <c r="J171" s="110"/>
      <c r="K171" s="110"/>
      <c r="L171" s="110"/>
      <c r="M171" s="110"/>
      <c r="N171" s="110"/>
      <c r="O171" s="110"/>
      <c r="P171" s="110"/>
      <c r="Q171" s="107"/>
      <c r="R171" s="112"/>
      <c r="S171" s="113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</row>
    <row r="172" ht="12.75" customHeight="1">
      <c r="A172" s="79"/>
      <c r="B172" s="105"/>
      <c r="C172" s="106"/>
      <c r="D172" s="106"/>
      <c r="E172" s="107"/>
      <c r="F172" s="107"/>
      <c r="G172" s="108"/>
      <c r="H172" s="109"/>
      <c r="I172" s="109"/>
      <c r="J172" s="110"/>
      <c r="K172" s="110"/>
      <c r="L172" s="110"/>
      <c r="M172" s="110"/>
      <c r="N172" s="110"/>
      <c r="O172" s="110"/>
      <c r="P172" s="110"/>
      <c r="Q172" s="107"/>
      <c r="R172" s="112"/>
      <c r="S172" s="113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</row>
    <row r="173" ht="12.75" customHeight="1">
      <c r="A173" s="79"/>
      <c r="B173" s="105"/>
      <c r="C173" s="106"/>
      <c r="D173" s="106"/>
      <c r="E173" s="107"/>
      <c r="F173" s="107"/>
      <c r="G173" s="108"/>
      <c r="H173" s="109"/>
      <c r="I173" s="109"/>
      <c r="J173" s="110"/>
      <c r="K173" s="110"/>
      <c r="L173" s="110"/>
      <c r="M173" s="110"/>
      <c r="N173" s="110"/>
      <c r="O173" s="110"/>
      <c r="P173" s="110"/>
      <c r="Q173" s="107"/>
      <c r="R173" s="112"/>
      <c r="S173" s="113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</row>
    <row r="174" ht="12.75" customHeight="1">
      <c r="A174" s="79"/>
      <c r="B174" s="105"/>
      <c r="C174" s="106"/>
      <c r="D174" s="106"/>
      <c r="E174" s="107"/>
      <c r="F174" s="107"/>
      <c r="G174" s="108"/>
      <c r="H174" s="109"/>
      <c r="I174" s="109"/>
      <c r="J174" s="110"/>
      <c r="K174" s="110"/>
      <c r="L174" s="110"/>
      <c r="M174" s="110"/>
      <c r="N174" s="110"/>
      <c r="O174" s="110"/>
      <c r="P174" s="110"/>
      <c r="Q174" s="107"/>
      <c r="R174" s="112"/>
      <c r="S174" s="113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</row>
    <row r="175" ht="12.75" customHeight="1">
      <c r="A175" s="79"/>
      <c r="B175" s="105"/>
      <c r="C175" s="106"/>
      <c r="D175" s="106"/>
      <c r="E175" s="107"/>
      <c r="F175" s="107"/>
      <c r="G175" s="108"/>
      <c r="H175" s="109"/>
      <c r="I175" s="109"/>
      <c r="J175" s="110"/>
      <c r="K175" s="110"/>
      <c r="L175" s="110"/>
      <c r="M175" s="110"/>
      <c r="N175" s="110"/>
      <c r="O175" s="110"/>
      <c r="P175" s="110"/>
      <c r="Q175" s="107"/>
      <c r="R175" s="112"/>
      <c r="S175" s="113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</row>
    <row r="176" ht="12.75" customHeight="1">
      <c r="A176" s="79"/>
      <c r="B176" s="105"/>
      <c r="C176" s="106"/>
      <c r="D176" s="106"/>
      <c r="E176" s="107"/>
      <c r="F176" s="107"/>
      <c r="G176" s="108"/>
      <c r="H176" s="109"/>
      <c r="I176" s="109"/>
      <c r="J176" s="110"/>
      <c r="K176" s="110"/>
      <c r="L176" s="110"/>
      <c r="M176" s="110"/>
      <c r="N176" s="110"/>
      <c r="O176" s="110"/>
      <c r="P176" s="110"/>
      <c r="Q176" s="107"/>
      <c r="R176" s="112"/>
      <c r="S176" s="113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</row>
    <row r="177" ht="12.75" customHeight="1">
      <c r="A177" s="79"/>
      <c r="B177" s="105"/>
      <c r="C177" s="106"/>
      <c r="D177" s="106"/>
      <c r="E177" s="107"/>
      <c r="F177" s="107"/>
      <c r="G177" s="108"/>
      <c r="H177" s="109"/>
      <c r="I177" s="109"/>
      <c r="J177" s="110"/>
      <c r="K177" s="110"/>
      <c r="L177" s="110"/>
      <c r="M177" s="110"/>
      <c r="N177" s="110"/>
      <c r="O177" s="110"/>
      <c r="P177" s="110"/>
      <c r="Q177" s="107"/>
      <c r="R177" s="112"/>
      <c r="S177" s="113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</row>
    <row r="178" ht="12.75" customHeight="1">
      <c r="A178" s="79"/>
      <c r="B178" s="132"/>
      <c r="C178" s="133"/>
      <c r="D178" s="133"/>
      <c r="E178" s="134"/>
      <c r="F178" s="134"/>
      <c r="G178" s="108"/>
      <c r="H178" s="135"/>
      <c r="I178" s="135"/>
      <c r="J178" s="107"/>
      <c r="K178" s="107"/>
      <c r="L178" s="107"/>
      <c r="M178" s="107"/>
      <c r="N178" s="107"/>
      <c r="O178" s="107"/>
      <c r="P178" s="136"/>
      <c r="Q178" s="107"/>
      <c r="R178" s="112"/>
      <c r="S178" s="137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</row>
    <row r="179" ht="12.75" customHeight="1">
      <c r="A179" s="79"/>
      <c r="B179" s="132"/>
      <c r="C179" s="138"/>
      <c r="D179" s="138"/>
      <c r="E179" s="139"/>
      <c r="F179" s="139"/>
      <c r="G179" s="140"/>
      <c r="H179" s="109"/>
      <c r="I179" s="109"/>
      <c r="J179" s="107"/>
      <c r="K179" s="107"/>
      <c r="L179" s="107"/>
      <c r="M179" s="107"/>
      <c r="N179" s="107"/>
      <c r="O179" s="107"/>
      <c r="P179" s="107"/>
      <c r="Q179" s="107"/>
      <c r="R179" s="134"/>
      <c r="S179" s="137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</row>
    <row r="180" ht="12.75" customHeight="1">
      <c r="A180" s="79"/>
      <c r="B180" s="132"/>
      <c r="C180" s="133"/>
      <c r="D180" s="133"/>
      <c r="E180" s="134"/>
      <c r="F180" s="134"/>
      <c r="G180" s="141"/>
      <c r="H180" s="142"/>
      <c r="I180" s="143"/>
      <c r="J180" s="107"/>
      <c r="K180" s="107"/>
      <c r="L180" s="107"/>
      <c r="M180" s="107"/>
      <c r="N180" s="107"/>
      <c r="O180" s="107"/>
      <c r="P180" s="136"/>
      <c r="Q180" s="107"/>
      <c r="R180" s="137"/>
      <c r="S180" s="137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</row>
    <row r="181" ht="12.75" customHeight="1">
      <c r="A181" s="79"/>
      <c r="B181" s="132"/>
      <c r="C181" s="133"/>
      <c r="D181" s="133"/>
      <c r="E181" s="134"/>
      <c r="F181" s="134"/>
      <c r="G181" s="108"/>
      <c r="H181" s="135"/>
      <c r="I181" s="135"/>
      <c r="J181" s="107"/>
      <c r="K181" s="107"/>
      <c r="L181" s="107"/>
      <c r="M181" s="107"/>
      <c r="N181" s="107"/>
      <c r="O181" s="107"/>
      <c r="P181" s="136"/>
      <c r="Q181" s="107"/>
      <c r="R181" s="112"/>
      <c r="S181" s="137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</row>
    <row r="182" ht="12.75" customHeight="1">
      <c r="A182" s="79"/>
      <c r="B182" s="132"/>
      <c r="C182" s="133"/>
      <c r="D182" s="133"/>
      <c r="E182" s="134"/>
      <c r="F182" s="134"/>
      <c r="G182" s="108"/>
      <c r="H182" s="144"/>
      <c r="I182" s="144"/>
      <c r="J182" s="107"/>
      <c r="K182" s="107"/>
      <c r="L182" s="107"/>
      <c r="M182" s="107"/>
      <c r="N182" s="107"/>
      <c r="O182" s="107"/>
      <c r="P182" s="107"/>
      <c r="Q182" s="107"/>
      <c r="R182" s="112"/>
      <c r="S182" s="137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</row>
    <row r="183" ht="12.75" customHeight="1">
      <c r="A183" s="79"/>
      <c r="B183" s="132"/>
      <c r="C183" s="133"/>
      <c r="D183" s="133"/>
      <c r="E183" s="134"/>
      <c r="F183" s="134"/>
      <c r="G183" s="141"/>
      <c r="H183" s="145"/>
      <c r="I183" s="145"/>
      <c r="J183" s="110"/>
      <c r="K183" s="146"/>
      <c r="L183" s="146"/>
      <c r="M183" s="110"/>
      <c r="N183" s="107"/>
      <c r="O183" s="107"/>
      <c r="P183" s="136"/>
      <c r="Q183" s="107"/>
      <c r="R183" s="147"/>
      <c r="S183" s="137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</row>
    <row r="184" ht="12.75" customHeight="1">
      <c r="A184" s="79"/>
      <c r="B184" s="132"/>
      <c r="C184" s="133"/>
      <c r="D184" s="133"/>
      <c r="E184" s="134"/>
      <c r="F184" s="134"/>
      <c r="G184" s="108"/>
      <c r="H184" s="135"/>
      <c r="I184" s="135"/>
      <c r="J184" s="107"/>
      <c r="K184" s="107"/>
      <c r="L184" s="107"/>
      <c r="M184" s="107"/>
      <c r="N184" s="107"/>
      <c r="O184" s="107"/>
      <c r="P184" s="136"/>
      <c r="Q184" s="107"/>
      <c r="R184" s="112"/>
      <c r="S184" s="137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</row>
    <row r="185" ht="12.75" customHeight="1">
      <c r="A185" s="79"/>
      <c r="B185" s="132"/>
      <c r="C185" s="138"/>
      <c r="D185" s="138"/>
      <c r="E185" s="139"/>
      <c r="F185" s="139"/>
      <c r="G185" s="140"/>
      <c r="H185" s="109"/>
      <c r="I185" s="109"/>
      <c r="J185" s="107"/>
      <c r="K185" s="107"/>
      <c r="L185" s="107"/>
      <c r="M185" s="107"/>
      <c r="N185" s="107"/>
      <c r="O185" s="107"/>
      <c r="P185" s="107"/>
      <c r="Q185" s="107"/>
      <c r="R185" s="134"/>
      <c r="S185" s="137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</row>
    <row r="186" ht="12.75" customHeight="1">
      <c r="A186" s="79"/>
      <c r="B186" s="132"/>
      <c r="C186" s="133"/>
      <c r="D186" s="133"/>
      <c r="E186" s="134"/>
      <c r="F186" s="134"/>
      <c r="G186" s="141"/>
      <c r="H186" s="142"/>
      <c r="I186" s="143"/>
      <c r="J186" s="107"/>
      <c r="K186" s="107"/>
      <c r="L186" s="107"/>
      <c r="M186" s="107"/>
      <c r="N186" s="107"/>
      <c r="O186" s="107"/>
      <c r="P186" s="136"/>
      <c r="Q186" s="107"/>
      <c r="R186" s="137"/>
      <c r="S186" s="137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</row>
    <row r="187" ht="12.75" customHeight="1">
      <c r="A187" s="79"/>
      <c r="B187" s="132"/>
      <c r="C187" s="133"/>
      <c r="D187" s="133"/>
      <c r="E187" s="134"/>
      <c r="F187" s="134"/>
      <c r="G187" s="108"/>
      <c r="H187" s="135"/>
      <c r="I187" s="135"/>
      <c r="J187" s="107"/>
      <c r="K187" s="107"/>
      <c r="L187" s="107"/>
      <c r="M187" s="107"/>
      <c r="N187" s="107"/>
      <c r="O187" s="107"/>
      <c r="P187" s="136"/>
      <c r="Q187" s="107"/>
      <c r="R187" s="112"/>
      <c r="S187" s="137"/>
      <c r="T187" s="95"/>
      <c r="U187" s="95"/>
      <c r="V187" s="95"/>
      <c r="W187" s="95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48"/>
      <c r="AJ187" s="118"/>
      <c r="AK187" s="118"/>
    </row>
    <row r="188" ht="12.75" customHeight="1">
      <c r="A188" s="79"/>
      <c r="B188" s="132"/>
      <c r="C188" s="133"/>
      <c r="D188" s="133"/>
      <c r="E188" s="134"/>
      <c r="F188" s="134"/>
      <c r="G188" s="108"/>
      <c r="H188" s="144"/>
      <c r="I188" s="144"/>
      <c r="J188" s="107"/>
      <c r="K188" s="107"/>
      <c r="L188" s="107"/>
      <c r="M188" s="107"/>
      <c r="N188" s="107"/>
      <c r="O188" s="107"/>
      <c r="P188" s="107"/>
      <c r="Q188" s="107"/>
      <c r="R188" s="112"/>
      <c r="S188" s="137"/>
      <c r="T188" s="95"/>
      <c r="U188" s="95"/>
      <c r="V188" s="95"/>
      <c r="W188" s="95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48"/>
      <c r="AJ188" s="118"/>
      <c r="AK188" s="118"/>
    </row>
    <row r="189" ht="12.75" customHeight="1">
      <c r="A189" s="79"/>
      <c r="B189" s="132"/>
      <c r="C189" s="133"/>
      <c r="D189" s="133"/>
      <c r="E189" s="134"/>
      <c r="F189" s="134"/>
      <c r="G189" s="141"/>
      <c r="H189" s="145"/>
      <c r="I189" s="145"/>
      <c r="J189" s="110"/>
      <c r="K189" s="146"/>
      <c r="L189" s="146"/>
      <c r="M189" s="110"/>
      <c r="N189" s="107"/>
      <c r="O189" s="107"/>
      <c r="P189" s="136"/>
      <c r="Q189" s="107"/>
      <c r="R189" s="147"/>
      <c r="S189" s="137"/>
      <c r="T189" s="95"/>
      <c r="U189" s="95"/>
      <c r="V189" s="95"/>
      <c r="W189" s="95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48"/>
      <c r="AJ189" s="118"/>
      <c r="AK189" s="118"/>
    </row>
    <row r="190" ht="12.75" customHeight="1">
      <c r="A190" s="79"/>
      <c r="B190" s="132"/>
      <c r="C190" s="133"/>
      <c r="D190" s="133"/>
      <c r="E190" s="134"/>
      <c r="F190" s="134"/>
      <c r="G190" s="108"/>
      <c r="H190" s="135"/>
      <c r="I190" s="135"/>
      <c r="J190" s="107"/>
      <c r="K190" s="107"/>
      <c r="L190" s="107"/>
      <c r="M190" s="107"/>
      <c r="N190" s="107"/>
      <c r="O190" s="107"/>
      <c r="P190" s="136"/>
      <c r="Q190" s="107"/>
      <c r="R190" s="112"/>
      <c r="S190" s="137"/>
      <c r="T190" s="95"/>
      <c r="U190" s="126" t="s">
        <v>297</v>
      </c>
      <c r="V190" s="126" t="s">
        <v>208</v>
      </c>
      <c r="W190" s="126" t="s">
        <v>298</v>
      </c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48"/>
      <c r="AJ190" s="118"/>
      <c r="AK190" s="118"/>
    </row>
    <row r="191" ht="12.75" customHeight="1">
      <c r="A191" s="79"/>
      <c r="B191" s="132"/>
      <c r="C191" s="133"/>
      <c r="D191" s="133"/>
      <c r="E191" s="134"/>
      <c r="F191" s="134"/>
      <c r="G191" s="141"/>
      <c r="H191" s="145"/>
      <c r="I191" s="145"/>
      <c r="J191" s="110"/>
      <c r="K191" s="146"/>
      <c r="L191" s="146"/>
      <c r="M191" s="110"/>
      <c r="N191" s="107"/>
      <c r="O191" s="107"/>
      <c r="P191" s="136"/>
      <c r="Q191" s="107"/>
      <c r="R191" s="147"/>
      <c r="S191" s="137"/>
      <c r="T191" s="95"/>
      <c r="U191" s="149" t="s">
        <v>299</v>
      </c>
      <c r="V191" s="149" t="s">
        <v>198</v>
      </c>
      <c r="W191" s="149" t="s">
        <v>300</v>
      </c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48"/>
      <c r="AJ191" s="118"/>
      <c r="AK191" s="118"/>
    </row>
    <row r="192" ht="12.75" customHeight="1">
      <c r="A192" s="79"/>
      <c r="B192" s="132"/>
      <c r="C192" s="133"/>
      <c r="D192" s="133"/>
      <c r="E192" s="134"/>
      <c r="F192" s="134"/>
      <c r="G192" s="108"/>
      <c r="H192" s="135"/>
      <c r="I192" s="135"/>
      <c r="J192" s="107"/>
      <c r="K192" s="107"/>
      <c r="L192" s="107"/>
      <c r="M192" s="107"/>
      <c r="N192" s="107"/>
      <c r="O192" s="107"/>
      <c r="P192" s="136"/>
      <c r="Q192" s="107"/>
      <c r="R192" s="112"/>
      <c r="S192" s="137"/>
      <c r="T192" s="95"/>
      <c r="U192" s="126" t="s">
        <v>301</v>
      </c>
      <c r="V192" s="126" t="s">
        <v>208</v>
      </c>
      <c r="W192" s="126" t="s">
        <v>302</v>
      </c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48"/>
      <c r="AJ192" s="118"/>
      <c r="AK192" s="118"/>
    </row>
    <row r="193" ht="12.75" customHeight="1">
      <c r="A193" s="79"/>
      <c r="B193" s="132"/>
      <c r="C193" s="138"/>
      <c r="D193" s="138"/>
      <c r="E193" s="139"/>
      <c r="F193" s="139"/>
      <c r="G193" s="140"/>
      <c r="H193" s="109"/>
      <c r="I193" s="109"/>
      <c r="J193" s="107"/>
      <c r="K193" s="107"/>
      <c r="L193" s="107"/>
      <c r="M193" s="107"/>
      <c r="N193" s="107"/>
      <c r="O193" s="107"/>
      <c r="P193" s="107"/>
      <c r="Q193" s="107"/>
      <c r="R193" s="134"/>
      <c r="S193" s="137"/>
      <c r="T193" s="95"/>
      <c r="U193" s="116" t="s">
        <v>303</v>
      </c>
      <c r="V193" s="116" t="s">
        <v>304</v>
      </c>
      <c r="W193" s="116" t="s">
        <v>305</v>
      </c>
      <c r="X193" s="117"/>
      <c r="Y193" s="117"/>
      <c r="Z193" s="118"/>
      <c r="AA193" s="118"/>
      <c r="AB193" s="118"/>
      <c r="AC193" s="118"/>
      <c r="AD193" s="118"/>
      <c r="AE193" s="118"/>
      <c r="AF193" s="118"/>
      <c r="AG193" s="119">
        <v>34.0</v>
      </c>
      <c r="AH193" s="120" t="s">
        <v>306</v>
      </c>
      <c r="AI193" s="121"/>
      <c r="AJ193" s="122" t="s">
        <v>201</v>
      </c>
      <c r="AK193" s="118"/>
    </row>
    <row r="194" ht="12.75" customHeight="1">
      <c r="A194" s="79"/>
      <c r="B194" s="132"/>
      <c r="C194" s="133"/>
      <c r="D194" s="133"/>
      <c r="E194" s="134"/>
      <c r="F194" s="134"/>
      <c r="G194" s="141"/>
      <c r="H194" s="142"/>
      <c r="I194" s="143"/>
      <c r="J194" s="107"/>
      <c r="K194" s="107"/>
      <c r="L194" s="107"/>
      <c r="M194" s="107"/>
      <c r="N194" s="107"/>
      <c r="O194" s="107"/>
      <c r="P194" s="136"/>
      <c r="Q194" s="107"/>
      <c r="R194" s="137"/>
      <c r="S194" s="137"/>
      <c r="T194" s="95"/>
      <c r="U194" s="149" t="s">
        <v>307</v>
      </c>
      <c r="V194" s="149" t="s">
        <v>198</v>
      </c>
      <c r="W194" s="149" t="s">
        <v>308</v>
      </c>
      <c r="X194" s="130"/>
      <c r="Y194" s="117"/>
      <c r="Z194" s="118"/>
      <c r="AA194" s="118"/>
      <c r="AB194" s="118"/>
      <c r="AC194" s="118"/>
      <c r="AD194" s="118"/>
      <c r="AE194" s="118"/>
      <c r="AF194" s="118"/>
      <c r="AG194" s="119">
        <v>35.0</v>
      </c>
      <c r="AH194" s="120" t="s">
        <v>309</v>
      </c>
      <c r="AI194" s="121"/>
      <c r="AJ194" s="122" t="s">
        <v>198</v>
      </c>
      <c r="AK194" s="118"/>
    </row>
    <row r="195" ht="12.75" customHeight="1">
      <c r="A195" s="79"/>
      <c r="B195" s="132"/>
      <c r="C195" s="133"/>
      <c r="D195" s="133"/>
      <c r="E195" s="134"/>
      <c r="F195" s="134"/>
      <c r="G195" s="108"/>
      <c r="H195" s="135"/>
      <c r="I195" s="135"/>
      <c r="J195" s="107"/>
      <c r="K195" s="107"/>
      <c r="L195" s="107"/>
      <c r="M195" s="107"/>
      <c r="N195" s="107"/>
      <c r="O195" s="107"/>
      <c r="P195" s="136"/>
      <c r="Q195" s="107"/>
      <c r="R195" s="112"/>
      <c r="S195" s="137"/>
      <c r="T195" s="95"/>
      <c r="U195" s="126" t="s">
        <v>310</v>
      </c>
      <c r="V195" s="126" t="s">
        <v>208</v>
      </c>
      <c r="W195" s="126" t="s">
        <v>311</v>
      </c>
      <c r="X195" s="127"/>
      <c r="Y195" s="117"/>
      <c r="Z195" s="118"/>
      <c r="AA195" s="118"/>
      <c r="AB195" s="118"/>
      <c r="AC195" s="118"/>
      <c r="AD195" s="118"/>
      <c r="AE195" s="118"/>
      <c r="AF195" s="118"/>
      <c r="AG195" s="119">
        <v>36.0</v>
      </c>
      <c r="AH195" s="120" t="s">
        <v>312</v>
      </c>
      <c r="AI195" s="121"/>
      <c r="AJ195" s="122" t="s">
        <v>201</v>
      </c>
      <c r="AK195" s="118"/>
    </row>
    <row r="196" ht="12.75" customHeight="1">
      <c r="A196" s="79"/>
      <c r="B196" s="132"/>
      <c r="C196" s="133"/>
      <c r="D196" s="133"/>
      <c r="E196" s="134"/>
      <c r="F196" s="134"/>
      <c r="G196" s="108"/>
      <c r="H196" s="144"/>
      <c r="I196" s="144"/>
      <c r="J196" s="107"/>
      <c r="K196" s="107"/>
      <c r="L196" s="107"/>
      <c r="M196" s="107"/>
      <c r="N196" s="107"/>
      <c r="O196" s="107"/>
      <c r="P196" s="107"/>
      <c r="Q196" s="107"/>
      <c r="R196" s="112"/>
      <c r="S196" s="137"/>
      <c r="T196" s="95"/>
      <c r="U196" s="126" t="s">
        <v>313</v>
      </c>
      <c r="V196" s="126" t="s">
        <v>198</v>
      </c>
      <c r="W196" s="126" t="s">
        <v>314</v>
      </c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9">
        <v>43.0</v>
      </c>
      <c r="AH196" s="120" t="s">
        <v>315</v>
      </c>
      <c r="AI196" s="121"/>
      <c r="AJ196" s="122" t="s">
        <v>208</v>
      </c>
      <c r="AK196" s="118"/>
    </row>
    <row r="197" ht="12.75" customHeight="1">
      <c r="A197" s="79"/>
      <c r="B197" s="132"/>
      <c r="C197" s="133"/>
      <c r="D197" s="133"/>
      <c r="E197" s="134"/>
      <c r="F197" s="134"/>
      <c r="G197" s="141"/>
      <c r="H197" s="145"/>
      <c r="I197" s="145"/>
      <c r="J197" s="110"/>
      <c r="K197" s="146"/>
      <c r="L197" s="146"/>
      <c r="M197" s="110"/>
      <c r="N197" s="107"/>
      <c r="O197" s="107"/>
      <c r="P197" s="136"/>
      <c r="Q197" s="107"/>
      <c r="R197" s="147"/>
      <c r="S197" s="137"/>
      <c r="T197" s="95"/>
      <c r="U197" s="126" t="s">
        <v>316</v>
      </c>
      <c r="V197" s="126" t="s">
        <v>198</v>
      </c>
      <c r="W197" s="126" t="s">
        <v>317</v>
      </c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9">
        <v>44.0</v>
      </c>
      <c r="AH197" s="120" t="s">
        <v>318</v>
      </c>
      <c r="AI197" s="121"/>
      <c r="AJ197" s="122" t="s">
        <v>201</v>
      </c>
      <c r="AK197" s="118"/>
    </row>
    <row r="198" ht="12.75" customHeight="1">
      <c r="A198" s="79"/>
      <c r="B198" s="132"/>
      <c r="C198" s="133"/>
      <c r="D198" s="133"/>
      <c r="E198" s="134"/>
      <c r="F198" s="134"/>
      <c r="G198" s="108"/>
      <c r="H198" s="135"/>
      <c r="I198" s="135"/>
      <c r="J198" s="107"/>
      <c r="K198" s="107"/>
      <c r="L198" s="107"/>
      <c r="M198" s="107"/>
      <c r="N198" s="107"/>
      <c r="O198" s="107"/>
      <c r="P198" s="136"/>
      <c r="Q198" s="107"/>
      <c r="R198" s="112"/>
      <c r="S198" s="137"/>
      <c r="T198" s="95"/>
      <c r="U198" s="126" t="s">
        <v>319</v>
      </c>
      <c r="V198" s="126" t="s">
        <v>198</v>
      </c>
      <c r="W198" s="126" t="s">
        <v>320</v>
      </c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9">
        <v>45.0</v>
      </c>
      <c r="AH198" s="120" t="s">
        <v>321</v>
      </c>
      <c r="AI198" s="121"/>
      <c r="AJ198" s="122" t="s">
        <v>201</v>
      </c>
      <c r="AK198" s="118"/>
    </row>
    <row r="199" ht="12.75" customHeight="1">
      <c r="A199" s="79"/>
      <c r="B199" s="132"/>
      <c r="C199" s="138"/>
      <c r="D199" s="138"/>
      <c r="E199" s="139"/>
      <c r="F199" s="139"/>
      <c r="G199" s="140"/>
      <c r="H199" s="109"/>
      <c r="I199" s="109"/>
      <c r="J199" s="107"/>
      <c r="K199" s="107"/>
      <c r="L199" s="107"/>
      <c r="M199" s="107"/>
      <c r="N199" s="107"/>
      <c r="O199" s="107"/>
      <c r="P199" s="107"/>
      <c r="Q199" s="107"/>
      <c r="R199" s="134"/>
      <c r="S199" s="137"/>
      <c r="T199" s="95"/>
      <c r="U199" s="126" t="s">
        <v>322</v>
      </c>
      <c r="V199" s="126" t="s">
        <v>198</v>
      </c>
      <c r="W199" s="126" t="s">
        <v>323</v>
      </c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9">
        <v>40.0</v>
      </c>
      <c r="AH199" s="120" t="s">
        <v>324</v>
      </c>
      <c r="AI199" s="121"/>
      <c r="AJ199" s="122" t="s">
        <v>201</v>
      </c>
      <c r="AK199" s="118"/>
    </row>
    <row r="200" ht="12.75" customHeight="1">
      <c r="A200" s="79"/>
      <c r="B200" s="132"/>
      <c r="C200" s="133"/>
      <c r="D200" s="133"/>
      <c r="E200" s="134"/>
      <c r="F200" s="134"/>
      <c r="G200" s="141"/>
      <c r="H200" s="142"/>
      <c r="I200" s="143"/>
      <c r="J200" s="107"/>
      <c r="K200" s="107"/>
      <c r="L200" s="107"/>
      <c r="M200" s="107"/>
      <c r="N200" s="107"/>
      <c r="O200" s="107"/>
      <c r="P200" s="136"/>
      <c r="Q200" s="107"/>
      <c r="R200" s="137"/>
      <c r="S200" s="137"/>
      <c r="T200" s="95"/>
      <c r="U200" s="126" t="s">
        <v>325</v>
      </c>
      <c r="V200" s="126" t="s">
        <v>198</v>
      </c>
      <c r="W200" s="126" t="s">
        <v>326</v>
      </c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9">
        <v>41.0</v>
      </c>
      <c r="AH200" s="120" t="s">
        <v>327</v>
      </c>
      <c r="AI200" s="121"/>
      <c r="AJ200" s="122" t="s">
        <v>201</v>
      </c>
      <c r="AK200" s="118"/>
    </row>
    <row r="201" ht="12.75" customHeight="1">
      <c r="A201" s="79"/>
      <c r="B201" s="132"/>
      <c r="C201" s="133"/>
      <c r="D201" s="133"/>
      <c r="E201" s="134"/>
      <c r="F201" s="134"/>
      <c r="G201" s="108"/>
      <c r="H201" s="135"/>
      <c r="I201" s="135"/>
      <c r="J201" s="107"/>
      <c r="K201" s="107"/>
      <c r="L201" s="107"/>
      <c r="M201" s="107"/>
      <c r="N201" s="107"/>
      <c r="O201" s="107"/>
      <c r="P201" s="136"/>
      <c r="Q201" s="107"/>
      <c r="R201" s="112"/>
      <c r="S201" s="137"/>
      <c r="T201" s="95"/>
      <c r="U201" s="126" t="s">
        <v>328</v>
      </c>
      <c r="V201" s="126" t="s">
        <v>198</v>
      </c>
      <c r="W201" s="126" t="s">
        <v>329</v>
      </c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9">
        <v>42.0</v>
      </c>
      <c r="AH201" s="120" t="s">
        <v>318</v>
      </c>
      <c r="AI201" s="121"/>
      <c r="AJ201" s="122" t="s">
        <v>201</v>
      </c>
      <c r="AK201" s="118"/>
    </row>
    <row r="202" ht="12.75" customHeight="1">
      <c r="A202" s="79"/>
      <c r="B202" s="132"/>
      <c r="C202" s="133"/>
      <c r="D202" s="133"/>
      <c r="E202" s="134"/>
      <c r="F202" s="134"/>
      <c r="G202" s="108"/>
      <c r="H202" s="144"/>
      <c r="I202" s="144"/>
      <c r="J202" s="107"/>
      <c r="K202" s="107"/>
      <c r="L202" s="107"/>
      <c r="M202" s="107"/>
      <c r="N202" s="107"/>
      <c r="O202" s="107"/>
      <c r="P202" s="107"/>
      <c r="Q202" s="107"/>
      <c r="R202" s="112"/>
      <c r="S202" s="137"/>
      <c r="T202" s="95"/>
      <c r="U202" s="126" t="s">
        <v>297</v>
      </c>
      <c r="V202" s="126" t="s">
        <v>208</v>
      </c>
      <c r="W202" s="126" t="s">
        <v>298</v>
      </c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9">
        <v>37.0</v>
      </c>
      <c r="AH202" s="120" t="s">
        <v>330</v>
      </c>
      <c r="AI202" s="121"/>
      <c r="AJ202" s="122" t="s">
        <v>201</v>
      </c>
      <c r="AK202" s="118"/>
    </row>
    <row r="203" ht="12.75" customHeight="1">
      <c r="A203" s="79"/>
      <c r="B203" s="132"/>
      <c r="C203" s="133"/>
      <c r="D203" s="133"/>
      <c r="E203" s="134"/>
      <c r="F203" s="134"/>
      <c r="G203" s="141"/>
      <c r="H203" s="145"/>
      <c r="I203" s="145"/>
      <c r="J203" s="110"/>
      <c r="K203" s="146"/>
      <c r="L203" s="146"/>
      <c r="M203" s="110"/>
      <c r="N203" s="107"/>
      <c r="O203" s="107"/>
      <c r="P203" s="136"/>
      <c r="Q203" s="107"/>
      <c r="R203" s="147"/>
      <c r="S203" s="137"/>
      <c r="T203" s="95"/>
      <c r="U203" s="149" t="s">
        <v>299</v>
      </c>
      <c r="V203" s="149" t="s">
        <v>198</v>
      </c>
      <c r="W203" s="149" t="s">
        <v>300</v>
      </c>
      <c r="X203" s="130"/>
      <c r="Y203" s="118"/>
      <c r="Z203" s="118"/>
      <c r="AA203" s="118"/>
      <c r="AB203" s="118"/>
      <c r="AC203" s="118"/>
      <c r="AD203" s="118"/>
      <c r="AE203" s="118"/>
      <c r="AF203" s="118"/>
      <c r="AG203" s="119">
        <v>38.0</v>
      </c>
      <c r="AH203" s="120" t="s">
        <v>331</v>
      </c>
      <c r="AI203" s="121"/>
      <c r="AJ203" s="122" t="s">
        <v>208</v>
      </c>
      <c r="AK203" s="118"/>
    </row>
    <row r="204" ht="12.75" customHeight="1">
      <c r="A204" s="79"/>
      <c r="B204" s="132"/>
      <c r="C204" s="133"/>
      <c r="D204" s="133"/>
      <c r="E204" s="134"/>
      <c r="F204" s="134"/>
      <c r="G204" s="108"/>
      <c r="H204" s="135"/>
      <c r="I204" s="135"/>
      <c r="J204" s="107"/>
      <c r="K204" s="107"/>
      <c r="L204" s="107"/>
      <c r="M204" s="107"/>
      <c r="N204" s="107"/>
      <c r="O204" s="107"/>
      <c r="P204" s="136"/>
      <c r="Q204" s="107"/>
      <c r="R204" s="112"/>
      <c r="S204" s="137"/>
      <c r="T204" s="95"/>
      <c r="U204" s="149" t="s">
        <v>332</v>
      </c>
      <c r="V204" s="149" t="s">
        <v>198</v>
      </c>
      <c r="W204" s="149" t="s">
        <v>333</v>
      </c>
      <c r="X204" s="130"/>
      <c r="Y204" s="118"/>
      <c r="Z204" s="118"/>
      <c r="AA204" s="118"/>
      <c r="AB204" s="118"/>
      <c r="AC204" s="118"/>
      <c r="AD204" s="118"/>
      <c r="AE204" s="118"/>
      <c r="AF204" s="118"/>
      <c r="AG204" s="119">
        <v>39.0</v>
      </c>
      <c r="AH204" s="120" t="s">
        <v>334</v>
      </c>
      <c r="AI204" s="121"/>
      <c r="AJ204" s="122" t="s">
        <v>208</v>
      </c>
      <c r="AK204" s="118"/>
    </row>
    <row r="205" ht="12.75" customHeight="1">
      <c r="A205" s="79"/>
      <c r="B205" s="132"/>
      <c r="C205" s="133"/>
      <c r="D205" s="133"/>
      <c r="E205" s="134"/>
      <c r="F205" s="134"/>
      <c r="G205" s="141"/>
      <c r="H205" s="145"/>
      <c r="I205" s="145"/>
      <c r="J205" s="110"/>
      <c r="K205" s="146"/>
      <c r="L205" s="146"/>
      <c r="M205" s="110"/>
      <c r="N205" s="107"/>
      <c r="O205" s="107"/>
      <c r="P205" s="136"/>
      <c r="Q205" s="107"/>
      <c r="R205" s="147"/>
      <c r="S205" s="137"/>
      <c r="T205" s="95"/>
      <c r="U205" s="116" t="s">
        <v>335</v>
      </c>
      <c r="V205" s="116" t="s">
        <v>198</v>
      </c>
      <c r="W205" s="116" t="s">
        <v>336</v>
      </c>
      <c r="X205" s="117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48"/>
      <c r="AJ205" s="118"/>
      <c r="AK205" s="118"/>
    </row>
    <row r="206" ht="12.75" customHeight="1">
      <c r="A206" s="79"/>
      <c r="B206" s="132"/>
      <c r="C206" s="133"/>
      <c r="D206" s="133"/>
      <c r="E206" s="134"/>
      <c r="F206" s="134"/>
      <c r="G206" s="108"/>
      <c r="H206" s="135"/>
      <c r="I206" s="135"/>
      <c r="J206" s="107"/>
      <c r="K206" s="107"/>
      <c r="L206" s="107"/>
      <c r="M206" s="107"/>
      <c r="N206" s="107"/>
      <c r="O206" s="107"/>
      <c r="P206" s="136"/>
      <c r="Q206" s="107"/>
      <c r="R206" s="112"/>
      <c r="S206" s="137"/>
      <c r="T206" s="95"/>
      <c r="U206" s="116" t="s">
        <v>337</v>
      </c>
      <c r="V206" s="116" t="s">
        <v>198</v>
      </c>
      <c r="W206" s="116" t="s">
        <v>338</v>
      </c>
      <c r="X206" s="117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48"/>
      <c r="AJ206" s="118"/>
      <c r="AK206" s="118"/>
    </row>
    <row r="207" ht="12.75" customHeight="1">
      <c r="A207" s="79"/>
      <c r="B207" s="132"/>
      <c r="C207" s="138"/>
      <c r="D207" s="138"/>
      <c r="E207" s="139"/>
      <c r="F207" s="139"/>
      <c r="G207" s="140"/>
      <c r="H207" s="109"/>
      <c r="I207" s="109"/>
      <c r="J207" s="107"/>
      <c r="K207" s="107"/>
      <c r="L207" s="107"/>
      <c r="M207" s="107"/>
      <c r="N207" s="107"/>
      <c r="O207" s="107"/>
      <c r="P207" s="107"/>
      <c r="Q207" s="107"/>
      <c r="R207" s="134"/>
      <c r="S207" s="137"/>
      <c r="T207" s="95"/>
      <c r="U207" s="116" t="s">
        <v>339</v>
      </c>
      <c r="V207" s="116" t="s">
        <v>198</v>
      </c>
      <c r="W207" s="116" t="s">
        <v>340</v>
      </c>
      <c r="X207" s="117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48"/>
      <c r="AJ207" s="118"/>
      <c r="AK207" s="118"/>
    </row>
    <row r="208" ht="12.75" customHeight="1">
      <c r="A208" s="79"/>
      <c r="B208" s="132"/>
      <c r="C208" s="133"/>
      <c r="D208" s="133"/>
      <c r="E208" s="134"/>
      <c r="F208" s="134"/>
      <c r="G208" s="141"/>
      <c r="H208" s="142"/>
      <c r="I208" s="143"/>
      <c r="J208" s="107"/>
      <c r="K208" s="107"/>
      <c r="L208" s="107"/>
      <c r="M208" s="107"/>
      <c r="N208" s="107"/>
      <c r="O208" s="107"/>
      <c r="P208" s="136"/>
      <c r="Q208" s="107"/>
      <c r="R208" s="137"/>
      <c r="S208" s="137"/>
      <c r="T208" s="95"/>
      <c r="U208" s="44"/>
      <c r="V208" s="44"/>
      <c r="W208" s="44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48"/>
      <c r="AJ208" s="118"/>
      <c r="AK208" s="118"/>
    </row>
    <row r="209" ht="12.75" customHeight="1">
      <c r="A209" s="79"/>
      <c r="B209" s="132"/>
      <c r="C209" s="133"/>
      <c r="D209" s="133"/>
      <c r="E209" s="134"/>
      <c r="F209" s="134"/>
      <c r="G209" s="108"/>
      <c r="H209" s="135"/>
      <c r="I209" s="135"/>
      <c r="J209" s="107"/>
      <c r="K209" s="107"/>
      <c r="L209" s="107"/>
      <c r="M209" s="107"/>
      <c r="N209" s="107"/>
      <c r="O209" s="107"/>
      <c r="P209" s="136"/>
      <c r="Q209" s="107"/>
      <c r="R209" s="112"/>
      <c r="S209" s="137"/>
      <c r="T209" s="95"/>
      <c r="U209" s="95"/>
      <c r="V209" s="95"/>
      <c r="W209" s="95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48"/>
      <c r="AJ209" s="118"/>
      <c r="AK209" s="118"/>
    </row>
    <row r="210" ht="12.75" customHeight="1">
      <c r="A210" s="79"/>
      <c r="B210" s="132"/>
      <c r="C210" s="133"/>
      <c r="D210" s="133"/>
      <c r="E210" s="134"/>
      <c r="F210" s="134"/>
      <c r="G210" s="108"/>
      <c r="H210" s="144"/>
      <c r="I210" s="144"/>
      <c r="J210" s="107"/>
      <c r="K210" s="107"/>
      <c r="L210" s="107"/>
      <c r="M210" s="107"/>
      <c r="N210" s="107"/>
      <c r="O210" s="107"/>
      <c r="P210" s="107"/>
      <c r="Q210" s="107"/>
      <c r="R210" s="112"/>
      <c r="S210" s="137"/>
      <c r="T210" s="95"/>
      <c r="U210" s="95"/>
      <c r="V210" s="95"/>
      <c r="W210" s="95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48"/>
      <c r="AJ210" s="118"/>
      <c r="AK210" s="118"/>
    </row>
    <row r="211" ht="12.75" customHeight="1">
      <c r="A211" s="79"/>
      <c r="B211" s="132"/>
      <c r="C211" s="133"/>
      <c r="D211" s="133"/>
      <c r="E211" s="134"/>
      <c r="F211" s="134"/>
      <c r="G211" s="141"/>
      <c r="H211" s="145"/>
      <c r="I211" s="145"/>
      <c r="J211" s="110"/>
      <c r="K211" s="146"/>
      <c r="L211" s="146"/>
      <c r="M211" s="110"/>
      <c r="N211" s="107"/>
      <c r="O211" s="107"/>
      <c r="P211" s="136"/>
      <c r="Q211" s="107"/>
      <c r="R211" s="147"/>
      <c r="S211" s="137"/>
      <c r="T211" s="95"/>
      <c r="U211" s="126" t="s">
        <v>341</v>
      </c>
      <c r="V211" s="126" t="s">
        <v>342</v>
      </c>
      <c r="W211" s="126" t="s">
        <v>343</v>
      </c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48"/>
      <c r="AJ211" s="118"/>
      <c r="AK211" s="118"/>
    </row>
    <row r="212" ht="12.75" customHeight="1">
      <c r="A212" s="79"/>
      <c r="B212" s="132"/>
      <c r="C212" s="133"/>
      <c r="D212" s="133"/>
      <c r="E212" s="134"/>
      <c r="F212" s="134"/>
      <c r="G212" s="108"/>
      <c r="H212" s="135"/>
      <c r="I212" s="135"/>
      <c r="J212" s="107"/>
      <c r="K212" s="107"/>
      <c r="L212" s="107"/>
      <c r="M212" s="107"/>
      <c r="N212" s="107"/>
      <c r="O212" s="107"/>
      <c r="P212" s="136"/>
      <c r="Q212" s="107"/>
      <c r="R212" s="112"/>
      <c r="S212" s="137"/>
      <c r="T212" s="95"/>
      <c r="U212" s="126" t="s">
        <v>344</v>
      </c>
      <c r="V212" s="126" t="s">
        <v>342</v>
      </c>
      <c r="W212" s="126" t="s">
        <v>345</v>
      </c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48"/>
      <c r="AJ212" s="118"/>
      <c r="AK212" s="118"/>
    </row>
    <row r="213" ht="12.75" customHeight="1">
      <c r="A213" s="79"/>
      <c r="B213" s="132"/>
      <c r="C213" s="138"/>
      <c r="D213" s="138"/>
      <c r="E213" s="139"/>
      <c r="F213" s="139"/>
      <c r="G213" s="140"/>
      <c r="H213" s="109"/>
      <c r="I213" s="109"/>
      <c r="J213" s="107"/>
      <c r="K213" s="107"/>
      <c r="L213" s="107"/>
      <c r="M213" s="107"/>
      <c r="N213" s="107"/>
      <c r="O213" s="107"/>
      <c r="P213" s="107"/>
      <c r="Q213" s="107"/>
      <c r="R213" s="134"/>
      <c r="S213" s="137"/>
      <c r="T213" s="95"/>
      <c r="U213" s="126" t="s">
        <v>346</v>
      </c>
      <c r="V213" s="126" t="s">
        <v>198</v>
      </c>
      <c r="W213" s="126" t="s">
        <v>347</v>
      </c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48"/>
      <c r="AJ213" s="118"/>
      <c r="AK213" s="118"/>
    </row>
    <row r="214" ht="12.75" customHeight="1">
      <c r="A214" s="79"/>
      <c r="B214" s="132"/>
      <c r="C214" s="133"/>
      <c r="D214" s="133"/>
      <c r="E214" s="134"/>
      <c r="F214" s="134"/>
      <c r="G214" s="141"/>
      <c r="H214" s="142"/>
      <c r="I214" s="143"/>
      <c r="J214" s="107"/>
      <c r="K214" s="107"/>
      <c r="L214" s="107"/>
      <c r="M214" s="107"/>
      <c r="N214" s="107"/>
      <c r="O214" s="107"/>
      <c r="P214" s="136"/>
      <c r="Q214" s="107"/>
      <c r="R214" s="137"/>
      <c r="S214" s="137"/>
      <c r="T214" s="95"/>
      <c r="U214" s="95"/>
      <c r="V214" s="95"/>
      <c r="W214" s="95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48"/>
      <c r="AJ214" s="118"/>
      <c r="AK214" s="118"/>
    </row>
    <row r="215" ht="12.75" customHeight="1">
      <c r="A215" s="79"/>
      <c r="B215" s="132"/>
      <c r="C215" s="133"/>
      <c r="D215" s="133"/>
      <c r="E215" s="134"/>
      <c r="F215" s="134"/>
      <c r="G215" s="108"/>
      <c r="H215" s="135"/>
      <c r="I215" s="135"/>
      <c r="J215" s="107"/>
      <c r="K215" s="107"/>
      <c r="L215" s="107"/>
      <c r="M215" s="107"/>
      <c r="N215" s="107"/>
      <c r="O215" s="107"/>
      <c r="P215" s="136"/>
      <c r="Q215" s="107"/>
      <c r="R215" s="112"/>
      <c r="S215" s="137"/>
      <c r="T215" s="95"/>
      <c r="U215" s="95"/>
      <c r="V215" s="95"/>
      <c r="W215" s="95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48"/>
      <c r="AJ215" s="118"/>
      <c r="AK215" s="118"/>
    </row>
    <row r="216" ht="12.75" customHeight="1">
      <c r="A216" s="79"/>
      <c r="B216" s="132"/>
      <c r="C216" s="133"/>
      <c r="D216" s="133"/>
      <c r="E216" s="134"/>
      <c r="F216" s="134"/>
      <c r="G216" s="108"/>
      <c r="H216" s="144"/>
      <c r="I216" s="144"/>
      <c r="J216" s="107"/>
      <c r="K216" s="107"/>
      <c r="L216" s="107"/>
      <c r="M216" s="107"/>
      <c r="N216" s="107"/>
      <c r="O216" s="107"/>
      <c r="P216" s="107"/>
      <c r="Q216" s="107"/>
      <c r="R216" s="112"/>
      <c r="S216" s="137"/>
      <c r="T216" s="95"/>
      <c r="U216" s="95"/>
      <c r="V216" s="95"/>
      <c r="W216" s="95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48"/>
      <c r="AJ216" s="118"/>
      <c r="AK216" s="118"/>
    </row>
    <row r="217" ht="12.75" customHeight="1">
      <c r="A217" s="79"/>
      <c r="B217" s="132"/>
      <c r="C217" s="133"/>
      <c r="D217" s="133"/>
      <c r="E217" s="134"/>
      <c r="F217" s="134"/>
      <c r="G217" s="141"/>
      <c r="H217" s="145"/>
      <c r="I217" s="145"/>
      <c r="J217" s="110"/>
      <c r="K217" s="146"/>
      <c r="L217" s="146"/>
      <c r="M217" s="110"/>
      <c r="N217" s="107"/>
      <c r="O217" s="107"/>
      <c r="P217" s="136"/>
      <c r="Q217" s="107"/>
      <c r="R217" s="147"/>
      <c r="S217" s="137"/>
      <c r="T217" s="95"/>
      <c r="U217" s="126" t="s">
        <v>348</v>
      </c>
      <c r="V217" s="126" t="s">
        <v>198</v>
      </c>
      <c r="W217" s="126" t="s">
        <v>349</v>
      </c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9">
        <v>46.0</v>
      </c>
      <c r="AH217" s="120" t="s">
        <v>350</v>
      </c>
      <c r="AI217" s="121"/>
      <c r="AJ217" s="122" t="s">
        <v>201</v>
      </c>
      <c r="AK217" s="118"/>
    </row>
    <row r="218" ht="12.75" customHeight="1">
      <c r="A218" s="79"/>
      <c r="B218" s="132"/>
      <c r="C218" s="133"/>
      <c r="D218" s="133"/>
      <c r="E218" s="134"/>
      <c r="F218" s="134"/>
      <c r="G218" s="108"/>
      <c r="H218" s="135"/>
      <c r="I218" s="135"/>
      <c r="J218" s="107"/>
      <c r="K218" s="107"/>
      <c r="L218" s="107"/>
      <c r="M218" s="107"/>
      <c r="N218" s="107"/>
      <c r="O218" s="107"/>
      <c r="P218" s="136"/>
      <c r="Q218" s="107"/>
      <c r="R218" s="112"/>
      <c r="S218" s="137"/>
      <c r="T218" s="95"/>
      <c r="U218" s="126" t="s">
        <v>351</v>
      </c>
      <c r="V218" s="126" t="s">
        <v>198</v>
      </c>
      <c r="W218" s="126" t="s">
        <v>352</v>
      </c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48"/>
      <c r="AJ218" s="118"/>
      <c r="AK218" s="118"/>
    </row>
    <row r="219" ht="12.75" customHeight="1">
      <c r="A219" s="79"/>
      <c r="B219" s="132"/>
      <c r="C219" s="133"/>
      <c r="D219" s="133"/>
      <c r="E219" s="134"/>
      <c r="F219" s="134"/>
      <c r="G219" s="141"/>
      <c r="H219" s="145"/>
      <c r="I219" s="145"/>
      <c r="J219" s="110"/>
      <c r="K219" s="146"/>
      <c r="L219" s="146"/>
      <c r="M219" s="110"/>
      <c r="N219" s="107"/>
      <c r="O219" s="107"/>
      <c r="P219" s="136"/>
      <c r="Q219" s="107"/>
      <c r="R219" s="147"/>
      <c r="S219" s="137"/>
      <c r="T219" s="95"/>
      <c r="U219" s="126" t="s">
        <v>353</v>
      </c>
      <c r="V219" s="126" t="s">
        <v>198</v>
      </c>
      <c r="W219" s="126" t="s">
        <v>354</v>
      </c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48"/>
      <c r="AJ219" s="118"/>
      <c r="AK219" s="118"/>
    </row>
    <row r="220" ht="9.75" customHeight="1">
      <c r="A220" s="79"/>
      <c r="B220" s="132"/>
      <c r="C220" s="133"/>
      <c r="D220" s="133"/>
      <c r="E220" s="134"/>
      <c r="F220" s="134"/>
      <c r="G220" s="108"/>
      <c r="H220" s="135"/>
      <c r="I220" s="135"/>
      <c r="J220" s="107"/>
      <c r="K220" s="107"/>
      <c r="L220" s="107"/>
      <c r="M220" s="107"/>
      <c r="N220" s="107"/>
      <c r="O220" s="107"/>
      <c r="P220" s="136"/>
      <c r="Q220" s="107"/>
      <c r="R220" s="112"/>
      <c r="S220" s="137"/>
      <c r="T220" s="95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  <c r="AH220" s="114"/>
      <c r="AI220" s="114"/>
      <c r="AJ220" s="114"/>
      <c r="AK220" s="114"/>
    </row>
    <row r="221" ht="9.75" customHeight="1">
      <c r="A221" s="79"/>
      <c r="B221" s="132"/>
      <c r="C221" s="138"/>
      <c r="D221" s="138"/>
      <c r="E221" s="139"/>
      <c r="F221" s="139"/>
      <c r="G221" s="140"/>
      <c r="H221" s="109"/>
      <c r="I221" s="109"/>
      <c r="J221" s="107"/>
      <c r="K221" s="107"/>
      <c r="L221" s="107"/>
      <c r="M221" s="107"/>
      <c r="N221" s="107"/>
      <c r="O221" s="107"/>
      <c r="P221" s="107"/>
      <c r="Q221" s="107"/>
      <c r="R221" s="134"/>
      <c r="S221" s="137"/>
      <c r="T221" s="44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</row>
    <row r="222" ht="9.75" customHeight="1">
      <c r="A222" s="79"/>
      <c r="B222" s="132"/>
      <c r="C222" s="133"/>
      <c r="D222" s="133"/>
      <c r="E222" s="134"/>
      <c r="F222" s="134"/>
      <c r="G222" s="141"/>
      <c r="H222" s="142"/>
      <c r="I222" s="143"/>
      <c r="J222" s="107"/>
      <c r="K222" s="107"/>
      <c r="L222" s="107"/>
      <c r="M222" s="107"/>
      <c r="N222" s="107"/>
      <c r="O222" s="107"/>
      <c r="P222" s="136"/>
      <c r="Q222" s="107"/>
      <c r="R222" s="137"/>
      <c r="S222" s="137"/>
      <c r="T222" s="95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  <c r="AH222" s="114"/>
      <c r="AI222" s="114"/>
      <c r="AJ222" s="114"/>
      <c r="AK222" s="114"/>
    </row>
    <row r="223" ht="12.75" customHeight="1">
      <c r="A223" s="79"/>
      <c r="B223" s="132"/>
      <c r="C223" s="133"/>
      <c r="D223" s="133"/>
      <c r="E223" s="134"/>
      <c r="F223" s="134"/>
      <c r="G223" s="108"/>
      <c r="H223" s="135"/>
      <c r="I223" s="135"/>
      <c r="J223" s="107"/>
      <c r="K223" s="107"/>
      <c r="L223" s="107"/>
      <c r="M223" s="107"/>
      <c r="N223" s="107"/>
      <c r="O223" s="107"/>
      <c r="P223" s="136"/>
      <c r="Q223" s="107"/>
      <c r="R223" s="112"/>
      <c r="S223" s="137"/>
      <c r="T223" s="95"/>
      <c r="U223" s="126"/>
      <c r="V223" s="126"/>
      <c r="W223" s="126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9"/>
      <c r="AH223" s="120"/>
      <c r="AI223" s="121"/>
      <c r="AJ223" s="122"/>
      <c r="AK223" s="118"/>
    </row>
    <row r="224" ht="12.75" customHeight="1">
      <c r="A224" s="79"/>
      <c r="B224" s="132"/>
      <c r="C224" s="133"/>
      <c r="D224" s="133"/>
      <c r="E224" s="134"/>
      <c r="F224" s="134"/>
      <c r="G224" s="108"/>
      <c r="H224" s="144"/>
      <c r="I224" s="144"/>
      <c r="J224" s="107"/>
      <c r="K224" s="107"/>
      <c r="L224" s="107"/>
      <c r="M224" s="107"/>
      <c r="N224" s="107"/>
      <c r="O224" s="107"/>
      <c r="P224" s="107"/>
      <c r="Q224" s="107"/>
      <c r="R224" s="112"/>
      <c r="S224" s="137"/>
      <c r="T224" s="95"/>
      <c r="U224" s="126"/>
      <c r="V224" s="126"/>
      <c r="W224" s="126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48"/>
      <c r="AJ224" s="118"/>
      <c r="AK224" s="118"/>
    </row>
    <row r="225" ht="12.75" customHeight="1">
      <c r="A225" s="79"/>
      <c r="B225" s="132"/>
      <c r="C225" s="133"/>
      <c r="D225" s="133"/>
      <c r="E225" s="134"/>
      <c r="F225" s="134"/>
      <c r="G225" s="141"/>
      <c r="H225" s="145"/>
      <c r="I225" s="145"/>
      <c r="J225" s="110"/>
      <c r="K225" s="146"/>
      <c r="L225" s="146"/>
      <c r="M225" s="110"/>
      <c r="N225" s="107"/>
      <c r="O225" s="107"/>
      <c r="P225" s="136"/>
      <c r="Q225" s="107"/>
      <c r="R225" s="147"/>
      <c r="S225" s="137"/>
      <c r="T225" s="95"/>
      <c r="U225" s="126"/>
      <c r="V225" s="126"/>
      <c r="W225" s="126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48"/>
      <c r="AJ225" s="118"/>
      <c r="AK225" s="118"/>
    </row>
    <row r="226" ht="12.75" customHeight="1">
      <c r="A226" s="79"/>
      <c r="B226" s="132"/>
      <c r="C226" s="133"/>
      <c r="D226" s="133"/>
      <c r="E226" s="134"/>
      <c r="F226" s="134"/>
      <c r="G226" s="108"/>
      <c r="H226" s="135"/>
      <c r="I226" s="135"/>
      <c r="J226" s="107"/>
      <c r="K226" s="107"/>
      <c r="L226" s="107"/>
      <c r="M226" s="107"/>
      <c r="N226" s="107"/>
      <c r="O226" s="107"/>
      <c r="P226" s="136"/>
      <c r="Q226" s="107"/>
      <c r="R226" s="112"/>
      <c r="S226" s="137"/>
      <c r="T226" s="95"/>
      <c r="U226" s="126"/>
      <c r="V226" s="126"/>
      <c r="W226" s="126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48"/>
      <c r="AJ226" s="118"/>
      <c r="AK226" s="118"/>
    </row>
    <row r="227" ht="12.75" customHeight="1">
      <c r="A227" s="79"/>
      <c r="B227" s="132"/>
      <c r="C227" s="138"/>
      <c r="D227" s="138"/>
      <c r="E227" s="139"/>
      <c r="F227" s="139"/>
      <c r="G227" s="140"/>
      <c r="H227" s="109"/>
      <c r="I227" s="109"/>
      <c r="J227" s="107"/>
      <c r="K227" s="107"/>
      <c r="L227" s="107"/>
      <c r="M227" s="107"/>
      <c r="N227" s="107"/>
      <c r="O227" s="107"/>
      <c r="P227" s="107"/>
      <c r="Q227" s="107"/>
      <c r="R227" s="134"/>
      <c r="S227" s="137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</row>
    <row r="228" ht="12.75" customHeight="1">
      <c r="A228" s="79"/>
      <c r="B228" s="132"/>
      <c r="C228" s="133"/>
      <c r="D228" s="133"/>
      <c r="E228" s="134"/>
      <c r="F228" s="134"/>
      <c r="G228" s="141"/>
      <c r="H228" s="142"/>
      <c r="I228" s="143"/>
      <c r="J228" s="107"/>
      <c r="K228" s="107"/>
      <c r="L228" s="107"/>
      <c r="M228" s="107"/>
      <c r="N228" s="107"/>
      <c r="O228" s="107"/>
      <c r="P228" s="136"/>
      <c r="Q228" s="107"/>
      <c r="R228" s="137"/>
      <c r="S228" s="137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</row>
    <row r="229" ht="12.75" customHeight="1">
      <c r="A229" s="79"/>
      <c r="B229" s="132"/>
      <c r="C229" s="133"/>
      <c r="D229" s="133"/>
      <c r="E229" s="134"/>
      <c r="F229" s="134"/>
      <c r="G229" s="108"/>
      <c r="H229" s="135"/>
      <c r="I229" s="135"/>
      <c r="J229" s="107"/>
      <c r="K229" s="107"/>
      <c r="L229" s="107"/>
      <c r="M229" s="107"/>
      <c r="N229" s="107"/>
      <c r="O229" s="107"/>
      <c r="P229" s="136"/>
      <c r="Q229" s="107"/>
      <c r="R229" s="112"/>
      <c r="S229" s="137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</row>
    <row r="230" ht="12.75" customHeight="1">
      <c r="A230" s="79"/>
      <c r="B230" s="132"/>
      <c r="C230" s="133"/>
      <c r="D230" s="133"/>
      <c r="E230" s="134"/>
      <c r="F230" s="134"/>
      <c r="G230" s="108"/>
      <c r="H230" s="144"/>
      <c r="I230" s="144"/>
      <c r="J230" s="107"/>
      <c r="K230" s="107"/>
      <c r="L230" s="107"/>
      <c r="M230" s="107"/>
      <c r="N230" s="107"/>
      <c r="O230" s="107"/>
      <c r="P230" s="107"/>
      <c r="Q230" s="107"/>
      <c r="R230" s="112"/>
      <c r="S230" s="137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</row>
    <row r="231" ht="12.75" customHeight="1">
      <c r="A231" s="79"/>
      <c r="B231" s="132"/>
      <c r="C231" s="133"/>
      <c r="D231" s="133"/>
      <c r="E231" s="134"/>
      <c r="F231" s="134"/>
      <c r="G231" s="141"/>
      <c r="H231" s="145"/>
      <c r="I231" s="145"/>
      <c r="J231" s="110"/>
      <c r="K231" s="146"/>
      <c r="L231" s="146"/>
      <c r="M231" s="110"/>
      <c r="N231" s="107"/>
      <c r="O231" s="107"/>
      <c r="P231" s="136"/>
      <c r="Q231" s="107"/>
      <c r="R231" s="147"/>
      <c r="S231" s="137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</row>
    <row r="232" ht="12.75" customHeight="1">
      <c r="A232" s="79"/>
      <c r="B232" s="132"/>
      <c r="C232" s="133"/>
      <c r="D232" s="133"/>
      <c r="E232" s="134"/>
      <c r="F232" s="134"/>
      <c r="G232" s="108"/>
      <c r="H232" s="135"/>
      <c r="I232" s="135"/>
      <c r="J232" s="107"/>
      <c r="K232" s="107"/>
      <c r="L232" s="107"/>
      <c r="M232" s="107"/>
      <c r="N232" s="107"/>
      <c r="O232" s="107"/>
      <c r="P232" s="136"/>
      <c r="Q232" s="107"/>
      <c r="R232" s="112"/>
      <c r="S232" s="137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</row>
    <row r="233" ht="12.75" customHeight="1">
      <c r="A233" s="79"/>
      <c r="B233" s="132"/>
      <c r="C233" s="133"/>
      <c r="D233" s="133"/>
      <c r="E233" s="134"/>
      <c r="F233" s="134"/>
      <c r="G233" s="141"/>
      <c r="H233" s="145"/>
      <c r="I233" s="145"/>
      <c r="J233" s="110"/>
      <c r="K233" s="146"/>
      <c r="L233" s="146"/>
      <c r="M233" s="110"/>
      <c r="N233" s="107"/>
      <c r="O233" s="107"/>
      <c r="P233" s="136"/>
      <c r="Q233" s="107"/>
      <c r="R233" s="147"/>
      <c r="S233" s="137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</row>
    <row r="234" ht="12.75" customHeight="1">
      <c r="A234" s="79"/>
      <c r="B234" s="132"/>
      <c r="C234" s="133"/>
      <c r="D234" s="133"/>
      <c r="E234" s="134"/>
      <c r="F234" s="134"/>
      <c r="G234" s="108"/>
      <c r="H234" s="135"/>
      <c r="I234" s="135"/>
      <c r="J234" s="107"/>
      <c r="K234" s="107"/>
      <c r="L234" s="107"/>
      <c r="M234" s="107"/>
      <c r="N234" s="107"/>
      <c r="O234" s="107"/>
      <c r="P234" s="136"/>
      <c r="Q234" s="107"/>
      <c r="R234" s="112"/>
      <c r="S234" s="137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</row>
    <row r="235" ht="12.75" customHeight="1">
      <c r="A235" s="79"/>
      <c r="B235" s="132"/>
      <c r="C235" s="138"/>
      <c r="D235" s="138"/>
      <c r="E235" s="139"/>
      <c r="F235" s="139"/>
      <c r="G235" s="140"/>
      <c r="H235" s="109"/>
      <c r="I235" s="109"/>
      <c r="J235" s="107"/>
      <c r="K235" s="107"/>
      <c r="L235" s="107"/>
      <c r="M235" s="107"/>
      <c r="N235" s="107"/>
      <c r="O235" s="107"/>
      <c r="P235" s="107"/>
      <c r="Q235" s="107"/>
      <c r="R235" s="134"/>
      <c r="S235" s="137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</row>
    <row r="236" ht="12.75" customHeight="1">
      <c r="A236" s="79"/>
      <c r="B236" s="132"/>
      <c r="C236" s="133"/>
      <c r="D236" s="133"/>
      <c r="E236" s="134"/>
      <c r="F236" s="134"/>
      <c r="G236" s="141"/>
      <c r="H236" s="142"/>
      <c r="I236" s="143"/>
      <c r="J236" s="107"/>
      <c r="K236" s="107"/>
      <c r="L236" s="107"/>
      <c r="M236" s="107"/>
      <c r="N236" s="107"/>
      <c r="O236" s="107"/>
      <c r="P236" s="136"/>
      <c r="Q236" s="107"/>
      <c r="R236" s="137"/>
      <c r="S236" s="137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</row>
    <row r="237" ht="12.75" customHeight="1">
      <c r="A237" s="79"/>
      <c r="B237" s="132"/>
      <c r="C237" s="133"/>
      <c r="D237" s="133"/>
      <c r="E237" s="134"/>
      <c r="F237" s="134"/>
      <c r="G237" s="108"/>
      <c r="H237" s="135"/>
      <c r="I237" s="135"/>
      <c r="J237" s="107"/>
      <c r="K237" s="107"/>
      <c r="L237" s="107"/>
      <c r="M237" s="107"/>
      <c r="N237" s="107"/>
      <c r="O237" s="107"/>
      <c r="P237" s="136"/>
      <c r="Q237" s="107"/>
      <c r="R237" s="112"/>
      <c r="S237" s="137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</row>
    <row r="238" ht="12.75" customHeight="1">
      <c r="A238" s="79"/>
      <c r="B238" s="132"/>
      <c r="C238" s="133"/>
      <c r="D238" s="133"/>
      <c r="E238" s="134"/>
      <c r="F238" s="134"/>
      <c r="G238" s="108"/>
      <c r="H238" s="144"/>
      <c r="I238" s="144"/>
      <c r="J238" s="107"/>
      <c r="K238" s="107"/>
      <c r="L238" s="107"/>
      <c r="M238" s="107"/>
      <c r="N238" s="107"/>
      <c r="O238" s="107"/>
      <c r="P238" s="107"/>
      <c r="Q238" s="107"/>
      <c r="R238" s="112"/>
      <c r="S238" s="137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</row>
    <row r="239" ht="12.75" customHeight="1">
      <c r="A239" s="79"/>
      <c r="B239" s="132"/>
      <c r="C239" s="133"/>
      <c r="D239" s="133"/>
      <c r="E239" s="134"/>
      <c r="F239" s="134"/>
      <c r="G239" s="141"/>
      <c r="H239" s="145"/>
      <c r="I239" s="145"/>
      <c r="J239" s="110"/>
      <c r="K239" s="146"/>
      <c r="L239" s="146"/>
      <c r="M239" s="110"/>
      <c r="N239" s="107"/>
      <c r="O239" s="107"/>
      <c r="P239" s="136"/>
      <c r="Q239" s="107"/>
      <c r="R239" s="147"/>
      <c r="S239" s="137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</row>
    <row r="240" ht="12.75" customHeight="1">
      <c r="A240" s="79"/>
      <c r="B240" s="132"/>
      <c r="C240" s="133"/>
      <c r="D240" s="133"/>
      <c r="E240" s="134"/>
      <c r="F240" s="134"/>
      <c r="G240" s="108"/>
      <c r="H240" s="135"/>
      <c r="I240" s="135"/>
      <c r="J240" s="107"/>
      <c r="K240" s="107"/>
      <c r="L240" s="107"/>
      <c r="M240" s="107"/>
      <c r="N240" s="107"/>
      <c r="O240" s="107"/>
      <c r="P240" s="136"/>
      <c r="Q240" s="107"/>
      <c r="R240" s="112"/>
      <c r="S240" s="137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</row>
    <row r="241" ht="12.75" customHeight="1">
      <c r="A241" s="79"/>
      <c r="B241" s="132"/>
      <c r="C241" s="138"/>
      <c r="D241" s="138"/>
      <c r="E241" s="139"/>
      <c r="F241" s="139"/>
      <c r="G241" s="140"/>
      <c r="H241" s="109"/>
      <c r="I241" s="109"/>
      <c r="J241" s="107"/>
      <c r="K241" s="107"/>
      <c r="L241" s="107"/>
      <c r="M241" s="107"/>
      <c r="N241" s="107"/>
      <c r="O241" s="107"/>
      <c r="P241" s="107"/>
      <c r="Q241" s="107"/>
      <c r="R241" s="134"/>
      <c r="S241" s="137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</row>
    <row r="242" ht="12.75" customHeight="1">
      <c r="A242" s="79"/>
      <c r="B242" s="132"/>
      <c r="C242" s="133"/>
      <c r="D242" s="133"/>
      <c r="E242" s="134"/>
      <c r="F242" s="134"/>
      <c r="G242" s="141"/>
      <c r="H242" s="142"/>
      <c r="I242" s="143"/>
      <c r="J242" s="107"/>
      <c r="K242" s="107"/>
      <c r="L242" s="107"/>
      <c r="M242" s="107"/>
      <c r="N242" s="107"/>
      <c r="O242" s="107"/>
      <c r="P242" s="136"/>
      <c r="Q242" s="107"/>
      <c r="R242" s="137"/>
      <c r="S242" s="137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</row>
    <row r="243" ht="12.75" customHeight="1">
      <c r="A243" s="79"/>
      <c r="B243" s="132"/>
      <c r="C243" s="133"/>
      <c r="D243" s="133"/>
      <c r="E243" s="134"/>
      <c r="F243" s="134"/>
      <c r="G243" s="108"/>
      <c r="H243" s="135"/>
      <c r="I243" s="135"/>
      <c r="J243" s="107"/>
      <c r="K243" s="107"/>
      <c r="L243" s="107"/>
      <c r="M243" s="107"/>
      <c r="N243" s="107"/>
      <c r="O243" s="107"/>
      <c r="P243" s="136"/>
      <c r="Q243" s="107"/>
      <c r="R243" s="112"/>
      <c r="S243" s="137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</row>
    <row r="244" ht="12.75" customHeight="1">
      <c r="A244" s="79"/>
      <c r="B244" s="132"/>
      <c r="C244" s="133"/>
      <c r="D244" s="133"/>
      <c r="E244" s="134"/>
      <c r="F244" s="134"/>
      <c r="G244" s="108"/>
      <c r="H244" s="144"/>
      <c r="I244" s="144"/>
      <c r="J244" s="107"/>
      <c r="K244" s="107"/>
      <c r="L244" s="107"/>
      <c r="M244" s="107"/>
      <c r="N244" s="107"/>
      <c r="O244" s="107"/>
      <c r="P244" s="107"/>
      <c r="Q244" s="107"/>
      <c r="R244" s="112"/>
      <c r="S244" s="137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</row>
    <row r="245" ht="12.75" customHeight="1">
      <c r="A245" s="79"/>
      <c r="B245" s="132"/>
      <c r="C245" s="133"/>
      <c r="D245" s="133"/>
      <c r="E245" s="134"/>
      <c r="F245" s="134"/>
      <c r="G245" s="141"/>
      <c r="H245" s="145"/>
      <c r="I245" s="145"/>
      <c r="J245" s="110"/>
      <c r="K245" s="146"/>
      <c r="L245" s="146"/>
      <c r="M245" s="110"/>
      <c r="N245" s="107"/>
      <c r="O245" s="107"/>
      <c r="P245" s="136"/>
      <c r="Q245" s="107"/>
      <c r="R245" s="147"/>
      <c r="S245" s="137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</row>
    <row r="246" ht="12.75" customHeight="1">
      <c r="A246" s="79"/>
      <c r="B246" s="132"/>
      <c r="C246" s="133"/>
      <c r="D246" s="133"/>
      <c r="E246" s="134"/>
      <c r="F246" s="134"/>
      <c r="G246" s="108"/>
      <c r="H246" s="135"/>
      <c r="I246" s="135"/>
      <c r="J246" s="107"/>
      <c r="K246" s="107"/>
      <c r="L246" s="107"/>
      <c r="M246" s="107"/>
      <c r="N246" s="107"/>
      <c r="O246" s="107"/>
      <c r="P246" s="136"/>
      <c r="Q246" s="107"/>
      <c r="R246" s="112"/>
      <c r="S246" s="137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</row>
    <row r="247" ht="12.75" customHeight="1">
      <c r="A247" s="79"/>
      <c r="B247" s="132"/>
      <c r="C247" s="133"/>
      <c r="D247" s="133"/>
      <c r="E247" s="134"/>
      <c r="F247" s="134"/>
      <c r="G247" s="141"/>
      <c r="H247" s="145"/>
      <c r="I247" s="145"/>
      <c r="J247" s="110"/>
      <c r="K247" s="146"/>
      <c r="L247" s="146"/>
      <c r="M247" s="110"/>
      <c r="N247" s="107"/>
      <c r="O247" s="107"/>
      <c r="P247" s="136"/>
      <c r="Q247" s="107"/>
      <c r="R247" s="147"/>
      <c r="S247" s="137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</row>
    <row r="248" ht="12.75" customHeight="1">
      <c r="A248" s="79"/>
      <c r="B248" s="132"/>
      <c r="C248" s="133"/>
      <c r="D248" s="133"/>
      <c r="E248" s="134"/>
      <c r="F248" s="134"/>
      <c r="G248" s="108"/>
      <c r="H248" s="135"/>
      <c r="I248" s="135"/>
      <c r="J248" s="107"/>
      <c r="K248" s="107"/>
      <c r="L248" s="107"/>
      <c r="M248" s="107"/>
      <c r="N248" s="107"/>
      <c r="O248" s="107"/>
      <c r="P248" s="136"/>
      <c r="Q248" s="107"/>
      <c r="R248" s="112"/>
      <c r="S248" s="137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</row>
    <row r="249" ht="12.75" customHeight="1">
      <c r="A249" s="79"/>
      <c r="B249" s="132"/>
      <c r="C249" s="138"/>
      <c r="D249" s="138"/>
      <c r="E249" s="139"/>
      <c r="F249" s="139"/>
      <c r="G249" s="140"/>
      <c r="H249" s="109"/>
      <c r="I249" s="109"/>
      <c r="J249" s="107"/>
      <c r="K249" s="107"/>
      <c r="L249" s="107"/>
      <c r="M249" s="107"/>
      <c r="N249" s="107"/>
      <c r="O249" s="107"/>
      <c r="P249" s="107"/>
      <c r="Q249" s="107"/>
      <c r="R249" s="134"/>
      <c r="S249" s="137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</row>
    <row r="250" ht="12.75" customHeight="1">
      <c r="A250" s="79"/>
      <c r="B250" s="132"/>
      <c r="C250" s="133"/>
      <c r="D250" s="133"/>
      <c r="E250" s="134"/>
      <c r="F250" s="134"/>
      <c r="G250" s="141"/>
      <c r="H250" s="142"/>
      <c r="I250" s="143"/>
      <c r="J250" s="107"/>
      <c r="K250" s="107"/>
      <c r="L250" s="107"/>
      <c r="M250" s="107"/>
      <c r="N250" s="107"/>
      <c r="O250" s="107"/>
      <c r="P250" s="136"/>
      <c r="Q250" s="107"/>
      <c r="R250" s="137"/>
      <c r="S250" s="137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</row>
    <row r="251" ht="12.75" customHeight="1">
      <c r="A251" s="79"/>
      <c r="B251" s="132"/>
      <c r="C251" s="133"/>
      <c r="D251" s="133"/>
      <c r="E251" s="134"/>
      <c r="F251" s="134"/>
      <c r="G251" s="108"/>
      <c r="H251" s="135"/>
      <c r="I251" s="135"/>
      <c r="J251" s="107"/>
      <c r="K251" s="107"/>
      <c r="L251" s="107"/>
      <c r="M251" s="107"/>
      <c r="N251" s="107"/>
      <c r="O251" s="107"/>
      <c r="P251" s="136"/>
      <c r="Q251" s="107"/>
      <c r="R251" s="112"/>
      <c r="S251" s="137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</row>
    <row r="252" ht="12.75" customHeight="1">
      <c r="A252" s="79"/>
      <c r="B252" s="132"/>
      <c r="C252" s="133"/>
      <c r="D252" s="133"/>
      <c r="E252" s="134"/>
      <c r="F252" s="134"/>
      <c r="G252" s="108"/>
      <c r="H252" s="144"/>
      <c r="I252" s="144"/>
      <c r="J252" s="107"/>
      <c r="K252" s="107"/>
      <c r="L252" s="107"/>
      <c r="M252" s="107"/>
      <c r="N252" s="107"/>
      <c r="O252" s="107"/>
      <c r="P252" s="107"/>
      <c r="Q252" s="107"/>
      <c r="R252" s="112"/>
      <c r="S252" s="137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</row>
    <row r="253" ht="12.75" customHeight="1">
      <c r="A253" s="79"/>
      <c r="B253" s="132"/>
      <c r="C253" s="133"/>
      <c r="D253" s="133"/>
      <c r="E253" s="134"/>
      <c r="F253" s="134"/>
      <c r="G253" s="141"/>
      <c r="H253" s="145"/>
      <c r="I253" s="145"/>
      <c r="J253" s="110"/>
      <c r="K253" s="146"/>
      <c r="L253" s="146"/>
      <c r="M253" s="110"/>
      <c r="N253" s="107"/>
      <c r="O253" s="107"/>
      <c r="P253" s="136"/>
      <c r="Q253" s="107"/>
      <c r="R253" s="147"/>
      <c r="S253" s="137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</row>
    <row r="254" ht="12.75" customHeight="1">
      <c r="A254" s="79"/>
      <c r="B254" s="132"/>
      <c r="C254" s="133"/>
      <c r="D254" s="133"/>
      <c r="E254" s="134"/>
      <c r="F254" s="134"/>
      <c r="G254" s="108"/>
      <c r="H254" s="135"/>
      <c r="I254" s="135"/>
      <c r="J254" s="107"/>
      <c r="K254" s="107"/>
      <c r="L254" s="107"/>
      <c r="M254" s="107"/>
      <c r="N254" s="107"/>
      <c r="O254" s="107"/>
      <c r="P254" s="136"/>
      <c r="Q254" s="107"/>
      <c r="R254" s="112"/>
      <c r="S254" s="137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</row>
    <row r="255" ht="12.75" customHeight="1">
      <c r="A255" s="79"/>
      <c r="B255" s="132"/>
      <c r="C255" s="138"/>
      <c r="D255" s="138"/>
      <c r="E255" s="139"/>
      <c r="F255" s="139"/>
      <c r="G255" s="140"/>
      <c r="H255" s="109"/>
      <c r="I255" s="109"/>
      <c r="J255" s="107"/>
      <c r="K255" s="107"/>
      <c r="L255" s="107"/>
      <c r="M255" s="107"/>
      <c r="N255" s="107"/>
      <c r="O255" s="107"/>
      <c r="P255" s="107"/>
      <c r="Q255" s="107"/>
      <c r="R255" s="134"/>
      <c r="S255" s="137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</row>
    <row r="256" ht="12.75" customHeight="1">
      <c r="A256" s="79"/>
      <c r="B256" s="132"/>
      <c r="C256" s="133"/>
      <c r="D256" s="133"/>
      <c r="E256" s="134"/>
      <c r="F256" s="134"/>
      <c r="G256" s="141"/>
      <c r="H256" s="142"/>
      <c r="I256" s="143"/>
      <c r="J256" s="107"/>
      <c r="K256" s="107"/>
      <c r="L256" s="107"/>
      <c r="M256" s="107"/>
      <c r="N256" s="107"/>
      <c r="O256" s="107"/>
      <c r="P256" s="136"/>
      <c r="Q256" s="107"/>
      <c r="R256" s="137"/>
      <c r="S256" s="137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</row>
    <row r="257" ht="12.75" customHeight="1">
      <c r="A257" s="79"/>
      <c r="B257" s="132"/>
      <c r="C257" s="133"/>
      <c r="D257" s="133"/>
      <c r="E257" s="134"/>
      <c r="F257" s="134"/>
      <c r="G257" s="108"/>
      <c r="H257" s="135"/>
      <c r="I257" s="135"/>
      <c r="J257" s="107"/>
      <c r="K257" s="107"/>
      <c r="L257" s="107"/>
      <c r="M257" s="107"/>
      <c r="N257" s="107"/>
      <c r="O257" s="107"/>
      <c r="P257" s="136"/>
      <c r="Q257" s="107"/>
      <c r="R257" s="112"/>
      <c r="S257" s="137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</row>
    <row r="258" ht="12.75" customHeight="1">
      <c r="A258" s="79"/>
      <c r="B258" s="132"/>
      <c r="C258" s="133"/>
      <c r="D258" s="133"/>
      <c r="E258" s="134"/>
      <c r="F258" s="134"/>
      <c r="G258" s="108"/>
      <c r="H258" s="144"/>
      <c r="I258" s="144"/>
      <c r="J258" s="107"/>
      <c r="K258" s="107"/>
      <c r="L258" s="107"/>
      <c r="M258" s="107"/>
      <c r="N258" s="107"/>
      <c r="O258" s="107"/>
      <c r="P258" s="107"/>
      <c r="Q258" s="107"/>
      <c r="R258" s="112"/>
      <c r="S258" s="137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</row>
    <row r="259" ht="12.75" customHeight="1">
      <c r="A259" s="79"/>
      <c r="B259" s="132"/>
      <c r="C259" s="133"/>
      <c r="D259" s="133"/>
      <c r="E259" s="134"/>
      <c r="F259" s="134"/>
      <c r="G259" s="141"/>
      <c r="H259" s="145"/>
      <c r="I259" s="145"/>
      <c r="J259" s="110"/>
      <c r="K259" s="146"/>
      <c r="L259" s="146"/>
      <c r="M259" s="110"/>
      <c r="N259" s="107"/>
      <c r="O259" s="107"/>
      <c r="P259" s="136"/>
      <c r="Q259" s="107"/>
      <c r="R259" s="147"/>
      <c r="S259" s="137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</row>
    <row r="260" ht="12.75" customHeight="1">
      <c r="A260" s="79"/>
      <c r="B260" s="132"/>
      <c r="C260" s="133"/>
      <c r="D260" s="133"/>
      <c r="E260" s="134"/>
      <c r="F260" s="134"/>
      <c r="G260" s="108"/>
      <c r="H260" s="135"/>
      <c r="I260" s="135"/>
      <c r="J260" s="107"/>
      <c r="K260" s="107"/>
      <c r="L260" s="107"/>
      <c r="M260" s="107"/>
      <c r="N260" s="107"/>
      <c r="O260" s="107"/>
      <c r="P260" s="136"/>
      <c r="Q260" s="107"/>
      <c r="R260" s="112"/>
      <c r="S260" s="137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</row>
    <row r="261" ht="12.75" customHeight="1">
      <c r="A261" s="79"/>
      <c r="B261" s="132"/>
      <c r="C261" s="133"/>
      <c r="D261" s="133"/>
      <c r="E261" s="134"/>
      <c r="F261" s="134"/>
      <c r="G261" s="141"/>
      <c r="H261" s="145"/>
      <c r="I261" s="145"/>
      <c r="J261" s="110"/>
      <c r="K261" s="146"/>
      <c r="L261" s="146"/>
      <c r="M261" s="110"/>
      <c r="N261" s="107"/>
      <c r="O261" s="107"/>
      <c r="P261" s="136"/>
      <c r="Q261" s="107"/>
      <c r="R261" s="147"/>
      <c r="S261" s="137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</row>
    <row r="262" ht="12.75" customHeight="1">
      <c r="A262" s="79"/>
      <c r="B262" s="132"/>
      <c r="C262" s="133"/>
      <c r="D262" s="133"/>
      <c r="E262" s="134"/>
      <c r="F262" s="134"/>
      <c r="G262" s="108"/>
      <c r="H262" s="135"/>
      <c r="I262" s="135"/>
      <c r="J262" s="107"/>
      <c r="K262" s="107"/>
      <c r="L262" s="107"/>
      <c r="M262" s="107"/>
      <c r="N262" s="107"/>
      <c r="O262" s="107"/>
      <c r="P262" s="136"/>
      <c r="Q262" s="107"/>
      <c r="R262" s="112"/>
      <c r="S262" s="137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</row>
    <row r="263" ht="12.75" customHeight="1">
      <c r="A263" s="79"/>
      <c r="B263" s="132"/>
      <c r="C263" s="138"/>
      <c r="D263" s="138"/>
      <c r="E263" s="139"/>
      <c r="F263" s="139"/>
      <c r="G263" s="140"/>
      <c r="H263" s="109"/>
      <c r="I263" s="109"/>
      <c r="J263" s="107"/>
      <c r="K263" s="107"/>
      <c r="L263" s="107"/>
      <c r="M263" s="107"/>
      <c r="N263" s="107"/>
      <c r="O263" s="107"/>
      <c r="P263" s="107"/>
      <c r="Q263" s="107"/>
      <c r="R263" s="134"/>
      <c r="S263" s="137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</row>
    <row r="264" ht="12.75" customHeight="1">
      <c r="A264" s="79"/>
      <c r="B264" s="132"/>
      <c r="C264" s="133"/>
      <c r="D264" s="133"/>
      <c r="E264" s="134"/>
      <c r="F264" s="134"/>
      <c r="G264" s="141"/>
      <c r="H264" s="142"/>
      <c r="I264" s="143"/>
      <c r="J264" s="107"/>
      <c r="K264" s="107"/>
      <c r="L264" s="107"/>
      <c r="M264" s="107"/>
      <c r="N264" s="107"/>
      <c r="O264" s="107"/>
      <c r="P264" s="136"/>
      <c r="Q264" s="107"/>
      <c r="R264" s="137"/>
      <c r="S264" s="137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</row>
    <row r="265" ht="12.75" customHeight="1">
      <c r="A265" s="79"/>
      <c r="B265" s="132"/>
      <c r="C265" s="133"/>
      <c r="D265" s="133"/>
      <c r="E265" s="134"/>
      <c r="F265" s="134"/>
      <c r="G265" s="108"/>
      <c r="H265" s="135"/>
      <c r="I265" s="135"/>
      <c r="J265" s="107"/>
      <c r="K265" s="107"/>
      <c r="L265" s="107"/>
      <c r="M265" s="107"/>
      <c r="N265" s="107"/>
      <c r="O265" s="107"/>
      <c r="P265" s="136"/>
      <c r="Q265" s="107"/>
      <c r="R265" s="112"/>
      <c r="S265" s="137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</row>
    <row r="266" ht="12.75" customHeight="1">
      <c r="A266" s="79"/>
      <c r="B266" s="132"/>
      <c r="C266" s="133"/>
      <c r="D266" s="133"/>
      <c r="E266" s="134"/>
      <c r="F266" s="134"/>
      <c r="G266" s="108"/>
      <c r="H266" s="144"/>
      <c r="I266" s="144"/>
      <c r="J266" s="107"/>
      <c r="K266" s="107"/>
      <c r="L266" s="107"/>
      <c r="M266" s="107"/>
      <c r="N266" s="107"/>
      <c r="O266" s="107"/>
      <c r="P266" s="107"/>
      <c r="Q266" s="107"/>
      <c r="R266" s="112"/>
      <c r="S266" s="137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</row>
    <row r="267" ht="12.75" customHeight="1">
      <c r="A267" s="79"/>
      <c r="B267" s="132"/>
      <c r="C267" s="133"/>
      <c r="D267" s="133"/>
      <c r="E267" s="134"/>
      <c r="F267" s="134"/>
      <c r="G267" s="141"/>
      <c r="H267" s="145"/>
      <c r="I267" s="145"/>
      <c r="J267" s="110"/>
      <c r="K267" s="146"/>
      <c r="L267" s="146"/>
      <c r="M267" s="110"/>
      <c r="N267" s="107"/>
      <c r="O267" s="107"/>
      <c r="P267" s="136"/>
      <c r="Q267" s="107"/>
      <c r="R267" s="147"/>
      <c r="S267" s="137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</row>
    <row r="268" ht="12.75" customHeight="1">
      <c r="A268" s="79"/>
      <c r="B268" s="132"/>
      <c r="C268" s="133"/>
      <c r="D268" s="133"/>
      <c r="E268" s="134"/>
      <c r="F268" s="134"/>
      <c r="G268" s="108"/>
      <c r="H268" s="135"/>
      <c r="I268" s="135"/>
      <c r="J268" s="107"/>
      <c r="K268" s="107"/>
      <c r="L268" s="107"/>
      <c r="M268" s="107"/>
      <c r="N268" s="107"/>
      <c r="O268" s="107"/>
      <c r="P268" s="136"/>
      <c r="Q268" s="107"/>
      <c r="R268" s="112"/>
      <c r="S268" s="137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</row>
    <row r="269" ht="12.75" customHeight="1">
      <c r="A269" s="79"/>
      <c r="B269" s="132"/>
      <c r="C269" s="138"/>
      <c r="D269" s="138"/>
      <c r="E269" s="139"/>
      <c r="F269" s="139"/>
      <c r="G269" s="140"/>
      <c r="H269" s="109"/>
      <c r="I269" s="109"/>
      <c r="J269" s="107"/>
      <c r="K269" s="107"/>
      <c r="L269" s="107"/>
      <c r="M269" s="107"/>
      <c r="N269" s="107"/>
      <c r="O269" s="107"/>
      <c r="P269" s="107"/>
      <c r="Q269" s="107"/>
      <c r="R269" s="134"/>
      <c r="S269" s="137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</row>
    <row r="270" ht="12.75" customHeight="1">
      <c r="A270" s="79"/>
      <c r="B270" s="132"/>
      <c r="C270" s="133"/>
      <c r="D270" s="133"/>
      <c r="E270" s="134"/>
      <c r="F270" s="134"/>
      <c r="G270" s="141"/>
      <c r="H270" s="142"/>
      <c r="I270" s="143"/>
      <c r="J270" s="107"/>
      <c r="K270" s="107"/>
      <c r="L270" s="107"/>
      <c r="M270" s="107"/>
      <c r="N270" s="107"/>
      <c r="O270" s="107"/>
      <c r="P270" s="136"/>
      <c r="Q270" s="107"/>
      <c r="R270" s="137"/>
      <c r="S270" s="137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</row>
    <row r="271" ht="12.75" customHeight="1">
      <c r="A271" s="79"/>
      <c r="B271" s="132"/>
      <c r="C271" s="133"/>
      <c r="D271" s="133"/>
      <c r="E271" s="134"/>
      <c r="F271" s="134"/>
      <c r="G271" s="108"/>
      <c r="H271" s="135"/>
      <c r="I271" s="135"/>
      <c r="J271" s="107"/>
      <c r="K271" s="107"/>
      <c r="L271" s="107"/>
      <c r="M271" s="107"/>
      <c r="N271" s="107"/>
      <c r="O271" s="107"/>
      <c r="P271" s="136"/>
      <c r="Q271" s="107"/>
      <c r="R271" s="112"/>
      <c r="S271" s="137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</row>
    <row r="272" ht="12.75" customHeight="1">
      <c r="A272" s="79"/>
      <c r="B272" s="132"/>
      <c r="C272" s="133"/>
      <c r="D272" s="133"/>
      <c r="E272" s="134"/>
      <c r="F272" s="134"/>
      <c r="G272" s="108"/>
      <c r="H272" s="144"/>
      <c r="I272" s="144"/>
      <c r="J272" s="107"/>
      <c r="K272" s="107"/>
      <c r="L272" s="107"/>
      <c r="M272" s="107"/>
      <c r="N272" s="107"/>
      <c r="O272" s="107"/>
      <c r="P272" s="107"/>
      <c r="Q272" s="107"/>
      <c r="R272" s="112"/>
      <c r="S272" s="137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</row>
    <row r="273" ht="9.75" customHeight="1">
      <c r="A273" s="79"/>
      <c r="B273" s="132"/>
      <c r="C273" s="133"/>
      <c r="D273" s="133"/>
      <c r="E273" s="134"/>
      <c r="F273" s="134"/>
      <c r="G273" s="141"/>
      <c r="H273" s="145"/>
      <c r="I273" s="145"/>
      <c r="J273" s="110"/>
      <c r="K273" s="146"/>
      <c r="L273" s="146"/>
      <c r="M273" s="110"/>
      <c r="N273" s="107"/>
      <c r="O273" s="107"/>
      <c r="P273" s="136"/>
      <c r="Q273" s="107"/>
      <c r="R273" s="147"/>
      <c r="S273" s="137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</row>
    <row r="274" ht="9.75" customHeight="1">
      <c r="A274" s="79"/>
      <c r="B274" s="132"/>
      <c r="C274" s="133"/>
      <c r="D274" s="133"/>
      <c r="E274" s="134"/>
      <c r="F274" s="134"/>
      <c r="G274" s="108"/>
      <c r="H274" s="135"/>
      <c r="I274" s="135"/>
      <c r="J274" s="107"/>
      <c r="K274" s="107"/>
      <c r="L274" s="107"/>
      <c r="M274" s="107"/>
      <c r="N274" s="107"/>
      <c r="O274" s="107"/>
      <c r="P274" s="136"/>
      <c r="Q274" s="107"/>
      <c r="R274" s="112"/>
      <c r="S274" s="137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</row>
    <row r="275" ht="12.75" customHeight="1">
      <c r="A275" s="79"/>
      <c r="B275" s="132"/>
      <c r="C275" s="133"/>
      <c r="D275" s="133"/>
      <c r="E275" s="134"/>
      <c r="F275" s="134"/>
      <c r="G275" s="141"/>
      <c r="H275" s="145"/>
      <c r="I275" s="145"/>
      <c r="J275" s="110"/>
      <c r="K275" s="146"/>
      <c r="L275" s="146"/>
      <c r="M275" s="110"/>
      <c r="N275" s="107"/>
      <c r="O275" s="107"/>
      <c r="P275" s="136"/>
      <c r="Q275" s="107"/>
      <c r="R275" s="147"/>
      <c r="S275" s="137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</row>
    <row r="276" ht="9.75" customHeight="1">
      <c r="A276" s="79"/>
      <c r="B276" s="132"/>
      <c r="C276" s="133"/>
      <c r="D276" s="133"/>
      <c r="E276" s="134"/>
      <c r="F276" s="134"/>
      <c r="G276" s="108"/>
      <c r="H276" s="135"/>
      <c r="I276" s="135"/>
      <c r="J276" s="107"/>
      <c r="K276" s="107"/>
      <c r="L276" s="107"/>
      <c r="M276" s="107"/>
      <c r="N276" s="107"/>
      <c r="O276" s="107"/>
      <c r="P276" s="136"/>
      <c r="Q276" s="107"/>
      <c r="R276" s="112"/>
      <c r="S276" s="137"/>
      <c r="T276" s="95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</row>
    <row r="277" ht="12.75" customHeight="1">
      <c r="A277" s="79"/>
      <c r="B277" s="132"/>
      <c r="C277" s="138"/>
      <c r="D277" s="138"/>
      <c r="E277" s="139"/>
      <c r="F277" s="139"/>
      <c r="G277" s="140"/>
      <c r="H277" s="109"/>
      <c r="I277" s="109"/>
      <c r="J277" s="107"/>
      <c r="K277" s="107"/>
      <c r="L277" s="107"/>
      <c r="M277" s="107"/>
      <c r="N277" s="107"/>
      <c r="O277" s="107"/>
      <c r="P277" s="107"/>
      <c r="Q277" s="107"/>
      <c r="R277" s="134"/>
      <c r="S277" s="137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</row>
    <row r="278" ht="12.75" customHeight="1">
      <c r="A278" s="79"/>
      <c r="B278" s="132"/>
      <c r="C278" s="133"/>
      <c r="D278" s="133"/>
      <c r="E278" s="134"/>
      <c r="F278" s="134"/>
      <c r="G278" s="141"/>
      <c r="H278" s="142"/>
      <c r="I278" s="143"/>
      <c r="J278" s="107"/>
      <c r="K278" s="107"/>
      <c r="L278" s="107"/>
      <c r="M278" s="107"/>
      <c r="N278" s="107"/>
      <c r="O278" s="107"/>
      <c r="P278" s="136"/>
      <c r="Q278" s="107"/>
      <c r="R278" s="137"/>
      <c r="S278" s="137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</row>
    <row r="279" ht="12.75" customHeight="1">
      <c r="A279" s="79"/>
      <c r="B279" s="132"/>
      <c r="C279" s="133"/>
      <c r="D279" s="133"/>
      <c r="E279" s="134"/>
      <c r="F279" s="134"/>
      <c r="G279" s="108"/>
      <c r="H279" s="135"/>
      <c r="I279" s="135"/>
      <c r="J279" s="107"/>
      <c r="K279" s="107"/>
      <c r="L279" s="107"/>
      <c r="M279" s="107"/>
      <c r="N279" s="107"/>
      <c r="O279" s="107"/>
      <c r="P279" s="136"/>
      <c r="Q279" s="107"/>
      <c r="R279" s="112"/>
      <c r="S279" s="137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</row>
    <row r="280" ht="12.75" customHeight="1">
      <c r="A280" s="79"/>
      <c r="B280" s="132"/>
      <c r="C280" s="133"/>
      <c r="D280" s="133"/>
      <c r="E280" s="134"/>
      <c r="F280" s="134"/>
      <c r="G280" s="108"/>
      <c r="H280" s="144"/>
      <c r="I280" s="144"/>
      <c r="J280" s="107"/>
      <c r="K280" s="107"/>
      <c r="L280" s="107"/>
      <c r="M280" s="107"/>
      <c r="N280" s="107"/>
      <c r="O280" s="107"/>
      <c r="P280" s="107"/>
      <c r="Q280" s="107"/>
      <c r="R280" s="112"/>
      <c r="S280" s="137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</row>
    <row r="281" ht="12.75" customHeight="1">
      <c r="A281" s="79"/>
      <c r="B281" s="132"/>
      <c r="C281" s="133"/>
      <c r="D281" s="133"/>
      <c r="E281" s="134"/>
      <c r="F281" s="134"/>
      <c r="G281" s="141"/>
      <c r="H281" s="145"/>
      <c r="I281" s="145"/>
      <c r="J281" s="110"/>
      <c r="K281" s="146"/>
      <c r="L281" s="146"/>
      <c r="M281" s="110"/>
      <c r="N281" s="107"/>
      <c r="O281" s="107"/>
      <c r="P281" s="136"/>
      <c r="Q281" s="107"/>
      <c r="R281" s="147"/>
      <c r="S281" s="137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</row>
    <row r="282" ht="12.75" customHeight="1">
      <c r="A282" s="79"/>
      <c r="B282" s="132"/>
      <c r="C282" s="133"/>
      <c r="D282" s="133"/>
      <c r="E282" s="134"/>
      <c r="F282" s="134"/>
      <c r="G282" s="108"/>
      <c r="H282" s="135"/>
      <c r="I282" s="135"/>
      <c r="J282" s="107"/>
      <c r="K282" s="107"/>
      <c r="L282" s="107"/>
      <c r="M282" s="107"/>
      <c r="N282" s="107"/>
      <c r="O282" s="107"/>
      <c r="P282" s="136"/>
      <c r="Q282" s="107"/>
      <c r="R282" s="112"/>
      <c r="S282" s="137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</row>
    <row r="283" ht="12.75" customHeight="1">
      <c r="A283" s="79"/>
      <c r="B283" s="132"/>
      <c r="C283" s="138"/>
      <c r="D283" s="138"/>
      <c r="E283" s="139"/>
      <c r="F283" s="139"/>
      <c r="G283" s="140"/>
      <c r="H283" s="109"/>
      <c r="I283" s="109"/>
      <c r="J283" s="107"/>
      <c r="K283" s="107"/>
      <c r="L283" s="107"/>
      <c r="M283" s="107"/>
      <c r="N283" s="107"/>
      <c r="O283" s="107"/>
      <c r="P283" s="107"/>
      <c r="Q283" s="107"/>
      <c r="R283" s="134"/>
      <c r="S283" s="137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</row>
    <row r="284" ht="12.75" customHeight="1">
      <c r="A284" s="79"/>
      <c r="B284" s="132"/>
      <c r="C284" s="133"/>
      <c r="D284" s="133"/>
      <c r="E284" s="134"/>
      <c r="F284" s="134"/>
      <c r="G284" s="141"/>
      <c r="H284" s="142"/>
      <c r="I284" s="143"/>
      <c r="J284" s="107"/>
      <c r="K284" s="107"/>
      <c r="L284" s="107"/>
      <c r="M284" s="107"/>
      <c r="N284" s="107"/>
      <c r="O284" s="107"/>
      <c r="P284" s="136"/>
      <c r="Q284" s="107"/>
      <c r="R284" s="137"/>
      <c r="S284" s="137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</row>
    <row r="285" ht="12.75" customHeight="1">
      <c r="A285" s="79"/>
      <c r="B285" s="132"/>
      <c r="C285" s="133"/>
      <c r="D285" s="133"/>
      <c r="E285" s="134"/>
      <c r="F285" s="134"/>
      <c r="G285" s="108"/>
      <c r="H285" s="135"/>
      <c r="I285" s="135"/>
      <c r="J285" s="107"/>
      <c r="K285" s="107"/>
      <c r="L285" s="107"/>
      <c r="M285" s="107"/>
      <c r="N285" s="107"/>
      <c r="O285" s="107"/>
      <c r="P285" s="136"/>
      <c r="Q285" s="107"/>
      <c r="R285" s="112"/>
      <c r="S285" s="137"/>
      <c r="T285" s="95"/>
      <c r="U285" s="95"/>
      <c r="V285" s="95"/>
      <c r="W285" s="95"/>
      <c r="X285" s="118"/>
      <c r="Y285" s="118"/>
      <c r="Z285" s="118"/>
      <c r="AA285" s="118"/>
      <c r="AB285" s="118"/>
      <c r="AC285" s="118"/>
      <c r="AD285" s="118"/>
      <c r="AE285" s="118"/>
      <c r="AF285" s="118"/>
      <c r="AG285" s="118"/>
      <c r="AH285" s="118"/>
      <c r="AI285" s="148"/>
      <c r="AJ285" s="118"/>
      <c r="AK285" s="118"/>
    </row>
    <row r="286" ht="12.75" customHeight="1">
      <c r="A286" s="79"/>
      <c r="B286" s="132"/>
      <c r="C286" s="133"/>
      <c r="D286" s="133"/>
      <c r="E286" s="134"/>
      <c r="F286" s="134"/>
      <c r="G286" s="108"/>
      <c r="H286" s="144"/>
      <c r="I286" s="144"/>
      <c r="J286" s="107"/>
      <c r="K286" s="107"/>
      <c r="L286" s="107"/>
      <c r="M286" s="107"/>
      <c r="N286" s="107"/>
      <c r="O286" s="107"/>
      <c r="P286" s="107"/>
      <c r="Q286" s="107"/>
      <c r="R286" s="112"/>
      <c r="S286" s="137"/>
      <c r="T286" s="95"/>
      <c r="U286" s="95"/>
      <c r="V286" s="95"/>
      <c r="W286" s="95"/>
      <c r="X286" s="118"/>
      <c r="Y286" s="118"/>
      <c r="Z286" s="118"/>
      <c r="AA286" s="118"/>
      <c r="AB286" s="118"/>
      <c r="AC286" s="118"/>
      <c r="AD286" s="118"/>
      <c r="AE286" s="118"/>
      <c r="AF286" s="118"/>
      <c r="AG286" s="118"/>
      <c r="AH286" s="118"/>
      <c r="AI286" s="148"/>
      <c r="AJ286" s="118"/>
      <c r="AK286" s="118"/>
    </row>
    <row r="287" ht="12.75" customHeight="1">
      <c r="A287" s="79"/>
      <c r="B287" s="132"/>
      <c r="C287" s="133"/>
      <c r="D287" s="133"/>
      <c r="E287" s="134"/>
      <c r="F287" s="134"/>
      <c r="G287" s="141"/>
      <c r="H287" s="145"/>
      <c r="I287" s="145"/>
      <c r="J287" s="110"/>
      <c r="K287" s="146"/>
      <c r="L287" s="146"/>
      <c r="M287" s="110"/>
      <c r="N287" s="107"/>
      <c r="O287" s="107"/>
      <c r="P287" s="136"/>
      <c r="Q287" s="107"/>
      <c r="R287" s="147"/>
      <c r="S287" s="137"/>
      <c r="T287" s="95"/>
      <c r="U287" s="95"/>
      <c r="V287" s="95"/>
      <c r="W287" s="95"/>
      <c r="X287" s="118"/>
      <c r="Y287" s="118"/>
      <c r="Z287" s="118"/>
      <c r="AA287" s="118"/>
      <c r="AB287" s="118"/>
      <c r="AC287" s="118"/>
      <c r="AD287" s="118"/>
      <c r="AE287" s="118"/>
      <c r="AF287" s="118"/>
      <c r="AG287" s="118"/>
      <c r="AH287" s="118"/>
      <c r="AI287" s="148"/>
      <c r="AJ287" s="118"/>
      <c r="AK287" s="118"/>
    </row>
    <row r="288" ht="12.75" customHeight="1">
      <c r="A288" s="79"/>
      <c r="B288" s="132"/>
      <c r="C288" s="133"/>
      <c r="D288" s="133"/>
      <c r="E288" s="134"/>
      <c r="F288" s="134"/>
      <c r="G288" s="108"/>
      <c r="H288" s="135"/>
      <c r="I288" s="135"/>
      <c r="J288" s="107"/>
      <c r="K288" s="107"/>
      <c r="L288" s="107"/>
      <c r="M288" s="107"/>
      <c r="N288" s="107"/>
      <c r="O288" s="107"/>
      <c r="P288" s="136"/>
      <c r="Q288" s="107"/>
      <c r="R288" s="112"/>
      <c r="S288" s="137"/>
      <c r="T288" s="95"/>
      <c r="U288" s="95"/>
      <c r="V288" s="95"/>
      <c r="W288" s="95"/>
      <c r="X288" s="118"/>
      <c r="Y288" s="118"/>
      <c r="Z288" s="118"/>
      <c r="AA288" s="118"/>
      <c r="AB288" s="118"/>
      <c r="AC288" s="118"/>
      <c r="AD288" s="118"/>
      <c r="AE288" s="118"/>
      <c r="AF288" s="118"/>
      <c r="AG288" s="118"/>
      <c r="AH288" s="118"/>
      <c r="AI288" s="148"/>
      <c r="AJ288" s="118"/>
      <c r="AK288" s="118"/>
    </row>
    <row r="289" ht="12.75" customHeight="1">
      <c r="A289" s="79"/>
      <c r="B289" s="132"/>
      <c r="C289" s="133"/>
      <c r="D289" s="133"/>
      <c r="E289" s="134"/>
      <c r="F289" s="134"/>
      <c r="G289" s="141"/>
      <c r="H289" s="145"/>
      <c r="I289" s="145"/>
      <c r="J289" s="110"/>
      <c r="K289" s="146"/>
      <c r="L289" s="146"/>
      <c r="M289" s="110"/>
      <c r="N289" s="107"/>
      <c r="O289" s="107"/>
      <c r="P289" s="136"/>
      <c r="Q289" s="107"/>
      <c r="R289" s="147"/>
      <c r="S289" s="137"/>
      <c r="T289" s="95"/>
      <c r="U289" s="95"/>
      <c r="V289" s="95"/>
      <c r="W289" s="95"/>
      <c r="X289" s="118"/>
      <c r="Y289" s="118"/>
      <c r="Z289" s="118"/>
      <c r="AA289" s="118"/>
      <c r="AB289" s="118"/>
      <c r="AC289" s="118"/>
      <c r="AD289" s="118"/>
      <c r="AE289" s="118"/>
      <c r="AF289" s="118"/>
      <c r="AG289" s="118"/>
      <c r="AH289" s="118"/>
      <c r="AI289" s="148"/>
      <c r="AJ289" s="118"/>
      <c r="AK289" s="118"/>
    </row>
    <row r="290" ht="12.75" customHeight="1">
      <c r="A290" s="79"/>
      <c r="B290" s="132"/>
      <c r="C290" s="133"/>
      <c r="D290" s="133"/>
      <c r="E290" s="134"/>
      <c r="F290" s="134"/>
      <c r="G290" s="108"/>
      <c r="H290" s="135"/>
      <c r="I290" s="135"/>
      <c r="J290" s="107"/>
      <c r="K290" s="107"/>
      <c r="L290" s="107"/>
      <c r="M290" s="107"/>
      <c r="N290" s="107"/>
      <c r="O290" s="107"/>
      <c r="P290" s="136"/>
      <c r="Q290" s="107"/>
      <c r="R290" s="112"/>
      <c r="S290" s="137"/>
      <c r="T290" s="95"/>
      <c r="U290" s="95"/>
      <c r="V290" s="95"/>
      <c r="W290" s="95"/>
      <c r="X290" s="118"/>
      <c r="Y290" s="118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48"/>
      <c r="AJ290" s="118"/>
      <c r="AK290" s="118"/>
    </row>
    <row r="291" ht="12.75" customHeight="1">
      <c r="A291" s="79"/>
      <c r="B291" s="132"/>
      <c r="C291" s="138"/>
      <c r="D291" s="138"/>
      <c r="E291" s="139"/>
      <c r="F291" s="139"/>
      <c r="G291" s="140"/>
      <c r="H291" s="109"/>
      <c r="I291" s="109"/>
      <c r="J291" s="107"/>
      <c r="K291" s="107"/>
      <c r="L291" s="107"/>
      <c r="M291" s="107"/>
      <c r="N291" s="107"/>
      <c r="O291" s="107"/>
      <c r="P291" s="107"/>
      <c r="Q291" s="107"/>
      <c r="R291" s="134"/>
      <c r="S291" s="137"/>
      <c r="T291" s="95"/>
      <c r="U291" s="95"/>
      <c r="V291" s="95"/>
      <c r="W291" s="95"/>
      <c r="X291" s="118"/>
      <c r="Y291" s="118"/>
      <c r="Z291" s="118"/>
      <c r="AA291" s="118"/>
      <c r="AB291" s="118"/>
      <c r="AC291" s="118"/>
      <c r="AD291" s="118"/>
      <c r="AE291" s="118"/>
      <c r="AF291" s="118"/>
      <c r="AG291" s="118"/>
      <c r="AH291" s="118"/>
      <c r="AI291" s="148"/>
      <c r="AJ291" s="118"/>
      <c r="AK291" s="118"/>
    </row>
    <row r="292" ht="12.75" customHeight="1">
      <c r="A292" s="79"/>
      <c r="B292" s="132"/>
      <c r="C292" s="133"/>
      <c r="D292" s="133"/>
      <c r="E292" s="134"/>
      <c r="F292" s="134"/>
      <c r="G292" s="141"/>
      <c r="H292" s="142"/>
      <c r="I292" s="143"/>
      <c r="J292" s="107"/>
      <c r="K292" s="107"/>
      <c r="L292" s="107"/>
      <c r="M292" s="107"/>
      <c r="N292" s="107"/>
      <c r="O292" s="107"/>
      <c r="P292" s="136"/>
      <c r="Q292" s="107"/>
      <c r="R292" s="137"/>
      <c r="S292" s="137"/>
      <c r="T292" s="95"/>
      <c r="U292" s="95"/>
      <c r="V292" s="95"/>
      <c r="W292" s="95"/>
      <c r="X292" s="118"/>
      <c r="Y292" s="118"/>
      <c r="Z292" s="118"/>
      <c r="AA292" s="118"/>
      <c r="AB292" s="118"/>
      <c r="AC292" s="118"/>
      <c r="AD292" s="118"/>
      <c r="AE292" s="118"/>
      <c r="AF292" s="118"/>
      <c r="AG292" s="118"/>
      <c r="AH292" s="118"/>
      <c r="AI292" s="148"/>
      <c r="AJ292" s="118"/>
      <c r="AK292" s="118"/>
    </row>
    <row r="293" ht="12.75" customHeight="1">
      <c r="A293" s="79"/>
      <c r="B293" s="132"/>
      <c r="C293" s="133"/>
      <c r="D293" s="133"/>
      <c r="E293" s="134"/>
      <c r="F293" s="134"/>
      <c r="G293" s="108"/>
      <c r="H293" s="135"/>
      <c r="I293" s="135"/>
      <c r="J293" s="107"/>
      <c r="K293" s="107"/>
      <c r="L293" s="107"/>
      <c r="M293" s="107"/>
      <c r="N293" s="107"/>
      <c r="O293" s="107"/>
      <c r="P293" s="136"/>
      <c r="Q293" s="107"/>
      <c r="R293" s="112"/>
      <c r="S293" s="137"/>
      <c r="T293" s="95"/>
      <c r="U293" s="95"/>
      <c r="V293" s="95"/>
      <c r="W293" s="95"/>
      <c r="X293" s="118"/>
      <c r="Y293" s="118"/>
      <c r="Z293" s="118"/>
      <c r="AA293" s="118"/>
      <c r="AB293" s="118"/>
      <c r="AC293" s="118"/>
      <c r="AD293" s="118"/>
      <c r="AE293" s="118"/>
      <c r="AF293" s="118"/>
      <c r="AG293" s="118"/>
      <c r="AH293" s="118"/>
      <c r="AI293" s="148"/>
      <c r="AJ293" s="118"/>
      <c r="AK293" s="118"/>
    </row>
    <row r="294" ht="12.75" customHeight="1">
      <c r="A294" s="79"/>
      <c r="B294" s="132"/>
      <c r="C294" s="133"/>
      <c r="D294" s="133"/>
      <c r="E294" s="134"/>
      <c r="F294" s="134"/>
      <c r="G294" s="108"/>
      <c r="H294" s="144"/>
      <c r="I294" s="144"/>
      <c r="J294" s="107"/>
      <c r="K294" s="107"/>
      <c r="L294" s="107"/>
      <c r="M294" s="107"/>
      <c r="N294" s="107"/>
      <c r="O294" s="107"/>
      <c r="P294" s="107"/>
      <c r="Q294" s="107"/>
      <c r="R294" s="112"/>
      <c r="S294" s="137"/>
      <c r="T294" s="95"/>
      <c r="U294" s="95"/>
      <c r="V294" s="95"/>
      <c r="W294" s="95"/>
      <c r="X294" s="118"/>
      <c r="Y294" s="118"/>
      <c r="Z294" s="118"/>
      <c r="AA294" s="118"/>
      <c r="AB294" s="118"/>
      <c r="AC294" s="118"/>
      <c r="AD294" s="118"/>
      <c r="AE294" s="118"/>
      <c r="AF294" s="118"/>
      <c r="AG294" s="118"/>
      <c r="AH294" s="118"/>
      <c r="AI294" s="148"/>
      <c r="AJ294" s="118"/>
      <c r="AK294" s="118"/>
    </row>
    <row r="295" ht="12.75" customHeight="1">
      <c r="A295" s="79"/>
      <c r="B295" s="132"/>
      <c r="C295" s="133"/>
      <c r="D295" s="133"/>
      <c r="E295" s="134"/>
      <c r="F295" s="134"/>
      <c r="G295" s="141"/>
      <c r="H295" s="145"/>
      <c r="I295" s="145"/>
      <c r="J295" s="110"/>
      <c r="K295" s="146"/>
      <c r="L295" s="146"/>
      <c r="M295" s="110"/>
      <c r="N295" s="107"/>
      <c r="O295" s="107"/>
      <c r="P295" s="136"/>
      <c r="Q295" s="107"/>
      <c r="R295" s="147"/>
      <c r="S295" s="137"/>
      <c r="T295" s="95"/>
      <c r="U295" s="95"/>
      <c r="V295" s="95"/>
      <c r="W295" s="95"/>
      <c r="X295" s="118"/>
      <c r="Y295" s="118"/>
      <c r="Z295" s="118"/>
      <c r="AA295" s="118"/>
      <c r="AB295" s="118"/>
      <c r="AC295" s="118"/>
      <c r="AD295" s="118"/>
      <c r="AE295" s="118"/>
      <c r="AF295" s="118"/>
      <c r="AG295" s="118"/>
      <c r="AH295" s="118"/>
      <c r="AI295" s="148"/>
      <c r="AJ295" s="118"/>
      <c r="AK295" s="118"/>
    </row>
    <row r="296" ht="12.75" customHeight="1">
      <c r="A296" s="79"/>
      <c r="B296" s="132"/>
      <c r="C296" s="133"/>
      <c r="D296" s="133"/>
      <c r="E296" s="134"/>
      <c r="F296" s="134"/>
      <c r="G296" s="108"/>
      <c r="H296" s="135"/>
      <c r="I296" s="135"/>
      <c r="J296" s="107"/>
      <c r="K296" s="107"/>
      <c r="L296" s="107"/>
      <c r="M296" s="107"/>
      <c r="N296" s="107"/>
      <c r="O296" s="107"/>
      <c r="P296" s="136"/>
      <c r="Q296" s="107"/>
      <c r="R296" s="112"/>
      <c r="S296" s="137"/>
      <c r="T296" s="95"/>
      <c r="U296" s="95"/>
      <c r="V296" s="95"/>
      <c r="W296" s="95"/>
      <c r="X296" s="118"/>
      <c r="Y296" s="118"/>
      <c r="Z296" s="118"/>
      <c r="AA296" s="118"/>
      <c r="AB296" s="118"/>
      <c r="AC296" s="118"/>
      <c r="AD296" s="118"/>
      <c r="AE296" s="118"/>
      <c r="AF296" s="118"/>
      <c r="AG296" s="118"/>
      <c r="AH296" s="118"/>
      <c r="AI296" s="148"/>
      <c r="AJ296" s="118"/>
      <c r="AK296" s="118"/>
    </row>
    <row r="297" ht="12.75" customHeight="1">
      <c r="A297" s="79"/>
      <c r="B297" s="132"/>
      <c r="C297" s="138"/>
      <c r="D297" s="138"/>
      <c r="E297" s="139"/>
      <c r="F297" s="139"/>
      <c r="G297" s="140"/>
      <c r="H297" s="109"/>
      <c r="I297" s="109"/>
      <c r="J297" s="107"/>
      <c r="K297" s="107"/>
      <c r="L297" s="107"/>
      <c r="M297" s="107"/>
      <c r="N297" s="107"/>
      <c r="O297" s="107"/>
      <c r="P297" s="107"/>
      <c r="Q297" s="107"/>
      <c r="R297" s="134"/>
      <c r="S297" s="137"/>
      <c r="T297" s="95"/>
      <c r="U297" s="95"/>
      <c r="V297" s="95"/>
      <c r="W297" s="95"/>
      <c r="X297" s="118"/>
      <c r="Y297" s="118"/>
      <c r="Z297" s="118"/>
      <c r="AA297" s="118"/>
      <c r="AB297" s="118"/>
      <c r="AC297" s="118"/>
      <c r="AD297" s="118"/>
      <c r="AE297" s="118"/>
      <c r="AF297" s="118"/>
      <c r="AG297" s="118"/>
      <c r="AH297" s="118"/>
      <c r="AI297" s="148"/>
      <c r="AJ297" s="118"/>
      <c r="AK297" s="118"/>
    </row>
    <row r="298" ht="12.75" customHeight="1">
      <c r="A298" s="79"/>
      <c r="B298" s="132"/>
      <c r="C298" s="133"/>
      <c r="D298" s="133"/>
      <c r="E298" s="134"/>
      <c r="F298" s="134"/>
      <c r="G298" s="141"/>
      <c r="H298" s="142"/>
      <c r="I298" s="143"/>
      <c r="J298" s="107"/>
      <c r="K298" s="107"/>
      <c r="L298" s="107"/>
      <c r="M298" s="107"/>
      <c r="N298" s="107"/>
      <c r="O298" s="107"/>
      <c r="P298" s="136"/>
      <c r="Q298" s="107"/>
      <c r="R298" s="137"/>
      <c r="S298" s="137"/>
      <c r="T298" s="95"/>
      <c r="U298" s="95"/>
      <c r="V298" s="95"/>
      <c r="W298" s="95"/>
      <c r="X298" s="118"/>
      <c r="Y298" s="118"/>
      <c r="Z298" s="118"/>
      <c r="AA298" s="118"/>
      <c r="AB298" s="118"/>
      <c r="AC298" s="118"/>
      <c r="AD298" s="118"/>
      <c r="AE298" s="118"/>
      <c r="AF298" s="118"/>
      <c r="AG298" s="118"/>
      <c r="AH298" s="118"/>
      <c r="AI298" s="148"/>
      <c r="AJ298" s="118"/>
      <c r="AK298" s="118"/>
    </row>
    <row r="299" ht="12.75" customHeight="1">
      <c r="A299" s="79"/>
      <c r="B299" s="132"/>
      <c r="C299" s="133"/>
      <c r="D299" s="133"/>
      <c r="E299" s="134"/>
      <c r="F299" s="134"/>
      <c r="G299" s="108"/>
      <c r="H299" s="135"/>
      <c r="I299" s="135"/>
      <c r="J299" s="107"/>
      <c r="K299" s="107"/>
      <c r="L299" s="107"/>
      <c r="M299" s="107"/>
      <c r="N299" s="107"/>
      <c r="O299" s="107"/>
      <c r="P299" s="136"/>
      <c r="Q299" s="107"/>
      <c r="R299" s="112"/>
      <c r="S299" s="137"/>
      <c r="T299" s="95"/>
      <c r="U299" s="95"/>
      <c r="V299" s="95"/>
      <c r="W299" s="95"/>
      <c r="X299" s="118"/>
      <c r="Y299" s="118"/>
      <c r="Z299" s="118"/>
      <c r="AA299" s="118"/>
      <c r="AB299" s="118"/>
      <c r="AC299" s="118"/>
      <c r="AD299" s="118"/>
      <c r="AE299" s="118"/>
      <c r="AF299" s="118"/>
      <c r="AG299" s="118"/>
      <c r="AH299" s="118"/>
      <c r="AI299" s="148"/>
      <c r="AJ299" s="118"/>
      <c r="AK299" s="118"/>
    </row>
    <row r="300" ht="12.75" customHeight="1">
      <c r="A300" s="79"/>
      <c r="B300" s="132"/>
      <c r="C300" s="133"/>
      <c r="D300" s="133"/>
      <c r="E300" s="134"/>
      <c r="F300" s="134"/>
      <c r="G300" s="108"/>
      <c r="H300" s="144"/>
      <c r="I300" s="144"/>
      <c r="J300" s="107"/>
      <c r="K300" s="107"/>
      <c r="L300" s="107"/>
      <c r="M300" s="107"/>
      <c r="N300" s="107"/>
      <c r="O300" s="107"/>
      <c r="P300" s="107"/>
      <c r="Q300" s="107"/>
      <c r="R300" s="112"/>
      <c r="S300" s="137"/>
      <c r="T300" s="95"/>
      <c r="U300" s="95"/>
      <c r="V300" s="95"/>
      <c r="W300" s="95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8"/>
      <c r="AH300" s="118"/>
      <c r="AI300" s="148"/>
      <c r="AJ300" s="118"/>
      <c r="AK300" s="118"/>
    </row>
    <row r="301" ht="12.75" customHeight="1">
      <c r="A301" s="79"/>
      <c r="B301" s="132"/>
      <c r="C301" s="133"/>
      <c r="D301" s="133"/>
      <c r="E301" s="134"/>
      <c r="F301" s="134"/>
      <c r="G301" s="141"/>
      <c r="H301" s="145"/>
      <c r="I301" s="145"/>
      <c r="J301" s="110"/>
      <c r="K301" s="146"/>
      <c r="L301" s="146"/>
      <c r="M301" s="110"/>
      <c r="N301" s="107"/>
      <c r="O301" s="107"/>
      <c r="P301" s="136"/>
      <c r="Q301" s="107"/>
      <c r="R301" s="147"/>
      <c r="S301" s="137"/>
      <c r="T301" s="95"/>
      <c r="U301" s="95"/>
      <c r="V301" s="95"/>
      <c r="W301" s="95"/>
      <c r="X301" s="118"/>
      <c r="Y301" s="118"/>
      <c r="Z301" s="118"/>
      <c r="AA301" s="118"/>
      <c r="AB301" s="118"/>
      <c r="AC301" s="118"/>
      <c r="AD301" s="118"/>
      <c r="AE301" s="118"/>
      <c r="AF301" s="118"/>
      <c r="AG301" s="118"/>
      <c r="AH301" s="118"/>
      <c r="AI301" s="148"/>
      <c r="AJ301" s="118"/>
      <c r="AK301" s="118"/>
    </row>
    <row r="302" ht="12.75" customHeight="1">
      <c r="A302" s="79"/>
      <c r="B302" s="132"/>
      <c r="C302" s="133"/>
      <c r="D302" s="133"/>
      <c r="E302" s="134"/>
      <c r="F302" s="134"/>
      <c r="G302" s="108"/>
      <c r="H302" s="135"/>
      <c r="I302" s="135"/>
      <c r="J302" s="107"/>
      <c r="K302" s="107"/>
      <c r="L302" s="107"/>
      <c r="M302" s="107"/>
      <c r="N302" s="107"/>
      <c r="O302" s="107"/>
      <c r="P302" s="136"/>
      <c r="Q302" s="107"/>
      <c r="R302" s="112"/>
      <c r="S302" s="137"/>
      <c r="T302" s="95"/>
      <c r="U302" s="95"/>
      <c r="V302" s="95"/>
      <c r="W302" s="95"/>
      <c r="X302" s="118"/>
      <c r="Y302" s="118"/>
      <c r="Z302" s="118"/>
      <c r="AA302" s="118"/>
      <c r="AB302" s="118"/>
      <c r="AC302" s="118"/>
      <c r="AD302" s="118"/>
      <c r="AE302" s="118"/>
      <c r="AF302" s="118"/>
      <c r="AG302" s="118"/>
      <c r="AH302" s="118"/>
      <c r="AI302" s="148"/>
      <c r="AJ302" s="118"/>
      <c r="AK302" s="118"/>
    </row>
    <row r="303" ht="12.75" customHeight="1">
      <c r="A303" s="79"/>
      <c r="B303" s="132"/>
      <c r="C303" s="133"/>
      <c r="D303" s="133"/>
      <c r="E303" s="134"/>
      <c r="F303" s="134"/>
      <c r="G303" s="141"/>
      <c r="H303" s="145"/>
      <c r="I303" s="145"/>
      <c r="J303" s="110"/>
      <c r="K303" s="146"/>
      <c r="L303" s="146"/>
      <c r="M303" s="110"/>
      <c r="N303" s="107"/>
      <c r="O303" s="107"/>
      <c r="P303" s="136"/>
      <c r="Q303" s="107"/>
      <c r="R303" s="147"/>
      <c r="S303" s="137"/>
      <c r="T303" s="95"/>
      <c r="U303" s="95"/>
      <c r="V303" s="95"/>
      <c r="W303" s="95"/>
      <c r="X303" s="118"/>
      <c r="Y303" s="118"/>
      <c r="Z303" s="118"/>
      <c r="AA303" s="118"/>
      <c r="AB303" s="118"/>
      <c r="AC303" s="118"/>
      <c r="AD303" s="118"/>
      <c r="AE303" s="118"/>
      <c r="AF303" s="118"/>
      <c r="AG303" s="118"/>
      <c r="AH303" s="118"/>
      <c r="AI303" s="148"/>
      <c r="AJ303" s="118"/>
      <c r="AK303" s="118"/>
    </row>
    <row r="304" ht="12.75" customHeight="1">
      <c r="A304" s="79"/>
      <c r="B304" s="132"/>
      <c r="C304" s="133"/>
      <c r="D304" s="133"/>
      <c r="E304" s="134"/>
      <c r="F304" s="134"/>
      <c r="G304" s="108"/>
      <c r="H304" s="135"/>
      <c r="I304" s="135"/>
      <c r="J304" s="107"/>
      <c r="K304" s="107"/>
      <c r="L304" s="107"/>
      <c r="M304" s="107"/>
      <c r="N304" s="107"/>
      <c r="O304" s="107"/>
      <c r="P304" s="136"/>
      <c r="Q304" s="107"/>
      <c r="R304" s="112"/>
      <c r="S304" s="137"/>
      <c r="T304" s="95"/>
      <c r="U304" s="95"/>
      <c r="V304" s="95"/>
      <c r="W304" s="95"/>
      <c r="X304" s="118"/>
      <c r="Y304" s="118"/>
      <c r="Z304" s="118"/>
      <c r="AA304" s="118"/>
      <c r="AB304" s="118"/>
      <c r="AC304" s="118"/>
      <c r="AD304" s="118"/>
      <c r="AE304" s="118"/>
      <c r="AF304" s="118"/>
      <c r="AG304" s="118"/>
      <c r="AH304" s="118"/>
      <c r="AI304" s="148"/>
      <c r="AJ304" s="118"/>
      <c r="AK304" s="118"/>
    </row>
    <row r="305" ht="12.75" customHeight="1">
      <c r="A305" s="79"/>
      <c r="B305" s="132"/>
      <c r="C305" s="138"/>
      <c r="D305" s="138"/>
      <c r="E305" s="139"/>
      <c r="F305" s="139"/>
      <c r="G305" s="140"/>
      <c r="H305" s="109"/>
      <c r="I305" s="109"/>
      <c r="J305" s="107"/>
      <c r="K305" s="107"/>
      <c r="L305" s="107"/>
      <c r="M305" s="107"/>
      <c r="N305" s="107"/>
      <c r="O305" s="107"/>
      <c r="P305" s="107"/>
      <c r="Q305" s="107"/>
      <c r="R305" s="134"/>
      <c r="S305" s="137"/>
      <c r="T305" s="95"/>
      <c r="U305" s="95"/>
      <c r="V305" s="95"/>
      <c r="W305" s="95"/>
      <c r="X305" s="118"/>
      <c r="Y305" s="118"/>
      <c r="Z305" s="118"/>
      <c r="AA305" s="118"/>
      <c r="AB305" s="118"/>
      <c r="AC305" s="118"/>
      <c r="AD305" s="118"/>
      <c r="AE305" s="118"/>
      <c r="AF305" s="118"/>
      <c r="AG305" s="118"/>
      <c r="AH305" s="118"/>
      <c r="AI305" s="148"/>
      <c r="AJ305" s="118"/>
      <c r="AK305" s="118"/>
    </row>
    <row r="306" ht="12.75" customHeight="1">
      <c r="A306" s="79"/>
      <c r="B306" s="132"/>
      <c r="C306" s="133"/>
      <c r="D306" s="133"/>
      <c r="E306" s="134"/>
      <c r="F306" s="134"/>
      <c r="G306" s="141"/>
      <c r="H306" s="142"/>
      <c r="I306" s="143"/>
      <c r="J306" s="107"/>
      <c r="K306" s="107"/>
      <c r="L306" s="107"/>
      <c r="M306" s="107"/>
      <c r="N306" s="107"/>
      <c r="O306" s="107"/>
      <c r="P306" s="136"/>
      <c r="Q306" s="107"/>
      <c r="R306" s="137"/>
      <c r="S306" s="137"/>
      <c r="T306" s="95"/>
      <c r="U306" s="95"/>
      <c r="V306" s="95"/>
      <c r="W306" s="95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48"/>
      <c r="AJ306" s="118"/>
      <c r="AK306" s="118"/>
    </row>
    <row r="307" ht="12.75" customHeight="1">
      <c r="A307" s="79"/>
      <c r="B307" s="132"/>
      <c r="C307" s="133"/>
      <c r="D307" s="133"/>
      <c r="E307" s="134"/>
      <c r="F307" s="134"/>
      <c r="G307" s="108"/>
      <c r="H307" s="135"/>
      <c r="I307" s="135"/>
      <c r="J307" s="107"/>
      <c r="K307" s="107"/>
      <c r="L307" s="107"/>
      <c r="M307" s="107"/>
      <c r="N307" s="107"/>
      <c r="O307" s="107"/>
      <c r="P307" s="136"/>
      <c r="Q307" s="107"/>
      <c r="R307" s="112"/>
      <c r="S307" s="137"/>
      <c r="T307" s="95"/>
      <c r="U307" s="95"/>
      <c r="V307" s="95"/>
      <c r="W307" s="95"/>
      <c r="X307" s="118"/>
      <c r="Y307" s="118"/>
      <c r="Z307" s="118"/>
      <c r="AA307" s="118"/>
      <c r="AB307" s="118"/>
      <c r="AC307" s="118"/>
      <c r="AD307" s="118"/>
      <c r="AE307" s="118"/>
      <c r="AF307" s="118"/>
      <c r="AG307" s="118"/>
      <c r="AH307" s="118"/>
      <c r="AI307" s="148"/>
      <c r="AJ307" s="118"/>
      <c r="AK307" s="118"/>
    </row>
    <row r="308" ht="12.75" customHeight="1">
      <c r="A308" s="79"/>
      <c r="B308" s="132"/>
      <c r="C308" s="133"/>
      <c r="D308" s="133"/>
      <c r="E308" s="134"/>
      <c r="F308" s="134"/>
      <c r="G308" s="108"/>
      <c r="H308" s="144"/>
      <c r="I308" s="144"/>
      <c r="J308" s="107"/>
      <c r="K308" s="107"/>
      <c r="L308" s="107"/>
      <c r="M308" s="107"/>
      <c r="N308" s="107"/>
      <c r="O308" s="107"/>
      <c r="P308" s="107"/>
      <c r="Q308" s="107"/>
      <c r="R308" s="112"/>
      <c r="S308" s="137"/>
      <c r="T308" s="95"/>
      <c r="U308" s="95"/>
      <c r="V308" s="95"/>
      <c r="W308" s="95"/>
      <c r="X308" s="118"/>
      <c r="Y308" s="118"/>
      <c r="Z308" s="118"/>
      <c r="AA308" s="118"/>
      <c r="AB308" s="118"/>
      <c r="AC308" s="118"/>
      <c r="AD308" s="118"/>
      <c r="AE308" s="118"/>
      <c r="AF308" s="118"/>
      <c r="AG308" s="118"/>
      <c r="AH308" s="118"/>
      <c r="AI308" s="148"/>
      <c r="AJ308" s="118"/>
      <c r="AK308" s="118"/>
    </row>
    <row r="309" ht="12.75" customHeight="1">
      <c r="A309" s="79"/>
      <c r="B309" s="132"/>
      <c r="C309" s="133"/>
      <c r="D309" s="133"/>
      <c r="E309" s="134"/>
      <c r="F309" s="134"/>
      <c r="G309" s="141"/>
      <c r="H309" s="145"/>
      <c r="I309" s="145"/>
      <c r="J309" s="110"/>
      <c r="K309" s="146"/>
      <c r="L309" s="146"/>
      <c r="M309" s="110"/>
      <c r="N309" s="107"/>
      <c r="O309" s="107"/>
      <c r="P309" s="136"/>
      <c r="Q309" s="107"/>
      <c r="R309" s="147"/>
      <c r="S309" s="137"/>
      <c r="T309" s="95"/>
      <c r="U309" s="95"/>
      <c r="V309" s="95"/>
      <c r="W309" s="95"/>
      <c r="X309" s="118"/>
      <c r="Y309" s="118"/>
      <c r="Z309" s="118"/>
      <c r="AA309" s="118"/>
      <c r="AB309" s="118"/>
      <c r="AC309" s="118"/>
      <c r="AD309" s="118"/>
      <c r="AE309" s="118"/>
      <c r="AF309" s="118"/>
      <c r="AG309" s="118"/>
      <c r="AH309" s="118"/>
      <c r="AI309" s="148"/>
      <c r="AJ309" s="118"/>
      <c r="AK309" s="118"/>
    </row>
    <row r="310" ht="12.75" customHeight="1">
      <c r="A310" s="79"/>
      <c r="B310" s="132"/>
      <c r="C310" s="133"/>
      <c r="D310" s="133"/>
      <c r="E310" s="134"/>
      <c r="F310" s="134"/>
      <c r="G310" s="108"/>
      <c r="H310" s="135"/>
      <c r="I310" s="135"/>
      <c r="J310" s="107"/>
      <c r="K310" s="107"/>
      <c r="L310" s="107"/>
      <c r="M310" s="107"/>
      <c r="N310" s="107"/>
      <c r="O310" s="107"/>
      <c r="P310" s="136"/>
      <c r="Q310" s="107"/>
      <c r="R310" s="112"/>
      <c r="S310" s="137"/>
      <c r="T310" s="95"/>
      <c r="U310" s="95"/>
      <c r="V310" s="95"/>
      <c r="W310" s="95"/>
      <c r="X310" s="118"/>
      <c r="Y310" s="118"/>
      <c r="Z310" s="118"/>
      <c r="AA310" s="118"/>
      <c r="AB310" s="118"/>
      <c r="AC310" s="118"/>
      <c r="AD310" s="118"/>
      <c r="AE310" s="118"/>
      <c r="AF310" s="118"/>
      <c r="AG310" s="118"/>
      <c r="AH310" s="118"/>
      <c r="AI310" s="148"/>
      <c r="AJ310" s="118"/>
      <c r="AK310" s="118"/>
    </row>
    <row r="311" ht="12.75" customHeight="1">
      <c r="A311" s="79"/>
      <c r="B311" s="132"/>
      <c r="C311" s="138"/>
      <c r="D311" s="138"/>
      <c r="E311" s="139"/>
      <c r="F311" s="139"/>
      <c r="G311" s="140"/>
      <c r="H311" s="109"/>
      <c r="I311" s="109"/>
      <c r="J311" s="107"/>
      <c r="K311" s="107"/>
      <c r="L311" s="107"/>
      <c r="M311" s="107"/>
      <c r="N311" s="107"/>
      <c r="O311" s="107"/>
      <c r="P311" s="107"/>
      <c r="Q311" s="107"/>
      <c r="R311" s="134"/>
      <c r="S311" s="137"/>
      <c r="T311" s="95"/>
      <c r="U311" s="95"/>
      <c r="V311" s="95"/>
      <c r="W311" s="95"/>
      <c r="X311" s="118"/>
      <c r="Y311" s="118"/>
      <c r="Z311" s="118"/>
      <c r="AA311" s="118"/>
      <c r="AB311" s="118"/>
      <c r="AC311" s="118"/>
      <c r="AD311" s="118"/>
      <c r="AE311" s="118"/>
      <c r="AF311" s="118"/>
      <c r="AG311" s="118"/>
      <c r="AH311" s="118"/>
      <c r="AI311" s="148"/>
      <c r="AJ311" s="118"/>
      <c r="AK311" s="118"/>
    </row>
    <row r="312" ht="12.75" customHeight="1">
      <c r="A312" s="79"/>
      <c r="B312" s="132"/>
      <c r="C312" s="133"/>
      <c r="D312" s="133"/>
      <c r="E312" s="134"/>
      <c r="F312" s="134"/>
      <c r="G312" s="141"/>
      <c r="H312" s="142"/>
      <c r="I312" s="143"/>
      <c r="J312" s="107"/>
      <c r="K312" s="107"/>
      <c r="L312" s="107"/>
      <c r="M312" s="107"/>
      <c r="N312" s="107"/>
      <c r="O312" s="107"/>
      <c r="P312" s="136"/>
      <c r="Q312" s="107"/>
      <c r="R312" s="137"/>
      <c r="S312" s="137"/>
      <c r="T312" s="95"/>
      <c r="U312" s="95"/>
      <c r="V312" s="95"/>
      <c r="W312" s="95"/>
      <c r="X312" s="118"/>
      <c r="Y312" s="118"/>
      <c r="Z312" s="118"/>
      <c r="AA312" s="118"/>
      <c r="AB312" s="118"/>
      <c r="AC312" s="118"/>
      <c r="AD312" s="118"/>
      <c r="AE312" s="118"/>
      <c r="AF312" s="118"/>
      <c r="AG312" s="118"/>
      <c r="AH312" s="118"/>
      <c r="AI312" s="148"/>
      <c r="AJ312" s="118"/>
      <c r="AK312" s="118"/>
    </row>
    <row r="313" ht="12.75" customHeight="1">
      <c r="A313" s="79"/>
      <c r="B313" s="132"/>
      <c r="C313" s="133"/>
      <c r="D313" s="133"/>
      <c r="E313" s="134"/>
      <c r="F313" s="134"/>
      <c r="G313" s="108"/>
      <c r="H313" s="135"/>
      <c r="I313" s="135"/>
      <c r="J313" s="107"/>
      <c r="K313" s="107"/>
      <c r="L313" s="107"/>
      <c r="M313" s="107"/>
      <c r="N313" s="107"/>
      <c r="O313" s="107"/>
      <c r="P313" s="136"/>
      <c r="Q313" s="107"/>
      <c r="R313" s="112"/>
      <c r="S313" s="137"/>
      <c r="T313" s="95"/>
      <c r="U313" s="95"/>
      <c r="V313" s="95"/>
      <c r="W313" s="95"/>
      <c r="X313" s="118"/>
      <c r="Y313" s="118"/>
      <c r="Z313" s="118"/>
      <c r="AA313" s="118"/>
      <c r="AB313" s="118"/>
      <c r="AC313" s="118"/>
      <c r="AD313" s="118"/>
      <c r="AE313" s="118"/>
      <c r="AF313" s="118"/>
      <c r="AG313" s="118"/>
      <c r="AH313" s="118"/>
      <c r="AI313" s="148"/>
      <c r="AJ313" s="118"/>
      <c r="AK313" s="118"/>
    </row>
    <row r="314" ht="12.75" customHeight="1">
      <c r="A314" s="79"/>
      <c r="B314" s="132"/>
      <c r="C314" s="133"/>
      <c r="D314" s="133"/>
      <c r="E314" s="134"/>
      <c r="F314" s="134"/>
      <c r="G314" s="108"/>
      <c r="H314" s="144"/>
      <c r="I314" s="144"/>
      <c r="J314" s="107"/>
      <c r="K314" s="107"/>
      <c r="L314" s="107"/>
      <c r="M314" s="107"/>
      <c r="N314" s="107"/>
      <c r="O314" s="107"/>
      <c r="P314" s="107"/>
      <c r="Q314" s="107"/>
      <c r="R314" s="112"/>
      <c r="S314" s="137"/>
      <c r="T314" s="95"/>
      <c r="U314" s="95"/>
      <c r="V314" s="95"/>
      <c r="W314" s="95"/>
      <c r="X314" s="118"/>
      <c r="Y314" s="118"/>
      <c r="Z314" s="118"/>
      <c r="AA314" s="118"/>
      <c r="AB314" s="118"/>
      <c r="AC314" s="118"/>
      <c r="AD314" s="118"/>
      <c r="AE314" s="118"/>
      <c r="AF314" s="118"/>
      <c r="AG314" s="118"/>
      <c r="AH314" s="118"/>
      <c r="AI314" s="148"/>
      <c r="AJ314" s="118"/>
      <c r="AK314" s="118"/>
    </row>
    <row r="315" ht="12.75" customHeight="1">
      <c r="A315" s="79"/>
      <c r="B315" s="132"/>
      <c r="C315" s="133"/>
      <c r="D315" s="133"/>
      <c r="E315" s="134"/>
      <c r="F315" s="134"/>
      <c r="G315" s="141"/>
      <c r="H315" s="145"/>
      <c r="I315" s="145"/>
      <c r="J315" s="110"/>
      <c r="K315" s="146"/>
      <c r="L315" s="146"/>
      <c r="M315" s="110"/>
      <c r="N315" s="107"/>
      <c r="O315" s="107"/>
      <c r="P315" s="136"/>
      <c r="Q315" s="107"/>
      <c r="R315" s="147"/>
      <c r="S315" s="137"/>
      <c r="T315" s="95"/>
      <c r="U315" s="95"/>
      <c r="V315" s="95"/>
      <c r="W315" s="95"/>
      <c r="X315" s="118"/>
      <c r="Y315" s="118"/>
      <c r="Z315" s="118"/>
      <c r="AA315" s="118"/>
      <c r="AB315" s="118"/>
      <c r="AC315" s="118"/>
      <c r="AD315" s="118"/>
      <c r="AE315" s="118"/>
      <c r="AF315" s="118"/>
      <c r="AG315" s="118"/>
      <c r="AH315" s="118"/>
      <c r="AI315" s="148"/>
      <c r="AJ315" s="118"/>
      <c r="AK315" s="118"/>
    </row>
    <row r="316" ht="12.75" customHeight="1">
      <c r="A316" s="79"/>
      <c r="B316" s="132"/>
      <c r="C316" s="133"/>
      <c r="D316" s="133"/>
      <c r="E316" s="134"/>
      <c r="F316" s="134"/>
      <c r="G316" s="108"/>
      <c r="H316" s="135"/>
      <c r="I316" s="135"/>
      <c r="J316" s="107"/>
      <c r="K316" s="107"/>
      <c r="L316" s="107"/>
      <c r="M316" s="107"/>
      <c r="N316" s="107"/>
      <c r="O316" s="107"/>
      <c r="P316" s="136"/>
      <c r="Q316" s="107"/>
      <c r="R316" s="112"/>
      <c r="S316" s="137"/>
      <c r="T316" s="95"/>
      <c r="U316" s="95"/>
      <c r="V316" s="95"/>
      <c r="W316" s="95"/>
      <c r="X316" s="118"/>
      <c r="Y316" s="118"/>
      <c r="Z316" s="118"/>
      <c r="AA316" s="118"/>
      <c r="AB316" s="118"/>
      <c r="AC316" s="118"/>
      <c r="AD316" s="118"/>
      <c r="AE316" s="118"/>
      <c r="AF316" s="118"/>
      <c r="AG316" s="118"/>
      <c r="AH316" s="118"/>
      <c r="AI316" s="148"/>
      <c r="AJ316" s="118"/>
      <c r="AK316" s="118"/>
    </row>
    <row r="317" ht="12.75" customHeight="1">
      <c r="A317" s="79"/>
      <c r="B317" s="132"/>
      <c r="C317" s="133"/>
      <c r="D317" s="133"/>
      <c r="E317" s="134"/>
      <c r="F317" s="134"/>
      <c r="G317" s="141"/>
      <c r="H317" s="145"/>
      <c r="I317" s="145"/>
      <c r="J317" s="110"/>
      <c r="K317" s="146"/>
      <c r="L317" s="146"/>
      <c r="M317" s="110"/>
      <c r="N317" s="107"/>
      <c r="O317" s="107"/>
      <c r="P317" s="136"/>
      <c r="Q317" s="107"/>
      <c r="R317" s="147"/>
      <c r="S317" s="137"/>
      <c r="T317" s="95"/>
      <c r="U317" s="95"/>
      <c r="V317" s="95"/>
      <c r="W317" s="95"/>
      <c r="X317" s="118"/>
      <c r="Y317" s="118"/>
      <c r="Z317" s="118"/>
      <c r="AA317" s="118"/>
      <c r="AB317" s="118"/>
      <c r="AC317" s="118"/>
      <c r="AD317" s="118"/>
      <c r="AE317" s="118"/>
      <c r="AF317" s="118"/>
      <c r="AG317" s="118"/>
      <c r="AH317" s="118"/>
      <c r="AI317" s="148"/>
      <c r="AJ317" s="118"/>
      <c r="AK317" s="118"/>
    </row>
    <row r="318" ht="12.75" customHeight="1">
      <c r="A318" s="79"/>
      <c r="B318" s="132"/>
      <c r="C318" s="133"/>
      <c r="D318" s="133"/>
      <c r="E318" s="134"/>
      <c r="F318" s="134"/>
      <c r="G318" s="108"/>
      <c r="H318" s="135"/>
      <c r="I318" s="135"/>
      <c r="J318" s="107"/>
      <c r="K318" s="107"/>
      <c r="L318" s="107"/>
      <c r="M318" s="107"/>
      <c r="N318" s="107"/>
      <c r="O318" s="107"/>
      <c r="P318" s="136"/>
      <c r="Q318" s="107"/>
      <c r="R318" s="112"/>
      <c r="S318" s="137"/>
      <c r="T318" s="95"/>
      <c r="U318" s="95"/>
      <c r="V318" s="95"/>
      <c r="W318" s="95"/>
      <c r="X318" s="118"/>
      <c r="Y318" s="118"/>
      <c r="Z318" s="118"/>
      <c r="AA318" s="118"/>
      <c r="AB318" s="118"/>
      <c r="AC318" s="118"/>
      <c r="AD318" s="118"/>
      <c r="AE318" s="118"/>
      <c r="AF318" s="118"/>
      <c r="AG318" s="118"/>
      <c r="AH318" s="118"/>
      <c r="AI318" s="148"/>
      <c r="AJ318" s="118"/>
      <c r="AK318" s="118"/>
    </row>
    <row r="319" ht="12.75" customHeight="1">
      <c r="A319" s="79"/>
      <c r="B319" s="132"/>
      <c r="C319" s="138"/>
      <c r="D319" s="138"/>
      <c r="E319" s="139"/>
      <c r="F319" s="139"/>
      <c r="G319" s="140"/>
      <c r="H319" s="109"/>
      <c r="I319" s="109"/>
      <c r="J319" s="107"/>
      <c r="K319" s="107"/>
      <c r="L319" s="107"/>
      <c r="M319" s="107"/>
      <c r="N319" s="107"/>
      <c r="O319" s="107"/>
      <c r="P319" s="107"/>
      <c r="Q319" s="107"/>
      <c r="R319" s="134"/>
      <c r="S319" s="137"/>
      <c r="T319" s="95"/>
      <c r="U319" s="95"/>
      <c r="V319" s="95"/>
      <c r="W319" s="95"/>
      <c r="X319" s="118"/>
      <c r="Y319" s="118"/>
      <c r="Z319" s="118"/>
      <c r="AA319" s="118"/>
      <c r="AB319" s="118"/>
      <c r="AC319" s="118"/>
      <c r="AD319" s="118"/>
      <c r="AE319" s="118"/>
      <c r="AF319" s="118"/>
      <c r="AG319" s="118"/>
      <c r="AH319" s="118"/>
      <c r="AI319" s="148"/>
      <c r="AJ319" s="118"/>
      <c r="AK319" s="118"/>
    </row>
    <row r="320" ht="12.75" customHeight="1">
      <c r="A320" s="79"/>
      <c r="B320" s="132"/>
      <c r="C320" s="133"/>
      <c r="D320" s="133"/>
      <c r="E320" s="134"/>
      <c r="F320" s="134"/>
      <c r="G320" s="141"/>
      <c r="H320" s="142"/>
      <c r="I320" s="143"/>
      <c r="J320" s="107"/>
      <c r="K320" s="107"/>
      <c r="L320" s="107"/>
      <c r="M320" s="107"/>
      <c r="N320" s="107"/>
      <c r="O320" s="107"/>
      <c r="P320" s="136"/>
      <c r="Q320" s="107"/>
      <c r="R320" s="137"/>
      <c r="S320" s="137"/>
      <c r="T320" s="95"/>
      <c r="U320" s="95"/>
      <c r="V320" s="95"/>
      <c r="W320" s="95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  <c r="AI320" s="148"/>
      <c r="AJ320" s="118"/>
      <c r="AK320" s="118"/>
    </row>
    <row r="321" ht="12.75" customHeight="1">
      <c r="A321" s="79"/>
      <c r="B321" s="132"/>
      <c r="C321" s="133"/>
      <c r="D321" s="133"/>
      <c r="E321" s="134"/>
      <c r="F321" s="134"/>
      <c r="G321" s="108"/>
      <c r="H321" s="135"/>
      <c r="I321" s="135"/>
      <c r="J321" s="107"/>
      <c r="K321" s="107"/>
      <c r="L321" s="107"/>
      <c r="M321" s="107"/>
      <c r="N321" s="107"/>
      <c r="O321" s="107"/>
      <c r="P321" s="136"/>
      <c r="Q321" s="107"/>
      <c r="R321" s="112"/>
      <c r="S321" s="137"/>
      <c r="T321" s="95"/>
      <c r="U321" s="95"/>
      <c r="V321" s="95"/>
      <c r="W321" s="95"/>
      <c r="X321" s="118"/>
      <c r="Y321" s="118"/>
      <c r="Z321" s="118"/>
      <c r="AA321" s="118"/>
      <c r="AB321" s="118"/>
      <c r="AC321" s="118"/>
      <c r="AD321" s="118"/>
      <c r="AE321" s="118"/>
      <c r="AF321" s="118"/>
      <c r="AG321" s="118"/>
      <c r="AH321" s="118"/>
      <c r="AI321" s="148"/>
      <c r="AJ321" s="118"/>
      <c r="AK321" s="118"/>
    </row>
    <row r="322" ht="12.75" customHeight="1">
      <c r="A322" s="79"/>
      <c r="B322" s="132"/>
      <c r="C322" s="133"/>
      <c r="D322" s="133"/>
      <c r="E322" s="134"/>
      <c r="F322" s="134"/>
      <c r="G322" s="108"/>
      <c r="H322" s="144"/>
      <c r="I322" s="144"/>
      <c r="J322" s="107"/>
      <c r="K322" s="107"/>
      <c r="L322" s="107"/>
      <c r="M322" s="107"/>
      <c r="N322" s="107"/>
      <c r="O322" s="107"/>
      <c r="P322" s="107"/>
      <c r="Q322" s="107"/>
      <c r="R322" s="112"/>
      <c r="S322" s="137"/>
      <c r="T322" s="95"/>
      <c r="U322" s="95"/>
      <c r="V322" s="95"/>
      <c r="W322" s="95"/>
      <c r="X322" s="118"/>
      <c r="Y322" s="118"/>
      <c r="Z322" s="118"/>
      <c r="AA322" s="118"/>
      <c r="AB322" s="118"/>
      <c r="AC322" s="118"/>
      <c r="AD322" s="118"/>
      <c r="AE322" s="118"/>
      <c r="AF322" s="118"/>
      <c r="AG322" s="118"/>
      <c r="AH322" s="118"/>
      <c r="AI322" s="148"/>
      <c r="AJ322" s="118"/>
      <c r="AK322" s="118"/>
    </row>
    <row r="323" ht="12.75" customHeight="1">
      <c r="A323" s="79"/>
      <c r="B323" s="132"/>
      <c r="C323" s="133"/>
      <c r="D323" s="133"/>
      <c r="E323" s="134"/>
      <c r="F323" s="134"/>
      <c r="G323" s="141"/>
      <c r="H323" s="145"/>
      <c r="I323" s="145"/>
      <c r="J323" s="110"/>
      <c r="K323" s="146"/>
      <c r="L323" s="146"/>
      <c r="M323" s="110"/>
      <c r="N323" s="107"/>
      <c r="O323" s="107"/>
      <c r="P323" s="136"/>
      <c r="Q323" s="107"/>
      <c r="R323" s="147"/>
      <c r="S323" s="137"/>
      <c r="T323" s="95"/>
      <c r="U323" s="95"/>
      <c r="V323" s="95"/>
      <c r="W323" s="95"/>
      <c r="X323" s="118"/>
      <c r="Y323" s="118"/>
      <c r="Z323" s="118"/>
      <c r="AA323" s="118"/>
      <c r="AB323" s="118"/>
      <c r="AC323" s="118"/>
      <c r="AD323" s="118"/>
      <c r="AE323" s="118"/>
      <c r="AF323" s="118"/>
      <c r="AG323" s="118"/>
      <c r="AH323" s="118"/>
      <c r="AI323" s="148"/>
      <c r="AJ323" s="118"/>
      <c r="AK323" s="118"/>
    </row>
    <row r="324" ht="9.75" customHeight="1">
      <c r="A324" s="79"/>
      <c r="B324" s="132"/>
      <c r="C324" s="133"/>
      <c r="D324" s="133"/>
      <c r="E324" s="134"/>
      <c r="F324" s="134"/>
      <c r="G324" s="108"/>
      <c r="H324" s="135"/>
      <c r="I324" s="135"/>
      <c r="J324" s="107"/>
      <c r="K324" s="107"/>
      <c r="L324" s="107"/>
      <c r="M324" s="107"/>
      <c r="N324" s="107"/>
      <c r="O324" s="107"/>
      <c r="P324" s="136"/>
      <c r="Q324" s="107"/>
      <c r="R324" s="112"/>
      <c r="S324" s="137"/>
      <c r="T324" s="95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  <c r="AJ324" s="114"/>
      <c r="AK324" s="114"/>
    </row>
    <row r="325" ht="9.75" customHeight="1">
      <c r="A325" s="79"/>
      <c r="B325" s="132"/>
      <c r="C325" s="138"/>
      <c r="D325" s="138"/>
      <c r="E325" s="139"/>
      <c r="F325" s="139"/>
      <c r="G325" s="140"/>
      <c r="H325" s="109"/>
      <c r="I325" s="109"/>
      <c r="J325" s="107"/>
      <c r="K325" s="107"/>
      <c r="L325" s="107"/>
      <c r="M325" s="107"/>
      <c r="N325" s="107"/>
      <c r="O325" s="107"/>
      <c r="P325" s="107"/>
      <c r="Q325" s="107"/>
      <c r="R325" s="134"/>
      <c r="S325" s="137"/>
      <c r="T325" s="44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</row>
    <row r="326" ht="9.75" customHeight="1">
      <c r="A326" s="79"/>
      <c r="B326" s="132"/>
      <c r="C326" s="133"/>
      <c r="D326" s="133"/>
      <c r="E326" s="134"/>
      <c r="F326" s="134"/>
      <c r="G326" s="141"/>
      <c r="H326" s="142"/>
      <c r="I326" s="143"/>
      <c r="J326" s="107"/>
      <c r="K326" s="107"/>
      <c r="L326" s="107"/>
      <c r="M326" s="107"/>
      <c r="N326" s="107"/>
      <c r="O326" s="107"/>
      <c r="P326" s="136"/>
      <c r="Q326" s="107"/>
      <c r="R326" s="137"/>
      <c r="S326" s="137"/>
      <c r="T326" s="95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</row>
    <row r="327" ht="12.75" customHeight="1">
      <c r="A327" s="79"/>
      <c r="B327" s="132"/>
      <c r="C327" s="133"/>
      <c r="D327" s="133"/>
      <c r="E327" s="134"/>
      <c r="F327" s="134"/>
      <c r="G327" s="108"/>
      <c r="H327" s="135"/>
      <c r="I327" s="135"/>
      <c r="J327" s="107"/>
      <c r="K327" s="107"/>
      <c r="L327" s="107"/>
      <c r="M327" s="107"/>
      <c r="N327" s="107"/>
      <c r="O327" s="107"/>
      <c r="P327" s="136"/>
      <c r="Q327" s="107"/>
      <c r="R327" s="112"/>
      <c r="S327" s="137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</row>
    <row r="328" ht="12.75" customHeight="1">
      <c r="A328" s="79"/>
      <c r="B328" s="132"/>
      <c r="C328" s="133"/>
      <c r="D328" s="133"/>
      <c r="E328" s="134"/>
      <c r="F328" s="134"/>
      <c r="G328" s="108"/>
      <c r="H328" s="144"/>
      <c r="I328" s="144"/>
      <c r="J328" s="107"/>
      <c r="K328" s="107"/>
      <c r="L328" s="107"/>
      <c r="M328" s="107"/>
      <c r="N328" s="107"/>
      <c r="O328" s="107"/>
      <c r="P328" s="107"/>
      <c r="Q328" s="107"/>
      <c r="R328" s="112"/>
      <c r="S328" s="137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</row>
    <row r="329" ht="12.75" customHeight="1">
      <c r="A329" s="79"/>
      <c r="B329" s="132"/>
      <c r="C329" s="133"/>
      <c r="D329" s="133"/>
      <c r="E329" s="134"/>
      <c r="F329" s="134"/>
      <c r="G329" s="141"/>
      <c r="H329" s="145"/>
      <c r="I329" s="145"/>
      <c r="J329" s="110"/>
      <c r="K329" s="146"/>
      <c r="L329" s="146"/>
      <c r="M329" s="110"/>
      <c r="N329" s="107"/>
      <c r="O329" s="107"/>
      <c r="P329" s="136"/>
      <c r="Q329" s="107"/>
      <c r="R329" s="147"/>
      <c r="S329" s="137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</row>
    <row r="330" ht="12.75" customHeight="1">
      <c r="A330" s="79"/>
      <c r="B330" s="132"/>
      <c r="C330" s="133"/>
      <c r="D330" s="133"/>
      <c r="E330" s="134"/>
      <c r="F330" s="134"/>
      <c r="G330" s="108"/>
      <c r="H330" s="135"/>
      <c r="I330" s="135"/>
      <c r="J330" s="107"/>
      <c r="K330" s="107"/>
      <c r="L330" s="107"/>
      <c r="M330" s="107"/>
      <c r="N330" s="107"/>
      <c r="O330" s="107"/>
      <c r="P330" s="136"/>
      <c r="Q330" s="107"/>
      <c r="R330" s="112"/>
      <c r="S330" s="137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</row>
    <row r="331" ht="12.75" customHeight="1">
      <c r="A331" s="79"/>
      <c r="B331" s="132"/>
      <c r="C331" s="133"/>
      <c r="D331" s="133"/>
      <c r="E331" s="134"/>
      <c r="F331" s="134"/>
      <c r="G331" s="141"/>
      <c r="H331" s="145"/>
      <c r="I331" s="145"/>
      <c r="J331" s="110"/>
      <c r="K331" s="146"/>
      <c r="L331" s="146"/>
      <c r="M331" s="110"/>
      <c r="N331" s="107"/>
      <c r="O331" s="107"/>
      <c r="P331" s="136"/>
      <c r="Q331" s="107"/>
      <c r="R331" s="147"/>
      <c r="S331" s="137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</row>
    <row r="332" ht="12.75" customHeight="1">
      <c r="A332" s="79"/>
      <c r="B332" s="132"/>
      <c r="C332" s="133"/>
      <c r="D332" s="133"/>
      <c r="E332" s="134"/>
      <c r="F332" s="134"/>
      <c r="G332" s="108"/>
      <c r="H332" s="135"/>
      <c r="I332" s="135"/>
      <c r="J332" s="107"/>
      <c r="K332" s="107"/>
      <c r="L332" s="107"/>
      <c r="M332" s="107"/>
      <c r="N332" s="107"/>
      <c r="O332" s="107"/>
      <c r="P332" s="136"/>
      <c r="Q332" s="107"/>
      <c r="R332" s="112"/>
      <c r="S332" s="137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</row>
    <row r="333" ht="12.75" customHeight="1">
      <c r="A333" s="79"/>
      <c r="B333" s="132"/>
      <c r="C333" s="138"/>
      <c r="D333" s="138"/>
      <c r="E333" s="139"/>
      <c r="F333" s="139"/>
      <c r="G333" s="140"/>
      <c r="H333" s="109"/>
      <c r="I333" s="109"/>
      <c r="J333" s="107"/>
      <c r="K333" s="107"/>
      <c r="L333" s="107"/>
      <c r="M333" s="107"/>
      <c r="N333" s="107"/>
      <c r="O333" s="107"/>
      <c r="P333" s="107"/>
      <c r="Q333" s="107"/>
      <c r="R333" s="134"/>
      <c r="S333" s="137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</row>
    <row r="334" ht="12.75" customHeight="1">
      <c r="A334" s="79"/>
      <c r="B334" s="132"/>
      <c r="C334" s="133"/>
      <c r="D334" s="133"/>
      <c r="E334" s="134"/>
      <c r="F334" s="134"/>
      <c r="G334" s="141"/>
      <c r="H334" s="142"/>
      <c r="I334" s="143"/>
      <c r="J334" s="107"/>
      <c r="K334" s="107"/>
      <c r="L334" s="107"/>
      <c r="M334" s="107"/>
      <c r="N334" s="107"/>
      <c r="O334" s="107"/>
      <c r="P334" s="136"/>
      <c r="Q334" s="107"/>
      <c r="R334" s="137"/>
      <c r="S334" s="137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</row>
    <row r="335" ht="12.75" customHeight="1">
      <c r="A335" s="79"/>
      <c r="B335" s="132"/>
      <c r="C335" s="133"/>
      <c r="D335" s="133"/>
      <c r="E335" s="134"/>
      <c r="F335" s="134"/>
      <c r="G335" s="108"/>
      <c r="H335" s="135"/>
      <c r="I335" s="135"/>
      <c r="J335" s="107"/>
      <c r="K335" s="107"/>
      <c r="L335" s="107"/>
      <c r="M335" s="107"/>
      <c r="N335" s="107"/>
      <c r="O335" s="107"/>
      <c r="P335" s="136"/>
      <c r="Q335" s="107"/>
      <c r="R335" s="112"/>
      <c r="S335" s="137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</row>
    <row r="336" ht="12.75" customHeight="1">
      <c r="A336" s="79"/>
      <c r="B336" s="132"/>
      <c r="C336" s="133"/>
      <c r="D336" s="133"/>
      <c r="E336" s="134"/>
      <c r="F336" s="134"/>
      <c r="G336" s="108"/>
      <c r="H336" s="144"/>
      <c r="I336" s="144"/>
      <c r="J336" s="107"/>
      <c r="K336" s="107"/>
      <c r="L336" s="107"/>
      <c r="M336" s="107"/>
      <c r="N336" s="107"/>
      <c r="O336" s="107"/>
      <c r="P336" s="107"/>
      <c r="Q336" s="107"/>
      <c r="R336" s="112"/>
      <c r="S336" s="137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</row>
    <row r="337" ht="12.75" customHeight="1">
      <c r="A337" s="79"/>
      <c r="B337" s="132"/>
      <c r="C337" s="133"/>
      <c r="D337" s="133"/>
      <c r="E337" s="134"/>
      <c r="F337" s="134"/>
      <c r="G337" s="141"/>
      <c r="H337" s="145"/>
      <c r="I337" s="145"/>
      <c r="J337" s="110"/>
      <c r="K337" s="146"/>
      <c r="L337" s="146"/>
      <c r="M337" s="110"/>
      <c r="N337" s="107"/>
      <c r="O337" s="107"/>
      <c r="P337" s="136"/>
      <c r="Q337" s="107"/>
      <c r="R337" s="147"/>
      <c r="S337" s="137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</row>
    <row r="338" ht="12.75" customHeight="1">
      <c r="A338" s="79"/>
      <c r="B338" s="132"/>
      <c r="C338" s="133"/>
      <c r="D338" s="133"/>
      <c r="E338" s="134"/>
      <c r="F338" s="134"/>
      <c r="G338" s="108"/>
      <c r="H338" s="135"/>
      <c r="I338" s="135"/>
      <c r="J338" s="107"/>
      <c r="K338" s="107"/>
      <c r="L338" s="107"/>
      <c r="M338" s="107"/>
      <c r="N338" s="107"/>
      <c r="O338" s="107"/>
      <c r="P338" s="136"/>
      <c r="Q338" s="107"/>
      <c r="R338" s="112"/>
      <c r="S338" s="137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</row>
    <row r="339" ht="12.75" customHeight="1">
      <c r="A339" s="79"/>
      <c r="B339" s="132"/>
      <c r="C339" s="138"/>
      <c r="D339" s="138"/>
      <c r="E339" s="139"/>
      <c r="F339" s="139"/>
      <c r="G339" s="140"/>
      <c r="H339" s="109"/>
      <c r="I339" s="109"/>
      <c r="J339" s="107"/>
      <c r="K339" s="107"/>
      <c r="L339" s="107"/>
      <c r="M339" s="107"/>
      <c r="N339" s="107"/>
      <c r="O339" s="107"/>
      <c r="P339" s="107"/>
      <c r="Q339" s="107"/>
      <c r="R339" s="134"/>
      <c r="S339" s="137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</row>
    <row r="340" ht="12.75" customHeight="1">
      <c r="A340" s="79"/>
      <c r="B340" s="132"/>
      <c r="C340" s="133"/>
      <c r="D340" s="133"/>
      <c r="E340" s="134"/>
      <c r="F340" s="134"/>
      <c r="G340" s="141"/>
      <c r="H340" s="142"/>
      <c r="I340" s="143"/>
      <c r="J340" s="107"/>
      <c r="K340" s="107"/>
      <c r="L340" s="107"/>
      <c r="M340" s="107"/>
      <c r="N340" s="107"/>
      <c r="O340" s="107"/>
      <c r="P340" s="136"/>
      <c r="Q340" s="107"/>
      <c r="R340" s="137"/>
      <c r="S340" s="137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</row>
    <row r="341" ht="12.75" customHeight="1">
      <c r="A341" s="79"/>
      <c r="B341" s="132"/>
      <c r="C341" s="133"/>
      <c r="D341" s="133"/>
      <c r="E341" s="134"/>
      <c r="F341" s="134"/>
      <c r="G341" s="108"/>
      <c r="H341" s="135"/>
      <c r="I341" s="135"/>
      <c r="J341" s="107"/>
      <c r="K341" s="107"/>
      <c r="L341" s="107"/>
      <c r="M341" s="107"/>
      <c r="N341" s="107"/>
      <c r="O341" s="107"/>
      <c r="P341" s="136"/>
      <c r="Q341" s="107"/>
      <c r="R341" s="112"/>
      <c r="S341" s="137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</row>
    <row r="342" ht="12.75" customHeight="1">
      <c r="A342" s="79"/>
      <c r="B342" s="132"/>
      <c r="C342" s="133"/>
      <c r="D342" s="133"/>
      <c r="E342" s="134"/>
      <c r="F342" s="134"/>
      <c r="G342" s="108"/>
      <c r="H342" s="144"/>
      <c r="I342" s="144"/>
      <c r="J342" s="107"/>
      <c r="K342" s="107"/>
      <c r="L342" s="107"/>
      <c r="M342" s="107"/>
      <c r="N342" s="107"/>
      <c r="O342" s="107"/>
      <c r="P342" s="107"/>
      <c r="Q342" s="107"/>
      <c r="R342" s="112"/>
      <c r="S342" s="137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</row>
    <row r="343" ht="12.75" customHeight="1">
      <c r="A343" s="79"/>
      <c r="B343" s="132"/>
      <c r="C343" s="133"/>
      <c r="D343" s="133"/>
      <c r="E343" s="134"/>
      <c r="F343" s="134"/>
      <c r="G343" s="141"/>
      <c r="H343" s="145"/>
      <c r="I343" s="145"/>
      <c r="J343" s="110"/>
      <c r="K343" s="146"/>
      <c r="L343" s="146"/>
      <c r="M343" s="110"/>
      <c r="N343" s="107"/>
      <c r="O343" s="107"/>
      <c r="P343" s="136"/>
      <c r="Q343" s="107"/>
      <c r="R343" s="147"/>
      <c r="S343" s="137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</row>
    <row r="344" ht="12.75" customHeight="1">
      <c r="A344" s="79"/>
      <c r="B344" s="132"/>
      <c r="C344" s="133"/>
      <c r="D344" s="133"/>
      <c r="E344" s="134"/>
      <c r="F344" s="134"/>
      <c r="G344" s="108"/>
      <c r="H344" s="135"/>
      <c r="I344" s="135"/>
      <c r="J344" s="107"/>
      <c r="K344" s="107"/>
      <c r="L344" s="107"/>
      <c r="M344" s="107"/>
      <c r="N344" s="107"/>
      <c r="O344" s="107"/>
      <c r="P344" s="136"/>
      <c r="Q344" s="107"/>
      <c r="R344" s="112"/>
      <c r="S344" s="137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</row>
    <row r="345" ht="12.75" customHeight="1">
      <c r="A345" s="79"/>
      <c r="B345" s="132"/>
      <c r="C345" s="133"/>
      <c r="D345" s="133"/>
      <c r="E345" s="134"/>
      <c r="F345" s="134"/>
      <c r="G345" s="141"/>
      <c r="H345" s="145"/>
      <c r="I345" s="145"/>
      <c r="J345" s="110"/>
      <c r="K345" s="146"/>
      <c r="L345" s="146"/>
      <c r="M345" s="110"/>
      <c r="N345" s="107"/>
      <c r="O345" s="107"/>
      <c r="P345" s="136"/>
      <c r="Q345" s="107"/>
      <c r="R345" s="147"/>
      <c r="S345" s="137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</row>
    <row r="346" ht="12.75" customHeight="1">
      <c r="A346" s="79"/>
      <c r="B346" s="132"/>
      <c r="C346" s="133"/>
      <c r="D346" s="133"/>
      <c r="E346" s="134"/>
      <c r="F346" s="134"/>
      <c r="G346" s="108"/>
      <c r="H346" s="135"/>
      <c r="I346" s="135"/>
      <c r="J346" s="107"/>
      <c r="K346" s="107"/>
      <c r="L346" s="107"/>
      <c r="M346" s="107"/>
      <c r="N346" s="107"/>
      <c r="O346" s="107"/>
      <c r="P346" s="136"/>
      <c r="Q346" s="107"/>
      <c r="R346" s="112"/>
      <c r="S346" s="137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</row>
    <row r="347" ht="12.75" customHeight="1">
      <c r="A347" s="79"/>
      <c r="B347" s="132"/>
      <c r="C347" s="138"/>
      <c r="D347" s="138"/>
      <c r="E347" s="139"/>
      <c r="F347" s="139"/>
      <c r="G347" s="140"/>
      <c r="H347" s="109"/>
      <c r="I347" s="109"/>
      <c r="J347" s="107"/>
      <c r="K347" s="107"/>
      <c r="L347" s="107"/>
      <c r="M347" s="107"/>
      <c r="N347" s="107"/>
      <c r="O347" s="107"/>
      <c r="P347" s="107"/>
      <c r="Q347" s="107"/>
      <c r="R347" s="134"/>
      <c r="S347" s="137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</row>
    <row r="348" ht="12.75" customHeight="1">
      <c r="A348" s="79"/>
      <c r="B348" s="132"/>
      <c r="C348" s="133"/>
      <c r="D348" s="133"/>
      <c r="E348" s="134"/>
      <c r="F348" s="134"/>
      <c r="G348" s="141"/>
      <c r="H348" s="142"/>
      <c r="I348" s="143"/>
      <c r="J348" s="107"/>
      <c r="K348" s="107"/>
      <c r="L348" s="107"/>
      <c r="M348" s="107"/>
      <c r="N348" s="107"/>
      <c r="O348" s="107"/>
      <c r="P348" s="136"/>
      <c r="Q348" s="107"/>
      <c r="R348" s="137"/>
      <c r="S348" s="137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</row>
    <row r="349" ht="12.75" customHeight="1">
      <c r="A349" s="79"/>
      <c r="B349" s="132"/>
      <c r="C349" s="133"/>
      <c r="D349" s="133"/>
      <c r="E349" s="134"/>
      <c r="F349" s="134"/>
      <c r="G349" s="108"/>
      <c r="H349" s="135"/>
      <c r="I349" s="135"/>
      <c r="J349" s="107"/>
      <c r="K349" s="107"/>
      <c r="L349" s="107"/>
      <c r="M349" s="107"/>
      <c r="N349" s="107"/>
      <c r="O349" s="107"/>
      <c r="P349" s="136"/>
      <c r="Q349" s="107"/>
      <c r="R349" s="112"/>
      <c r="S349" s="137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</row>
    <row r="350" ht="12.75" customHeight="1">
      <c r="A350" s="79"/>
      <c r="B350" s="132"/>
      <c r="C350" s="133"/>
      <c r="D350" s="133"/>
      <c r="E350" s="134"/>
      <c r="F350" s="134"/>
      <c r="G350" s="108"/>
      <c r="H350" s="144"/>
      <c r="I350" s="144"/>
      <c r="J350" s="107"/>
      <c r="K350" s="107"/>
      <c r="L350" s="107"/>
      <c r="M350" s="107"/>
      <c r="N350" s="107"/>
      <c r="O350" s="107"/>
      <c r="P350" s="107"/>
      <c r="Q350" s="107"/>
      <c r="R350" s="112"/>
      <c r="S350" s="137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</row>
    <row r="351" ht="12.75" customHeight="1">
      <c r="A351" s="79"/>
      <c r="B351" s="132"/>
      <c r="C351" s="133"/>
      <c r="D351" s="133"/>
      <c r="E351" s="134"/>
      <c r="F351" s="134"/>
      <c r="G351" s="141"/>
      <c r="H351" s="145"/>
      <c r="I351" s="145"/>
      <c r="J351" s="110"/>
      <c r="K351" s="146"/>
      <c r="L351" s="146"/>
      <c r="M351" s="110"/>
      <c r="N351" s="107"/>
      <c r="O351" s="107"/>
      <c r="P351" s="136"/>
      <c r="Q351" s="107"/>
      <c r="R351" s="147"/>
      <c r="S351" s="137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</row>
    <row r="352" ht="12.75" customHeight="1">
      <c r="A352" s="79"/>
      <c r="B352" s="132"/>
      <c r="C352" s="133"/>
      <c r="D352" s="133"/>
      <c r="E352" s="134"/>
      <c r="F352" s="134"/>
      <c r="G352" s="108"/>
      <c r="H352" s="135"/>
      <c r="I352" s="135"/>
      <c r="J352" s="107"/>
      <c r="K352" s="107"/>
      <c r="L352" s="107"/>
      <c r="M352" s="107"/>
      <c r="N352" s="107"/>
      <c r="O352" s="107"/>
      <c r="P352" s="136"/>
      <c r="Q352" s="107"/>
      <c r="R352" s="112"/>
      <c r="S352" s="137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</row>
    <row r="353" ht="12.75" customHeight="1">
      <c r="A353" s="79"/>
      <c r="B353" s="132"/>
      <c r="C353" s="138"/>
      <c r="D353" s="138"/>
      <c r="E353" s="139"/>
      <c r="F353" s="139"/>
      <c r="G353" s="140"/>
      <c r="H353" s="109"/>
      <c r="I353" s="109"/>
      <c r="J353" s="107"/>
      <c r="K353" s="107"/>
      <c r="L353" s="107"/>
      <c r="M353" s="107"/>
      <c r="N353" s="107"/>
      <c r="O353" s="107"/>
      <c r="P353" s="107"/>
      <c r="Q353" s="107"/>
      <c r="R353" s="134"/>
      <c r="S353" s="137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</row>
    <row r="354" ht="12.75" customHeight="1">
      <c r="A354" s="79"/>
      <c r="B354" s="132"/>
      <c r="C354" s="133"/>
      <c r="D354" s="133"/>
      <c r="E354" s="134"/>
      <c r="F354" s="134"/>
      <c r="G354" s="141"/>
      <c r="H354" s="142"/>
      <c r="I354" s="143"/>
      <c r="J354" s="107"/>
      <c r="K354" s="107"/>
      <c r="L354" s="107"/>
      <c r="M354" s="107"/>
      <c r="N354" s="107"/>
      <c r="O354" s="107"/>
      <c r="P354" s="136"/>
      <c r="Q354" s="107"/>
      <c r="R354" s="137"/>
      <c r="S354" s="137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</row>
    <row r="355" ht="12.75" customHeight="1">
      <c r="A355" s="79"/>
      <c r="B355" s="132"/>
      <c r="C355" s="133"/>
      <c r="D355" s="133"/>
      <c r="E355" s="134"/>
      <c r="F355" s="134"/>
      <c r="G355" s="108"/>
      <c r="H355" s="135"/>
      <c r="I355" s="135"/>
      <c r="J355" s="107"/>
      <c r="K355" s="107"/>
      <c r="L355" s="107"/>
      <c r="M355" s="107"/>
      <c r="N355" s="107"/>
      <c r="O355" s="107"/>
      <c r="P355" s="136"/>
      <c r="Q355" s="107"/>
      <c r="R355" s="112"/>
      <c r="S355" s="137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</row>
    <row r="356" ht="12.75" customHeight="1">
      <c r="A356" s="79"/>
      <c r="B356" s="132"/>
      <c r="C356" s="133"/>
      <c r="D356" s="133"/>
      <c r="E356" s="134"/>
      <c r="F356" s="134"/>
      <c r="G356" s="108"/>
      <c r="H356" s="144"/>
      <c r="I356" s="144"/>
      <c r="J356" s="107"/>
      <c r="K356" s="107"/>
      <c r="L356" s="107"/>
      <c r="M356" s="107"/>
      <c r="N356" s="107"/>
      <c r="O356" s="107"/>
      <c r="P356" s="107"/>
      <c r="Q356" s="107"/>
      <c r="R356" s="112"/>
      <c r="S356" s="137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</row>
    <row r="357" ht="12.75" customHeight="1">
      <c r="A357" s="79"/>
      <c r="B357" s="132"/>
      <c r="C357" s="133"/>
      <c r="D357" s="133"/>
      <c r="E357" s="134"/>
      <c r="F357" s="134"/>
      <c r="G357" s="141"/>
      <c r="H357" s="145"/>
      <c r="I357" s="145"/>
      <c r="J357" s="110"/>
      <c r="K357" s="146"/>
      <c r="L357" s="146"/>
      <c r="M357" s="110"/>
      <c r="N357" s="107"/>
      <c r="O357" s="107"/>
      <c r="P357" s="136"/>
      <c r="Q357" s="107"/>
      <c r="R357" s="147"/>
      <c r="S357" s="137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</row>
    <row r="358" ht="12.75" customHeight="1">
      <c r="A358" s="79"/>
      <c r="B358" s="132"/>
      <c r="C358" s="133"/>
      <c r="D358" s="133"/>
      <c r="E358" s="134"/>
      <c r="F358" s="134"/>
      <c r="G358" s="108"/>
      <c r="H358" s="135"/>
      <c r="I358" s="135"/>
      <c r="J358" s="107"/>
      <c r="K358" s="107"/>
      <c r="L358" s="107"/>
      <c r="M358" s="107"/>
      <c r="N358" s="107"/>
      <c r="O358" s="107"/>
      <c r="P358" s="136"/>
      <c r="Q358" s="107"/>
      <c r="R358" s="112"/>
      <c r="S358" s="137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</row>
    <row r="359" ht="12.75" customHeight="1">
      <c r="A359" s="79"/>
      <c r="B359" s="132"/>
      <c r="C359" s="133"/>
      <c r="D359" s="133"/>
      <c r="E359" s="134"/>
      <c r="F359" s="134"/>
      <c r="G359" s="141"/>
      <c r="H359" s="145"/>
      <c r="I359" s="145"/>
      <c r="J359" s="110"/>
      <c r="K359" s="146"/>
      <c r="L359" s="146"/>
      <c r="M359" s="110"/>
      <c r="N359" s="107"/>
      <c r="O359" s="107"/>
      <c r="P359" s="136"/>
      <c r="Q359" s="107"/>
      <c r="R359" s="147"/>
      <c r="S359" s="137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</row>
    <row r="360" ht="12.75" customHeight="1">
      <c r="A360" s="79"/>
      <c r="B360" s="132"/>
      <c r="C360" s="133"/>
      <c r="D360" s="133"/>
      <c r="E360" s="134"/>
      <c r="F360" s="134"/>
      <c r="G360" s="108"/>
      <c r="H360" s="135"/>
      <c r="I360" s="135"/>
      <c r="J360" s="107"/>
      <c r="K360" s="107"/>
      <c r="L360" s="107"/>
      <c r="M360" s="107"/>
      <c r="N360" s="107"/>
      <c r="O360" s="107"/>
      <c r="P360" s="136"/>
      <c r="Q360" s="107"/>
      <c r="R360" s="112"/>
      <c r="S360" s="137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</row>
    <row r="361" ht="12.75" customHeight="1">
      <c r="A361" s="79"/>
      <c r="B361" s="132"/>
      <c r="C361" s="138"/>
      <c r="D361" s="138"/>
      <c r="E361" s="139"/>
      <c r="F361" s="139"/>
      <c r="G361" s="140"/>
      <c r="H361" s="109"/>
      <c r="I361" s="109"/>
      <c r="J361" s="107"/>
      <c r="K361" s="107"/>
      <c r="L361" s="107"/>
      <c r="M361" s="107"/>
      <c r="N361" s="107"/>
      <c r="O361" s="107"/>
      <c r="P361" s="107"/>
      <c r="Q361" s="107"/>
      <c r="R361" s="134"/>
      <c r="S361" s="137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</row>
    <row r="362" ht="12.75" customHeight="1">
      <c r="A362" s="79"/>
      <c r="B362" s="132"/>
      <c r="C362" s="133"/>
      <c r="D362" s="133"/>
      <c r="E362" s="134"/>
      <c r="F362" s="134"/>
      <c r="G362" s="141"/>
      <c r="H362" s="142"/>
      <c r="I362" s="143"/>
      <c r="J362" s="107"/>
      <c r="K362" s="107"/>
      <c r="L362" s="107"/>
      <c r="M362" s="107"/>
      <c r="N362" s="107"/>
      <c r="O362" s="107"/>
      <c r="P362" s="136"/>
      <c r="Q362" s="107"/>
      <c r="R362" s="137"/>
      <c r="S362" s="137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</row>
    <row r="363" ht="12.75" customHeight="1">
      <c r="A363" s="79"/>
      <c r="B363" s="132"/>
      <c r="C363" s="133"/>
      <c r="D363" s="133"/>
      <c r="E363" s="134"/>
      <c r="F363" s="134"/>
      <c r="G363" s="108"/>
      <c r="H363" s="135"/>
      <c r="I363" s="135"/>
      <c r="J363" s="107"/>
      <c r="K363" s="107"/>
      <c r="L363" s="107"/>
      <c r="M363" s="107"/>
      <c r="N363" s="107"/>
      <c r="O363" s="107"/>
      <c r="P363" s="136"/>
      <c r="Q363" s="107"/>
      <c r="R363" s="112"/>
      <c r="S363" s="137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</row>
    <row r="364" ht="12.75" customHeight="1">
      <c r="A364" s="79"/>
      <c r="B364" s="132"/>
      <c r="C364" s="133"/>
      <c r="D364" s="133"/>
      <c r="E364" s="134"/>
      <c r="F364" s="134"/>
      <c r="G364" s="108"/>
      <c r="H364" s="144"/>
      <c r="I364" s="144"/>
      <c r="J364" s="107"/>
      <c r="K364" s="107"/>
      <c r="L364" s="107"/>
      <c r="M364" s="107"/>
      <c r="N364" s="107"/>
      <c r="O364" s="107"/>
      <c r="P364" s="107"/>
      <c r="Q364" s="107"/>
      <c r="R364" s="112"/>
      <c r="S364" s="137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</row>
    <row r="365" ht="12.75" customHeight="1">
      <c r="A365" s="79"/>
      <c r="B365" s="132"/>
      <c r="C365" s="133"/>
      <c r="D365" s="133"/>
      <c r="E365" s="134"/>
      <c r="F365" s="134"/>
      <c r="G365" s="141"/>
      <c r="H365" s="145"/>
      <c r="I365" s="145"/>
      <c r="J365" s="110"/>
      <c r="K365" s="146"/>
      <c r="L365" s="146"/>
      <c r="M365" s="110"/>
      <c r="N365" s="107"/>
      <c r="O365" s="107"/>
      <c r="P365" s="136"/>
      <c r="Q365" s="107"/>
      <c r="R365" s="147"/>
      <c r="S365" s="137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</row>
    <row r="366" ht="12.75" customHeight="1">
      <c r="A366" s="79"/>
      <c r="B366" s="132"/>
      <c r="C366" s="133"/>
      <c r="D366" s="133"/>
      <c r="E366" s="134"/>
      <c r="F366" s="134"/>
      <c r="G366" s="108"/>
      <c r="H366" s="135"/>
      <c r="I366" s="135"/>
      <c r="J366" s="107"/>
      <c r="K366" s="107"/>
      <c r="L366" s="107"/>
      <c r="M366" s="107"/>
      <c r="N366" s="107"/>
      <c r="O366" s="107"/>
      <c r="P366" s="136"/>
      <c r="Q366" s="107"/>
      <c r="R366" s="112"/>
      <c r="S366" s="137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</row>
    <row r="367" ht="12.75" customHeight="1">
      <c r="A367" s="79"/>
      <c r="B367" s="132"/>
      <c r="C367" s="138"/>
      <c r="D367" s="138"/>
      <c r="E367" s="139"/>
      <c r="F367" s="139"/>
      <c r="G367" s="140"/>
      <c r="H367" s="109"/>
      <c r="I367" s="109"/>
      <c r="J367" s="107"/>
      <c r="K367" s="107"/>
      <c r="L367" s="107"/>
      <c r="M367" s="107"/>
      <c r="N367" s="107"/>
      <c r="O367" s="107"/>
      <c r="P367" s="107"/>
      <c r="Q367" s="107"/>
      <c r="R367" s="134"/>
      <c r="S367" s="137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</row>
    <row r="368" ht="12.75" customHeight="1">
      <c r="A368" s="79"/>
      <c r="B368" s="132"/>
      <c r="C368" s="133"/>
      <c r="D368" s="133"/>
      <c r="E368" s="134"/>
      <c r="F368" s="134"/>
      <c r="G368" s="141"/>
      <c r="H368" s="142"/>
      <c r="I368" s="143"/>
      <c r="J368" s="107"/>
      <c r="K368" s="107"/>
      <c r="L368" s="107"/>
      <c r="M368" s="107"/>
      <c r="N368" s="107"/>
      <c r="O368" s="107"/>
      <c r="P368" s="136"/>
      <c r="Q368" s="107"/>
      <c r="R368" s="137"/>
      <c r="S368" s="137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</row>
    <row r="369" ht="12.75" customHeight="1">
      <c r="A369" s="79"/>
      <c r="B369" s="132"/>
      <c r="C369" s="133"/>
      <c r="D369" s="133"/>
      <c r="E369" s="134"/>
      <c r="F369" s="134"/>
      <c r="G369" s="108"/>
      <c r="H369" s="135"/>
      <c r="I369" s="135"/>
      <c r="J369" s="107"/>
      <c r="K369" s="107"/>
      <c r="L369" s="107"/>
      <c r="M369" s="107"/>
      <c r="N369" s="107"/>
      <c r="O369" s="107"/>
      <c r="P369" s="136"/>
      <c r="Q369" s="107"/>
      <c r="R369" s="112"/>
      <c r="S369" s="137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</row>
    <row r="370" ht="12.75" customHeight="1">
      <c r="A370" s="79"/>
      <c r="B370" s="132"/>
      <c r="C370" s="133"/>
      <c r="D370" s="133"/>
      <c r="E370" s="134"/>
      <c r="F370" s="134"/>
      <c r="G370" s="108"/>
      <c r="H370" s="144"/>
      <c r="I370" s="144"/>
      <c r="J370" s="107"/>
      <c r="K370" s="107"/>
      <c r="L370" s="107"/>
      <c r="M370" s="107"/>
      <c r="N370" s="107"/>
      <c r="O370" s="107"/>
      <c r="P370" s="107"/>
      <c r="Q370" s="107"/>
      <c r="R370" s="112"/>
      <c r="S370" s="137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</row>
    <row r="371" ht="12.75" customHeight="1">
      <c r="A371" s="79"/>
      <c r="B371" s="132"/>
      <c r="C371" s="133"/>
      <c r="D371" s="133"/>
      <c r="E371" s="134"/>
      <c r="F371" s="134"/>
      <c r="G371" s="141"/>
      <c r="H371" s="145"/>
      <c r="I371" s="145"/>
      <c r="J371" s="110"/>
      <c r="K371" s="146"/>
      <c r="L371" s="146"/>
      <c r="M371" s="110"/>
      <c r="N371" s="107"/>
      <c r="O371" s="107"/>
      <c r="P371" s="136"/>
      <c r="Q371" s="107"/>
      <c r="R371" s="147"/>
      <c r="S371" s="137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</row>
    <row r="372" ht="12.75" customHeight="1">
      <c r="A372" s="79"/>
      <c r="B372" s="132"/>
      <c r="C372" s="133"/>
      <c r="D372" s="133"/>
      <c r="E372" s="134"/>
      <c r="F372" s="134"/>
      <c r="G372" s="108"/>
      <c r="H372" s="135"/>
      <c r="I372" s="135"/>
      <c r="J372" s="107"/>
      <c r="K372" s="107"/>
      <c r="L372" s="107"/>
      <c r="M372" s="107"/>
      <c r="N372" s="107"/>
      <c r="O372" s="107"/>
      <c r="P372" s="136"/>
      <c r="Q372" s="107"/>
      <c r="R372" s="112"/>
      <c r="S372" s="137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</row>
    <row r="373" ht="12.75" customHeight="1">
      <c r="A373" s="79"/>
      <c r="B373" s="132"/>
      <c r="C373" s="133"/>
      <c r="D373" s="133"/>
      <c r="E373" s="134"/>
      <c r="F373" s="134"/>
      <c r="G373" s="141"/>
      <c r="H373" s="145"/>
      <c r="I373" s="145"/>
      <c r="J373" s="110"/>
      <c r="K373" s="146"/>
      <c r="L373" s="146"/>
      <c r="M373" s="110"/>
      <c r="N373" s="107"/>
      <c r="O373" s="107"/>
      <c r="P373" s="136"/>
      <c r="Q373" s="107"/>
      <c r="R373" s="147"/>
      <c r="S373" s="137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</row>
    <row r="374" ht="12.75" customHeight="1">
      <c r="A374" s="79"/>
      <c r="B374" s="132"/>
      <c r="C374" s="133"/>
      <c r="D374" s="133"/>
      <c r="E374" s="134"/>
      <c r="F374" s="134"/>
      <c r="G374" s="108"/>
      <c r="H374" s="135"/>
      <c r="I374" s="135"/>
      <c r="J374" s="107"/>
      <c r="K374" s="107"/>
      <c r="L374" s="107"/>
      <c r="M374" s="107"/>
      <c r="N374" s="107"/>
      <c r="O374" s="107"/>
      <c r="P374" s="136"/>
      <c r="Q374" s="107"/>
      <c r="R374" s="112"/>
      <c r="S374" s="137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</row>
    <row r="375" ht="12.75" customHeight="1">
      <c r="A375" s="79"/>
      <c r="B375" s="132"/>
      <c r="C375" s="138"/>
      <c r="D375" s="138"/>
      <c r="E375" s="139"/>
      <c r="F375" s="139"/>
      <c r="G375" s="140"/>
      <c r="H375" s="109"/>
      <c r="I375" s="109"/>
      <c r="J375" s="107"/>
      <c r="K375" s="107"/>
      <c r="L375" s="107"/>
      <c r="M375" s="107"/>
      <c r="N375" s="107"/>
      <c r="O375" s="107"/>
      <c r="P375" s="107"/>
      <c r="Q375" s="107"/>
      <c r="R375" s="134"/>
      <c r="S375" s="137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</row>
    <row r="376" ht="12.75" customHeight="1">
      <c r="A376" s="79"/>
      <c r="B376" s="132"/>
      <c r="C376" s="133"/>
      <c r="D376" s="133"/>
      <c r="E376" s="134"/>
      <c r="F376" s="134"/>
      <c r="G376" s="141"/>
      <c r="H376" s="142"/>
      <c r="I376" s="143"/>
      <c r="J376" s="107"/>
      <c r="K376" s="107"/>
      <c r="L376" s="107"/>
      <c r="M376" s="107"/>
      <c r="N376" s="107"/>
      <c r="O376" s="107"/>
      <c r="P376" s="136"/>
      <c r="Q376" s="107"/>
      <c r="R376" s="137"/>
      <c r="S376" s="137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</row>
    <row r="377" ht="12.75" customHeight="1">
      <c r="A377" s="79"/>
      <c r="B377" s="132"/>
      <c r="C377" s="133"/>
      <c r="D377" s="133"/>
      <c r="E377" s="134"/>
      <c r="F377" s="134"/>
      <c r="G377" s="108"/>
      <c r="H377" s="135"/>
      <c r="I377" s="135"/>
      <c r="J377" s="107"/>
      <c r="K377" s="107"/>
      <c r="L377" s="107"/>
      <c r="M377" s="107"/>
      <c r="N377" s="107"/>
      <c r="O377" s="107"/>
      <c r="P377" s="136"/>
      <c r="Q377" s="107"/>
      <c r="R377" s="112"/>
      <c r="S377" s="137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</row>
    <row r="378" ht="12.75" customHeight="1">
      <c r="A378" s="79"/>
      <c r="B378" s="132"/>
      <c r="C378" s="133"/>
      <c r="D378" s="133"/>
      <c r="E378" s="134"/>
      <c r="F378" s="134"/>
      <c r="G378" s="108"/>
      <c r="H378" s="144"/>
      <c r="I378" s="144"/>
      <c r="J378" s="107"/>
      <c r="K378" s="107"/>
      <c r="L378" s="107"/>
      <c r="M378" s="107"/>
      <c r="N378" s="107"/>
      <c r="O378" s="107"/>
      <c r="P378" s="107"/>
      <c r="Q378" s="107"/>
      <c r="R378" s="112"/>
      <c r="S378" s="137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</row>
    <row r="379" ht="12.75" customHeight="1">
      <c r="A379" s="79"/>
      <c r="B379" s="132"/>
      <c r="C379" s="133"/>
      <c r="D379" s="133"/>
      <c r="E379" s="134"/>
      <c r="F379" s="134"/>
      <c r="G379" s="141"/>
      <c r="H379" s="145"/>
      <c r="I379" s="145"/>
      <c r="J379" s="110"/>
      <c r="K379" s="146"/>
      <c r="L379" s="146"/>
      <c r="M379" s="110"/>
      <c r="N379" s="107"/>
      <c r="O379" s="107"/>
      <c r="P379" s="136"/>
      <c r="Q379" s="107"/>
      <c r="R379" s="147"/>
      <c r="S379" s="137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</row>
    <row r="380" ht="12.75" customHeight="1">
      <c r="A380" s="79"/>
      <c r="B380" s="132"/>
      <c r="C380" s="133"/>
      <c r="D380" s="133"/>
      <c r="E380" s="134"/>
      <c r="F380" s="134"/>
      <c r="G380" s="108"/>
      <c r="H380" s="135"/>
      <c r="I380" s="135"/>
      <c r="J380" s="107"/>
      <c r="K380" s="107"/>
      <c r="L380" s="107"/>
      <c r="M380" s="107"/>
      <c r="N380" s="107"/>
      <c r="O380" s="107"/>
      <c r="P380" s="136"/>
      <c r="Q380" s="107"/>
      <c r="R380" s="112"/>
      <c r="S380" s="137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</row>
    <row r="381" ht="12.75" customHeight="1">
      <c r="A381" s="79"/>
      <c r="B381" s="132"/>
      <c r="C381" s="138"/>
      <c r="D381" s="138"/>
      <c r="E381" s="139"/>
      <c r="F381" s="139"/>
      <c r="G381" s="140"/>
      <c r="H381" s="109"/>
      <c r="I381" s="109"/>
      <c r="J381" s="107"/>
      <c r="K381" s="107"/>
      <c r="L381" s="107"/>
      <c r="M381" s="107"/>
      <c r="N381" s="107"/>
      <c r="O381" s="107"/>
      <c r="P381" s="107"/>
      <c r="Q381" s="107"/>
      <c r="R381" s="134"/>
      <c r="S381" s="137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</row>
    <row r="382" ht="12.75" customHeight="1">
      <c r="A382" s="79"/>
      <c r="B382" s="132"/>
      <c r="C382" s="133"/>
      <c r="D382" s="133"/>
      <c r="E382" s="134"/>
      <c r="F382" s="134"/>
      <c r="G382" s="141"/>
      <c r="H382" s="142"/>
      <c r="I382" s="143"/>
      <c r="J382" s="107"/>
      <c r="K382" s="107"/>
      <c r="L382" s="107"/>
      <c r="M382" s="107"/>
      <c r="N382" s="107"/>
      <c r="O382" s="107"/>
      <c r="P382" s="136"/>
      <c r="Q382" s="107"/>
      <c r="R382" s="137"/>
      <c r="S382" s="137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</row>
    <row r="383" ht="12.75" customHeight="1">
      <c r="A383" s="79"/>
      <c r="B383" s="132"/>
      <c r="C383" s="133"/>
      <c r="D383" s="133"/>
      <c r="E383" s="134"/>
      <c r="F383" s="134"/>
      <c r="G383" s="108"/>
      <c r="H383" s="135"/>
      <c r="I383" s="135"/>
      <c r="J383" s="107"/>
      <c r="K383" s="107"/>
      <c r="L383" s="107"/>
      <c r="M383" s="107"/>
      <c r="N383" s="107"/>
      <c r="O383" s="107"/>
      <c r="P383" s="136"/>
      <c r="Q383" s="107"/>
      <c r="R383" s="112"/>
      <c r="S383" s="137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</row>
    <row r="384" ht="12.75" customHeight="1">
      <c r="A384" s="79"/>
      <c r="B384" s="132"/>
      <c r="C384" s="133"/>
      <c r="D384" s="133"/>
      <c r="E384" s="134"/>
      <c r="F384" s="134"/>
      <c r="G384" s="108"/>
      <c r="H384" s="144"/>
      <c r="I384" s="144"/>
      <c r="J384" s="107"/>
      <c r="K384" s="107"/>
      <c r="L384" s="107"/>
      <c r="M384" s="107"/>
      <c r="N384" s="107"/>
      <c r="O384" s="107"/>
      <c r="P384" s="107"/>
      <c r="Q384" s="107"/>
      <c r="R384" s="112"/>
      <c r="S384" s="137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</row>
    <row r="385" ht="12.75" customHeight="1">
      <c r="A385" s="79"/>
      <c r="B385" s="132"/>
      <c r="C385" s="133"/>
      <c r="D385" s="133"/>
      <c r="E385" s="134"/>
      <c r="F385" s="134"/>
      <c r="G385" s="141"/>
      <c r="H385" s="145"/>
      <c r="I385" s="145"/>
      <c r="J385" s="110"/>
      <c r="K385" s="146"/>
      <c r="L385" s="146"/>
      <c r="M385" s="110"/>
      <c r="N385" s="107"/>
      <c r="O385" s="107"/>
      <c r="P385" s="136"/>
      <c r="Q385" s="107"/>
      <c r="R385" s="147"/>
      <c r="S385" s="137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</row>
    <row r="386" ht="12.75" customHeight="1">
      <c r="A386" s="79"/>
      <c r="B386" s="132"/>
      <c r="C386" s="133"/>
      <c r="D386" s="133"/>
      <c r="E386" s="134"/>
      <c r="F386" s="134"/>
      <c r="G386" s="108"/>
      <c r="H386" s="135"/>
      <c r="I386" s="135"/>
      <c r="J386" s="107"/>
      <c r="K386" s="107"/>
      <c r="L386" s="107"/>
      <c r="M386" s="107"/>
      <c r="N386" s="107"/>
      <c r="O386" s="107"/>
      <c r="P386" s="136"/>
      <c r="Q386" s="107"/>
      <c r="R386" s="112"/>
      <c r="S386" s="137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</row>
    <row r="387" ht="12.75" customHeight="1">
      <c r="A387" s="79"/>
      <c r="B387" s="132"/>
      <c r="C387" s="133"/>
      <c r="D387" s="133"/>
      <c r="E387" s="134"/>
      <c r="F387" s="134"/>
      <c r="G387" s="141"/>
      <c r="H387" s="145"/>
      <c r="I387" s="145"/>
      <c r="J387" s="110"/>
      <c r="K387" s="146"/>
      <c r="L387" s="146"/>
      <c r="M387" s="110"/>
      <c r="N387" s="107"/>
      <c r="O387" s="107"/>
      <c r="P387" s="136"/>
      <c r="Q387" s="107"/>
      <c r="R387" s="147"/>
      <c r="S387" s="137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</row>
    <row r="388" ht="12.75" customHeight="1">
      <c r="A388" s="79"/>
      <c r="B388" s="132"/>
      <c r="C388" s="133"/>
      <c r="D388" s="133"/>
      <c r="E388" s="134"/>
      <c r="F388" s="134"/>
      <c r="G388" s="108"/>
      <c r="H388" s="135"/>
      <c r="I388" s="135"/>
      <c r="J388" s="107"/>
      <c r="K388" s="107"/>
      <c r="L388" s="107"/>
      <c r="M388" s="107"/>
      <c r="N388" s="107"/>
      <c r="O388" s="107"/>
      <c r="P388" s="136"/>
      <c r="Q388" s="107"/>
      <c r="R388" s="112"/>
      <c r="S388" s="137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</row>
    <row r="389" ht="12.75" customHeight="1">
      <c r="A389" s="79"/>
      <c r="B389" s="132"/>
      <c r="C389" s="138"/>
      <c r="D389" s="138"/>
      <c r="E389" s="139"/>
      <c r="F389" s="139"/>
      <c r="G389" s="140"/>
      <c r="H389" s="109"/>
      <c r="I389" s="109"/>
      <c r="J389" s="107"/>
      <c r="K389" s="107"/>
      <c r="L389" s="107"/>
      <c r="M389" s="107"/>
      <c r="N389" s="107"/>
      <c r="O389" s="107"/>
      <c r="P389" s="107"/>
      <c r="Q389" s="107"/>
      <c r="R389" s="134"/>
      <c r="S389" s="137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</row>
    <row r="390" ht="12.75" customHeight="1">
      <c r="A390" s="79"/>
      <c r="B390" s="132"/>
      <c r="C390" s="133"/>
      <c r="D390" s="133"/>
      <c r="E390" s="134"/>
      <c r="F390" s="134"/>
      <c r="G390" s="141"/>
      <c r="H390" s="142"/>
      <c r="I390" s="143"/>
      <c r="J390" s="107"/>
      <c r="K390" s="107"/>
      <c r="L390" s="107"/>
      <c r="M390" s="107"/>
      <c r="N390" s="107"/>
      <c r="O390" s="107"/>
      <c r="P390" s="136"/>
      <c r="Q390" s="107"/>
      <c r="R390" s="137"/>
      <c r="S390" s="137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</row>
    <row r="391" ht="12.75" customHeight="1">
      <c r="A391" s="79"/>
      <c r="B391" s="132"/>
      <c r="C391" s="133"/>
      <c r="D391" s="133"/>
      <c r="E391" s="134"/>
      <c r="F391" s="134"/>
      <c r="G391" s="108"/>
      <c r="H391" s="135"/>
      <c r="I391" s="135"/>
      <c r="J391" s="107"/>
      <c r="K391" s="107"/>
      <c r="L391" s="107"/>
      <c r="M391" s="107"/>
      <c r="N391" s="107"/>
      <c r="O391" s="107"/>
      <c r="P391" s="136"/>
      <c r="Q391" s="107"/>
      <c r="R391" s="112"/>
      <c r="S391" s="137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</row>
    <row r="392" ht="12.75" customHeight="1">
      <c r="A392" s="79"/>
      <c r="B392" s="132"/>
      <c r="C392" s="133"/>
      <c r="D392" s="133"/>
      <c r="E392" s="134"/>
      <c r="F392" s="134"/>
      <c r="G392" s="108"/>
      <c r="H392" s="144"/>
      <c r="I392" s="144"/>
      <c r="J392" s="107"/>
      <c r="K392" s="107"/>
      <c r="L392" s="107"/>
      <c r="M392" s="107"/>
      <c r="N392" s="107"/>
      <c r="O392" s="107"/>
      <c r="P392" s="107"/>
      <c r="Q392" s="107"/>
      <c r="R392" s="112"/>
      <c r="S392" s="137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</row>
    <row r="393" ht="12.75" customHeight="1">
      <c r="A393" s="79"/>
      <c r="B393" s="132"/>
      <c r="C393" s="133"/>
      <c r="D393" s="133"/>
      <c r="E393" s="134"/>
      <c r="F393" s="134"/>
      <c r="G393" s="141"/>
      <c r="H393" s="145"/>
      <c r="I393" s="145"/>
      <c r="J393" s="110"/>
      <c r="K393" s="146"/>
      <c r="L393" s="146"/>
      <c r="M393" s="110"/>
      <c r="N393" s="107"/>
      <c r="O393" s="107"/>
      <c r="P393" s="136"/>
      <c r="Q393" s="107"/>
      <c r="R393" s="147"/>
      <c r="S393" s="137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</row>
    <row r="394" ht="12.75" customHeight="1">
      <c r="A394" s="79"/>
      <c r="B394" s="132"/>
      <c r="C394" s="133"/>
      <c r="D394" s="133"/>
      <c r="E394" s="134"/>
      <c r="F394" s="134"/>
      <c r="G394" s="108"/>
      <c r="H394" s="135"/>
      <c r="I394" s="135"/>
      <c r="J394" s="107"/>
      <c r="K394" s="107"/>
      <c r="L394" s="107"/>
      <c r="M394" s="107"/>
      <c r="N394" s="107"/>
      <c r="O394" s="107"/>
      <c r="P394" s="136"/>
      <c r="Q394" s="107"/>
      <c r="R394" s="112"/>
      <c r="S394" s="137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</row>
    <row r="395" ht="12.75" customHeight="1">
      <c r="A395" s="79"/>
      <c r="B395" s="132"/>
      <c r="C395" s="138"/>
      <c r="D395" s="138"/>
      <c r="E395" s="139"/>
      <c r="F395" s="139"/>
      <c r="G395" s="140"/>
      <c r="H395" s="109"/>
      <c r="I395" s="109"/>
      <c r="J395" s="107"/>
      <c r="K395" s="107"/>
      <c r="L395" s="107"/>
      <c r="M395" s="107"/>
      <c r="N395" s="107"/>
      <c r="O395" s="107"/>
      <c r="P395" s="107"/>
      <c r="Q395" s="107"/>
      <c r="R395" s="134"/>
      <c r="S395" s="137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</row>
    <row r="396" ht="12.75" customHeight="1">
      <c r="A396" s="79"/>
      <c r="B396" s="132"/>
      <c r="C396" s="133"/>
      <c r="D396" s="133"/>
      <c r="E396" s="134"/>
      <c r="F396" s="134"/>
      <c r="G396" s="141"/>
      <c r="H396" s="142"/>
      <c r="I396" s="143"/>
      <c r="J396" s="107"/>
      <c r="K396" s="107"/>
      <c r="L396" s="107"/>
      <c r="M396" s="107"/>
      <c r="N396" s="107"/>
      <c r="O396" s="107"/>
      <c r="P396" s="136"/>
      <c r="Q396" s="107"/>
      <c r="R396" s="137"/>
      <c r="S396" s="137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</row>
    <row r="397" ht="12.75" customHeight="1">
      <c r="A397" s="79"/>
      <c r="B397" s="132"/>
      <c r="C397" s="133"/>
      <c r="D397" s="133"/>
      <c r="E397" s="134"/>
      <c r="F397" s="134"/>
      <c r="G397" s="108"/>
      <c r="H397" s="135"/>
      <c r="I397" s="135"/>
      <c r="J397" s="107"/>
      <c r="K397" s="107"/>
      <c r="L397" s="107"/>
      <c r="M397" s="107"/>
      <c r="N397" s="107"/>
      <c r="O397" s="107"/>
      <c r="P397" s="136"/>
      <c r="Q397" s="107"/>
      <c r="R397" s="112"/>
      <c r="S397" s="137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</row>
    <row r="398" ht="12.75" customHeight="1">
      <c r="A398" s="79"/>
      <c r="B398" s="132"/>
      <c r="C398" s="133"/>
      <c r="D398" s="133"/>
      <c r="E398" s="134"/>
      <c r="F398" s="134"/>
      <c r="G398" s="108"/>
      <c r="H398" s="144"/>
      <c r="I398" s="144"/>
      <c r="J398" s="107"/>
      <c r="K398" s="107"/>
      <c r="L398" s="107"/>
      <c r="M398" s="107"/>
      <c r="N398" s="107"/>
      <c r="O398" s="107"/>
      <c r="P398" s="107"/>
      <c r="Q398" s="107"/>
      <c r="R398" s="112"/>
      <c r="S398" s="137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</row>
    <row r="399" ht="12.75" customHeight="1">
      <c r="A399" s="79"/>
      <c r="B399" s="132"/>
      <c r="C399" s="133"/>
      <c r="D399" s="133"/>
      <c r="E399" s="134"/>
      <c r="F399" s="134"/>
      <c r="G399" s="141"/>
      <c r="H399" s="145"/>
      <c r="I399" s="145"/>
      <c r="J399" s="110"/>
      <c r="K399" s="146"/>
      <c r="L399" s="146"/>
      <c r="M399" s="110"/>
      <c r="N399" s="107"/>
      <c r="O399" s="107"/>
      <c r="P399" s="136"/>
      <c r="Q399" s="107"/>
      <c r="R399" s="147"/>
      <c r="S399" s="137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</row>
    <row r="400" ht="12.75" customHeight="1">
      <c r="A400" s="79"/>
      <c r="B400" s="132"/>
      <c r="C400" s="133"/>
      <c r="D400" s="133"/>
      <c r="E400" s="134"/>
      <c r="F400" s="134"/>
      <c r="G400" s="108"/>
      <c r="H400" s="135"/>
      <c r="I400" s="135"/>
      <c r="J400" s="107"/>
      <c r="K400" s="107"/>
      <c r="L400" s="107"/>
      <c r="M400" s="107"/>
      <c r="N400" s="107"/>
      <c r="O400" s="107"/>
      <c r="P400" s="136"/>
      <c r="Q400" s="107"/>
      <c r="R400" s="112"/>
      <c r="S400" s="137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</row>
    <row r="401" ht="12.75" customHeight="1">
      <c r="A401" s="79"/>
      <c r="B401" s="132"/>
      <c r="C401" s="133"/>
      <c r="D401" s="133"/>
      <c r="E401" s="134"/>
      <c r="F401" s="134"/>
      <c r="G401" s="141"/>
      <c r="H401" s="145"/>
      <c r="I401" s="145"/>
      <c r="J401" s="110"/>
      <c r="K401" s="146"/>
      <c r="L401" s="146"/>
      <c r="M401" s="110"/>
      <c r="N401" s="107"/>
      <c r="O401" s="107"/>
      <c r="P401" s="136"/>
      <c r="Q401" s="107"/>
      <c r="R401" s="147"/>
      <c r="S401" s="137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</row>
    <row r="402" ht="12.75" customHeight="1">
      <c r="A402" s="79"/>
      <c r="B402" s="132"/>
      <c r="C402" s="133"/>
      <c r="D402" s="133"/>
      <c r="E402" s="134"/>
      <c r="F402" s="134"/>
      <c r="G402" s="108"/>
      <c r="H402" s="135"/>
      <c r="I402" s="135"/>
      <c r="J402" s="107"/>
      <c r="K402" s="107"/>
      <c r="L402" s="107"/>
      <c r="M402" s="107"/>
      <c r="N402" s="107"/>
      <c r="O402" s="107"/>
      <c r="P402" s="136"/>
      <c r="Q402" s="107"/>
      <c r="R402" s="112"/>
      <c r="S402" s="137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</row>
    <row r="403" ht="12.75" customHeight="1">
      <c r="A403" s="79"/>
      <c r="B403" s="132"/>
      <c r="C403" s="138"/>
      <c r="D403" s="138"/>
      <c r="E403" s="139"/>
      <c r="F403" s="139"/>
      <c r="G403" s="140"/>
      <c r="H403" s="109"/>
      <c r="I403" s="109"/>
      <c r="J403" s="107"/>
      <c r="K403" s="107"/>
      <c r="L403" s="107"/>
      <c r="M403" s="107"/>
      <c r="N403" s="107"/>
      <c r="O403" s="107"/>
      <c r="P403" s="107"/>
      <c r="Q403" s="107"/>
      <c r="R403" s="134"/>
      <c r="S403" s="137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</row>
    <row r="404" ht="12.75" customHeight="1">
      <c r="A404" s="79"/>
      <c r="B404" s="132"/>
      <c r="C404" s="133"/>
      <c r="D404" s="133"/>
      <c r="E404" s="134"/>
      <c r="F404" s="134"/>
      <c r="G404" s="141"/>
      <c r="H404" s="142"/>
      <c r="I404" s="143"/>
      <c r="J404" s="107"/>
      <c r="K404" s="107"/>
      <c r="L404" s="107"/>
      <c r="M404" s="107"/>
      <c r="N404" s="107"/>
      <c r="O404" s="107"/>
      <c r="P404" s="136"/>
      <c r="Q404" s="107"/>
      <c r="R404" s="137"/>
      <c r="S404" s="137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</row>
    <row r="405" ht="12.75" customHeight="1">
      <c r="A405" s="79"/>
      <c r="B405" s="132"/>
      <c r="C405" s="133"/>
      <c r="D405" s="133"/>
      <c r="E405" s="134"/>
      <c r="F405" s="134"/>
      <c r="G405" s="108"/>
      <c r="H405" s="135"/>
      <c r="I405" s="135"/>
      <c r="J405" s="107"/>
      <c r="K405" s="107"/>
      <c r="L405" s="107"/>
      <c r="M405" s="107"/>
      <c r="N405" s="107"/>
      <c r="O405" s="107"/>
      <c r="P405" s="136"/>
      <c r="Q405" s="107"/>
      <c r="R405" s="112"/>
      <c r="S405" s="137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</row>
    <row r="406" ht="12.75" customHeight="1">
      <c r="A406" s="79"/>
      <c r="B406" s="132"/>
      <c r="C406" s="133"/>
      <c r="D406" s="133"/>
      <c r="E406" s="134"/>
      <c r="F406" s="134"/>
      <c r="G406" s="108"/>
      <c r="H406" s="144"/>
      <c r="I406" s="144"/>
      <c r="J406" s="107"/>
      <c r="K406" s="107"/>
      <c r="L406" s="107"/>
      <c r="M406" s="107"/>
      <c r="N406" s="107"/>
      <c r="O406" s="107"/>
      <c r="P406" s="107"/>
      <c r="Q406" s="107"/>
      <c r="R406" s="112"/>
      <c r="S406" s="137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</row>
    <row r="407" ht="12.75" customHeight="1">
      <c r="A407" s="79"/>
      <c r="B407" s="132"/>
      <c r="C407" s="133"/>
      <c r="D407" s="133"/>
      <c r="E407" s="134"/>
      <c r="F407" s="134"/>
      <c r="G407" s="141"/>
      <c r="H407" s="145"/>
      <c r="I407" s="145"/>
      <c r="J407" s="110"/>
      <c r="K407" s="146"/>
      <c r="L407" s="146"/>
      <c r="M407" s="110"/>
      <c r="N407" s="107"/>
      <c r="O407" s="107"/>
      <c r="P407" s="136"/>
      <c r="Q407" s="107"/>
      <c r="R407" s="147"/>
      <c r="S407" s="137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</row>
    <row r="408" ht="12.75" customHeight="1">
      <c r="A408" s="79"/>
      <c r="B408" s="132"/>
      <c r="C408" s="133"/>
      <c r="D408" s="133"/>
      <c r="E408" s="134"/>
      <c r="F408" s="134"/>
      <c r="G408" s="108"/>
      <c r="H408" s="135"/>
      <c r="I408" s="135"/>
      <c r="J408" s="107"/>
      <c r="K408" s="107"/>
      <c r="L408" s="107"/>
      <c r="M408" s="107"/>
      <c r="N408" s="107"/>
      <c r="O408" s="107"/>
      <c r="P408" s="136"/>
      <c r="Q408" s="107"/>
      <c r="R408" s="112"/>
      <c r="S408" s="137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</row>
    <row r="409" ht="12.75" customHeight="1">
      <c r="A409" s="79"/>
      <c r="B409" s="132"/>
      <c r="C409" s="138"/>
      <c r="D409" s="138"/>
      <c r="E409" s="139"/>
      <c r="F409" s="139"/>
      <c r="G409" s="140"/>
      <c r="H409" s="109"/>
      <c r="I409" s="109"/>
      <c r="J409" s="107"/>
      <c r="K409" s="107"/>
      <c r="L409" s="107"/>
      <c r="M409" s="107"/>
      <c r="N409" s="107"/>
      <c r="O409" s="107"/>
      <c r="P409" s="107"/>
      <c r="Q409" s="107"/>
      <c r="R409" s="134"/>
      <c r="S409" s="137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</row>
    <row r="410" ht="12.75" customHeight="1">
      <c r="A410" s="79"/>
      <c r="B410" s="132"/>
      <c r="C410" s="133"/>
      <c r="D410" s="133"/>
      <c r="E410" s="134"/>
      <c r="F410" s="134"/>
      <c r="G410" s="141"/>
      <c r="H410" s="142"/>
      <c r="I410" s="143"/>
      <c r="J410" s="107"/>
      <c r="K410" s="107"/>
      <c r="L410" s="107"/>
      <c r="M410" s="107"/>
      <c r="N410" s="107"/>
      <c r="O410" s="107"/>
      <c r="P410" s="136"/>
      <c r="Q410" s="107"/>
      <c r="R410" s="137"/>
      <c r="S410" s="137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</row>
    <row r="411" ht="12.75" customHeight="1">
      <c r="A411" s="79"/>
      <c r="B411" s="132"/>
      <c r="C411" s="133"/>
      <c r="D411" s="133"/>
      <c r="E411" s="134"/>
      <c r="F411" s="134"/>
      <c r="G411" s="108"/>
      <c r="H411" s="135"/>
      <c r="I411" s="135"/>
      <c r="J411" s="107"/>
      <c r="K411" s="107"/>
      <c r="L411" s="107"/>
      <c r="M411" s="107"/>
      <c r="N411" s="107"/>
      <c r="O411" s="107"/>
      <c r="P411" s="136"/>
      <c r="Q411" s="107"/>
      <c r="R411" s="112"/>
      <c r="S411" s="137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</row>
    <row r="412" ht="9.75" customHeight="1">
      <c r="A412" s="79"/>
      <c r="B412" s="132"/>
      <c r="C412" s="133"/>
      <c r="D412" s="133"/>
      <c r="E412" s="134"/>
      <c r="F412" s="134"/>
      <c r="G412" s="108"/>
      <c r="H412" s="144"/>
      <c r="I412" s="144"/>
      <c r="J412" s="107"/>
      <c r="K412" s="107"/>
      <c r="L412" s="107"/>
      <c r="M412" s="107"/>
      <c r="N412" s="107"/>
      <c r="O412" s="107"/>
      <c r="P412" s="107"/>
      <c r="Q412" s="107"/>
      <c r="R412" s="112"/>
      <c r="S412" s="137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</row>
    <row r="413" ht="12.75" customHeight="1">
      <c r="A413" s="79"/>
      <c r="B413" s="132"/>
      <c r="C413" s="133"/>
      <c r="D413" s="133"/>
      <c r="E413" s="134"/>
      <c r="F413" s="134"/>
      <c r="G413" s="141"/>
      <c r="H413" s="145"/>
      <c r="I413" s="145"/>
      <c r="J413" s="110"/>
      <c r="K413" s="146"/>
      <c r="L413" s="146"/>
      <c r="M413" s="110"/>
      <c r="N413" s="107"/>
      <c r="O413" s="107"/>
      <c r="P413" s="136"/>
      <c r="Q413" s="107"/>
      <c r="R413" s="147"/>
      <c r="S413" s="137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</row>
    <row r="414" ht="12.75" customHeight="1">
      <c r="A414" s="79"/>
      <c r="B414" s="132"/>
      <c r="C414" s="133"/>
      <c r="D414" s="133"/>
      <c r="E414" s="134"/>
      <c r="F414" s="134"/>
      <c r="G414" s="108"/>
      <c r="H414" s="135"/>
      <c r="I414" s="135"/>
      <c r="J414" s="107"/>
      <c r="K414" s="107"/>
      <c r="L414" s="107"/>
      <c r="M414" s="107"/>
      <c r="N414" s="107"/>
      <c r="O414" s="107"/>
      <c r="P414" s="136"/>
      <c r="Q414" s="107"/>
      <c r="R414" s="112"/>
      <c r="S414" s="137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</row>
    <row r="415" ht="12.75" customHeight="1">
      <c r="A415" s="79"/>
      <c r="B415" s="132"/>
      <c r="C415" s="133"/>
      <c r="D415" s="133"/>
      <c r="E415" s="134"/>
      <c r="F415" s="134"/>
      <c r="G415" s="141"/>
      <c r="H415" s="145"/>
      <c r="I415" s="145"/>
      <c r="J415" s="110"/>
      <c r="K415" s="146"/>
      <c r="L415" s="146"/>
      <c r="M415" s="110"/>
      <c r="N415" s="107"/>
      <c r="O415" s="107"/>
      <c r="P415" s="136"/>
      <c r="Q415" s="107"/>
      <c r="R415" s="147"/>
      <c r="S415" s="137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</row>
    <row r="416" ht="12.75" customHeight="1">
      <c r="A416" s="79"/>
      <c r="B416" s="132"/>
      <c r="C416" s="133"/>
      <c r="D416" s="133"/>
      <c r="E416" s="134"/>
      <c r="F416" s="134"/>
      <c r="G416" s="108"/>
      <c r="H416" s="135"/>
      <c r="I416" s="135"/>
      <c r="J416" s="107"/>
      <c r="K416" s="107"/>
      <c r="L416" s="107"/>
      <c r="M416" s="107"/>
      <c r="N416" s="107"/>
      <c r="O416" s="107"/>
      <c r="P416" s="136"/>
      <c r="Q416" s="107"/>
      <c r="R416" s="112"/>
      <c r="S416" s="137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</row>
    <row r="417" ht="12.75" customHeight="1">
      <c r="A417" s="79"/>
      <c r="B417" s="132"/>
      <c r="C417" s="138"/>
      <c r="D417" s="138"/>
      <c r="E417" s="139"/>
      <c r="F417" s="139"/>
      <c r="G417" s="140"/>
      <c r="H417" s="109"/>
      <c r="I417" s="109"/>
      <c r="J417" s="107"/>
      <c r="K417" s="107"/>
      <c r="L417" s="107"/>
      <c r="M417" s="107"/>
      <c r="N417" s="107"/>
      <c r="O417" s="107"/>
      <c r="P417" s="107"/>
      <c r="Q417" s="107"/>
      <c r="R417" s="134"/>
      <c r="S417" s="137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</row>
    <row r="418" ht="12.75" customHeight="1">
      <c r="A418" s="79"/>
      <c r="B418" s="132"/>
      <c r="C418" s="133"/>
      <c r="D418" s="133"/>
      <c r="E418" s="134"/>
      <c r="F418" s="134"/>
      <c r="G418" s="141"/>
      <c r="H418" s="142"/>
      <c r="I418" s="143"/>
      <c r="J418" s="107"/>
      <c r="K418" s="107"/>
      <c r="L418" s="107"/>
      <c r="M418" s="107"/>
      <c r="N418" s="107"/>
      <c r="O418" s="107"/>
      <c r="P418" s="136"/>
      <c r="Q418" s="107"/>
      <c r="R418" s="137"/>
      <c r="S418" s="137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</row>
    <row r="419" ht="12.75" customHeight="1">
      <c r="A419" s="79"/>
      <c r="B419" s="132"/>
      <c r="C419" s="133"/>
      <c r="D419" s="133"/>
      <c r="E419" s="134"/>
      <c r="F419" s="134"/>
      <c r="G419" s="108"/>
      <c r="H419" s="135"/>
      <c r="I419" s="135"/>
      <c r="J419" s="107"/>
      <c r="K419" s="107"/>
      <c r="L419" s="107"/>
      <c r="M419" s="107"/>
      <c r="N419" s="107"/>
      <c r="O419" s="107"/>
      <c r="P419" s="136"/>
      <c r="Q419" s="107"/>
      <c r="R419" s="112"/>
      <c r="S419" s="137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</row>
    <row r="420" ht="9.75" customHeight="1">
      <c r="A420" s="44"/>
      <c r="B420" s="80"/>
      <c r="C420" s="81"/>
      <c r="D420" s="81"/>
      <c r="E420" s="82"/>
      <c r="F420" s="82"/>
      <c r="G420" s="94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150"/>
      <c r="S420" s="82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</row>
    <row r="421" ht="9.75" customHeight="1">
      <c r="A421" s="44"/>
      <c r="B421" s="80"/>
      <c r="C421" s="81"/>
      <c r="D421" s="81"/>
      <c r="E421" s="82"/>
      <c r="F421" s="82"/>
      <c r="G421" s="94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150"/>
      <c r="S421" s="82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</row>
    <row r="422" ht="9.75" customHeight="1">
      <c r="A422" s="44"/>
      <c r="B422" s="80"/>
      <c r="C422" s="81"/>
      <c r="D422" s="81"/>
      <c r="E422" s="82"/>
      <c r="F422" s="82"/>
      <c r="G422" s="94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150"/>
      <c r="S422" s="82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</row>
    <row r="423" ht="9.75" customHeight="1">
      <c r="A423" s="44"/>
      <c r="B423" s="80"/>
      <c r="C423" s="81"/>
      <c r="D423" s="81"/>
      <c r="E423" s="82"/>
      <c r="F423" s="82"/>
      <c r="G423" s="94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150"/>
      <c r="S423" s="82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</row>
    <row r="424" ht="9.75" customHeight="1">
      <c r="A424" s="44"/>
      <c r="B424" s="80"/>
      <c r="C424" s="81"/>
      <c r="D424" s="81"/>
      <c r="E424" s="82"/>
      <c r="F424" s="82"/>
      <c r="G424" s="94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150"/>
      <c r="S424" s="82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</row>
    <row r="425" ht="9.75" customHeight="1">
      <c r="A425" s="44"/>
      <c r="B425" s="80"/>
      <c r="C425" s="81"/>
      <c r="D425" s="81"/>
      <c r="E425" s="82"/>
      <c r="F425" s="82"/>
      <c r="G425" s="94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150"/>
      <c r="S425" s="82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</row>
    <row r="426" ht="9.75" customHeight="1">
      <c r="A426" s="44"/>
      <c r="B426" s="80"/>
      <c r="C426" s="81"/>
      <c r="D426" s="81"/>
      <c r="E426" s="82"/>
      <c r="F426" s="82"/>
      <c r="G426" s="94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150"/>
      <c r="S426" s="82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</row>
    <row r="427" ht="9.75" customHeight="1">
      <c r="A427" s="44"/>
      <c r="B427" s="80"/>
      <c r="C427" s="81"/>
      <c r="D427" s="81"/>
      <c r="E427" s="82"/>
      <c r="F427" s="82"/>
      <c r="G427" s="94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150"/>
      <c r="S427" s="82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</row>
    <row r="428" ht="9.75" customHeight="1">
      <c r="A428" s="44"/>
      <c r="B428" s="80"/>
      <c r="C428" s="81"/>
      <c r="D428" s="81"/>
      <c r="E428" s="82"/>
      <c r="F428" s="82"/>
      <c r="G428" s="94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150"/>
      <c r="S428" s="82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</row>
    <row r="429" ht="9.75" customHeight="1">
      <c r="A429" s="44"/>
      <c r="B429" s="80"/>
      <c r="C429" s="81"/>
      <c r="D429" s="81"/>
      <c r="E429" s="82"/>
      <c r="F429" s="82"/>
      <c r="G429" s="94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150"/>
      <c r="S429" s="82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</row>
    <row r="430" ht="9.75" customHeight="1">
      <c r="A430" s="44"/>
      <c r="B430" s="80"/>
      <c r="C430" s="81"/>
      <c r="D430" s="81"/>
      <c r="E430" s="82"/>
      <c r="F430" s="82"/>
      <c r="G430" s="94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150"/>
      <c r="S430" s="82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</row>
    <row r="431" ht="9.75" customHeight="1">
      <c r="A431" s="44"/>
      <c r="B431" s="80"/>
      <c r="C431" s="81"/>
      <c r="D431" s="81"/>
      <c r="E431" s="82"/>
      <c r="F431" s="82"/>
      <c r="G431" s="94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150"/>
      <c r="S431" s="82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</row>
    <row r="432" ht="9.75" customHeight="1">
      <c r="A432" s="44"/>
      <c r="B432" s="80"/>
      <c r="C432" s="81"/>
      <c r="D432" s="81"/>
      <c r="E432" s="82"/>
      <c r="F432" s="82"/>
      <c r="G432" s="94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150"/>
      <c r="S432" s="82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</row>
    <row r="433" ht="9.75" customHeight="1">
      <c r="A433" s="44"/>
      <c r="B433" s="80"/>
      <c r="C433" s="81"/>
      <c r="D433" s="81"/>
      <c r="E433" s="82"/>
      <c r="F433" s="82"/>
      <c r="G433" s="94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150"/>
      <c r="S433" s="82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</row>
    <row r="434" ht="9.75" customHeight="1">
      <c r="A434" s="44"/>
      <c r="B434" s="80"/>
      <c r="C434" s="81"/>
      <c r="D434" s="81"/>
      <c r="E434" s="82"/>
      <c r="F434" s="82"/>
      <c r="G434" s="94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150"/>
      <c r="S434" s="82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</row>
    <row r="435" ht="9.75" customHeight="1">
      <c r="A435" s="44"/>
      <c r="B435" s="80"/>
      <c r="C435" s="81"/>
      <c r="D435" s="81"/>
      <c r="E435" s="82"/>
      <c r="F435" s="82"/>
      <c r="G435" s="94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150"/>
      <c r="S435" s="82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</row>
    <row r="436" ht="9.75" customHeight="1">
      <c r="A436" s="44"/>
      <c r="B436" s="80"/>
      <c r="C436" s="81"/>
      <c r="D436" s="81"/>
      <c r="E436" s="82"/>
      <c r="F436" s="82"/>
      <c r="G436" s="94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150"/>
      <c r="S436" s="82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</row>
    <row r="437" ht="9.75" customHeight="1">
      <c r="A437" s="44"/>
      <c r="B437" s="80"/>
      <c r="C437" s="81"/>
      <c r="D437" s="81"/>
      <c r="E437" s="82"/>
      <c r="F437" s="82"/>
      <c r="G437" s="94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150"/>
      <c r="S437" s="82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</row>
    <row r="438" ht="9.75" customHeight="1">
      <c r="A438" s="44"/>
      <c r="B438" s="80"/>
      <c r="C438" s="81"/>
      <c r="D438" s="81"/>
      <c r="E438" s="82"/>
      <c r="F438" s="82"/>
      <c r="G438" s="94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150"/>
      <c r="S438" s="82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</row>
    <row r="439" ht="9.75" customHeight="1">
      <c r="A439" s="44"/>
      <c r="B439" s="80"/>
      <c r="C439" s="81"/>
      <c r="D439" s="81"/>
      <c r="E439" s="82"/>
      <c r="F439" s="82"/>
      <c r="G439" s="94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150"/>
      <c r="S439" s="82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</row>
    <row r="440" ht="9.75" customHeight="1">
      <c r="A440" s="44"/>
      <c r="B440" s="80"/>
      <c r="C440" s="81"/>
      <c r="D440" s="81"/>
      <c r="E440" s="82"/>
      <c r="F440" s="82"/>
      <c r="G440" s="94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150"/>
      <c r="S440" s="82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</row>
    <row r="441" ht="9.75" customHeight="1">
      <c r="A441" s="44"/>
      <c r="B441" s="80"/>
      <c r="C441" s="81"/>
      <c r="D441" s="81"/>
      <c r="E441" s="82"/>
      <c r="F441" s="82"/>
      <c r="G441" s="94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150"/>
      <c r="S441" s="82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</row>
    <row r="442" ht="9.75" customHeight="1">
      <c r="A442" s="44"/>
      <c r="B442" s="80"/>
      <c r="C442" s="81"/>
      <c r="D442" s="81"/>
      <c r="E442" s="82"/>
      <c r="F442" s="82"/>
      <c r="G442" s="94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150"/>
      <c r="S442" s="82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</row>
    <row r="443" ht="9.75" customHeight="1">
      <c r="A443" s="44"/>
      <c r="B443" s="80"/>
      <c r="C443" s="81"/>
      <c r="D443" s="81"/>
      <c r="E443" s="82"/>
      <c r="F443" s="82"/>
      <c r="G443" s="94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150"/>
      <c r="S443" s="82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</row>
    <row r="444" ht="9.75" customHeight="1">
      <c r="A444" s="44"/>
      <c r="B444" s="80"/>
      <c r="C444" s="81"/>
      <c r="D444" s="81"/>
      <c r="E444" s="82"/>
      <c r="F444" s="82"/>
      <c r="G444" s="94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150"/>
      <c r="S444" s="82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</row>
    <row r="445" ht="9.75" customHeight="1">
      <c r="A445" s="44"/>
      <c r="B445" s="80"/>
      <c r="C445" s="81"/>
      <c r="D445" s="81"/>
      <c r="E445" s="82"/>
      <c r="F445" s="82"/>
      <c r="G445" s="94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150"/>
      <c r="S445" s="82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</row>
    <row r="446" ht="9.75" customHeight="1">
      <c r="A446" s="44"/>
      <c r="B446" s="80"/>
      <c r="C446" s="81"/>
      <c r="D446" s="81"/>
      <c r="E446" s="82"/>
      <c r="F446" s="82"/>
      <c r="G446" s="94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150"/>
      <c r="S446" s="82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</row>
    <row r="447" ht="9.75" customHeight="1">
      <c r="A447" s="44"/>
      <c r="B447" s="80"/>
      <c r="C447" s="81"/>
      <c r="D447" s="81"/>
      <c r="E447" s="82"/>
      <c r="F447" s="82"/>
      <c r="G447" s="94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150"/>
      <c r="S447" s="82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</row>
    <row r="448" ht="9.75" customHeight="1">
      <c r="A448" s="44"/>
      <c r="B448" s="80"/>
      <c r="C448" s="81"/>
      <c r="D448" s="81"/>
      <c r="E448" s="82"/>
      <c r="F448" s="82"/>
      <c r="G448" s="94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150"/>
      <c r="S448" s="82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</row>
    <row r="449" ht="9.75" customHeight="1">
      <c r="A449" s="44"/>
      <c r="B449" s="80"/>
      <c r="C449" s="81"/>
      <c r="D449" s="81"/>
      <c r="E449" s="82"/>
      <c r="F449" s="82"/>
      <c r="G449" s="94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150"/>
      <c r="S449" s="82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</row>
    <row r="450" ht="9.75" customHeight="1">
      <c r="A450" s="44"/>
      <c r="B450" s="80"/>
      <c r="C450" s="81"/>
      <c r="D450" s="81"/>
      <c r="E450" s="82"/>
      <c r="F450" s="82"/>
      <c r="G450" s="94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150"/>
      <c r="S450" s="82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</row>
    <row r="451" ht="9.75" customHeight="1">
      <c r="A451" s="44"/>
      <c r="B451" s="80"/>
      <c r="C451" s="81"/>
      <c r="D451" s="81"/>
      <c r="E451" s="82"/>
      <c r="F451" s="82"/>
      <c r="G451" s="94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150"/>
      <c r="S451" s="82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</row>
    <row r="452" ht="9.75" customHeight="1">
      <c r="A452" s="44"/>
      <c r="B452" s="80"/>
      <c r="C452" s="81"/>
      <c r="D452" s="81"/>
      <c r="E452" s="82"/>
      <c r="F452" s="82"/>
      <c r="G452" s="94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150"/>
      <c r="S452" s="82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</row>
    <row r="453" ht="9.75" customHeight="1">
      <c r="A453" s="44"/>
      <c r="B453" s="80"/>
      <c r="C453" s="81"/>
      <c r="D453" s="81"/>
      <c r="E453" s="82"/>
      <c r="F453" s="82"/>
      <c r="G453" s="94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150"/>
      <c r="S453" s="82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</row>
    <row r="454" ht="9.75" customHeight="1">
      <c r="A454" s="44"/>
      <c r="B454" s="80"/>
      <c r="C454" s="81"/>
      <c r="D454" s="81"/>
      <c r="E454" s="82"/>
      <c r="F454" s="82"/>
      <c r="G454" s="94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150"/>
      <c r="S454" s="82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</row>
    <row r="455" ht="9.75" customHeight="1">
      <c r="A455" s="44"/>
      <c r="B455" s="80"/>
      <c r="C455" s="81"/>
      <c r="D455" s="81"/>
      <c r="E455" s="82"/>
      <c r="F455" s="82"/>
      <c r="G455" s="94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150"/>
      <c r="S455" s="82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</row>
    <row r="456" ht="9.75" customHeight="1">
      <c r="A456" s="44"/>
      <c r="B456" s="80"/>
      <c r="C456" s="81"/>
      <c r="D456" s="81"/>
      <c r="E456" s="82"/>
      <c r="F456" s="82"/>
      <c r="G456" s="94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150"/>
      <c r="S456" s="82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</row>
    <row r="457" ht="9.75" customHeight="1">
      <c r="A457" s="44"/>
      <c r="B457" s="80"/>
      <c r="C457" s="81"/>
      <c r="D457" s="81"/>
      <c r="E457" s="82"/>
      <c r="F457" s="82"/>
      <c r="G457" s="94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150"/>
      <c r="S457" s="82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</row>
    <row r="458" ht="9.75" customHeight="1">
      <c r="A458" s="44"/>
      <c r="B458" s="80"/>
      <c r="C458" s="81"/>
      <c r="D458" s="81"/>
      <c r="E458" s="82"/>
      <c r="F458" s="82"/>
      <c r="G458" s="94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150"/>
      <c r="S458" s="82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</row>
    <row r="459" ht="9.75" customHeight="1">
      <c r="A459" s="44"/>
      <c r="B459" s="80"/>
      <c r="C459" s="81"/>
      <c r="D459" s="81"/>
      <c r="E459" s="82"/>
      <c r="F459" s="82"/>
      <c r="G459" s="94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150"/>
      <c r="S459" s="82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</row>
    <row r="460" ht="9.75" customHeight="1">
      <c r="A460" s="44"/>
      <c r="B460" s="80"/>
      <c r="C460" s="81"/>
      <c r="D460" s="81"/>
      <c r="E460" s="82"/>
      <c r="F460" s="82"/>
      <c r="G460" s="94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150"/>
      <c r="S460" s="82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</row>
    <row r="461" ht="9.75" customHeight="1">
      <c r="A461" s="44"/>
      <c r="B461" s="80"/>
      <c r="C461" s="81"/>
      <c r="D461" s="81"/>
      <c r="E461" s="82"/>
      <c r="F461" s="82"/>
      <c r="G461" s="94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150"/>
      <c r="S461" s="82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</row>
    <row r="462" ht="9.75" customHeight="1">
      <c r="A462" s="44"/>
      <c r="B462" s="80"/>
      <c r="C462" s="81"/>
      <c r="D462" s="81"/>
      <c r="E462" s="82"/>
      <c r="F462" s="82"/>
      <c r="G462" s="94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150"/>
      <c r="S462" s="82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</row>
    <row r="463" ht="9.75" customHeight="1">
      <c r="A463" s="44"/>
      <c r="B463" s="80"/>
      <c r="C463" s="81"/>
      <c r="D463" s="81"/>
      <c r="E463" s="82"/>
      <c r="F463" s="82"/>
      <c r="G463" s="94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150"/>
      <c r="S463" s="82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</row>
    <row r="464" ht="9.75" customHeight="1">
      <c r="A464" s="44"/>
      <c r="B464" s="80"/>
      <c r="C464" s="81"/>
      <c r="D464" s="81"/>
      <c r="E464" s="82"/>
      <c r="F464" s="82"/>
      <c r="G464" s="94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150"/>
      <c r="S464" s="82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</row>
    <row r="465" ht="9.75" customHeight="1">
      <c r="A465" s="44"/>
      <c r="B465" s="80"/>
      <c r="C465" s="81"/>
      <c r="D465" s="81"/>
      <c r="E465" s="82"/>
      <c r="F465" s="82"/>
      <c r="G465" s="94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150"/>
      <c r="S465" s="82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</row>
    <row r="466" ht="9.75" customHeight="1">
      <c r="A466" s="44"/>
      <c r="B466" s="151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</row>
    <row r="467" ht="9.75" customHeight="1">
      <c r="A467" s="95"/>
      <c r="B467" s="152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</row>
    <row r="468" ht="9.75" customHeight="1">
      <c r="A468" s="95"/>
      <c r="B468" s="152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</row>
    <row r="469" ht="9.75" customHeight="1">
      <c r="A469" s="44"/>
      <c r="B469" s="80"/>
      <c r="C469" s="81"/>
      <c r="D469" s="81"/>
      <c r="E469" s="82"/>
      <c r="F469" s="82"/>
      <c r="G469" s="94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150"/>
      <c r="S469" s="82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</row>
    <row r="470" ht="9.75" customHeight="1">
      <c r="A470" s="44"/>
      <c r="B470" s="80"/>
      <c r="C470" s="81"/>
      <c r="D470" s="81"/>
      <c r="E470" s="82"/>
      <c r="F470" s="82"/>
      <c r="G470" s="94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150"/>
      <c r="S470" s="82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</row>
    <row r="471" ht="9.75" customHeight="1">
      <c r="A471" s="44"/>
      <c r="B471" s="80"/>
      <c r="C471" s="81"/>
      <c r="D471" s="81"/>
      <c r="E471" s="82"/>
      <c r="F471" s="82"/>
      <c r="G471" s="94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150"/>
      <c r="S471" s="82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</row>
    <row r="472" ht="9.75" customHeight="1">
      <c r="A472" s="44"/>
      <c r="B472" s="80"/>
      <c r="C472" s="81"/>
      <c r="D472" s="81"/>
      <c r="E472" s="82"/>
      <c r="F472" s="82"/>
      <c r="G472" s="94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150"/>
      <c r="S472" s="82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</row>
    <row r="473" ht="9.75" customHeight="1">
      <c r="A473" s="44"/>
      <c r="B473" s="80"/>
      <c r="C473" s="81"/>
      <c r="D473" s="81"/>
      <c r="E473" s="82"/>
      <c r="F473" s="82"/>
      <c r="G473" s="94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150"/>
      <c r="S473" s="82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</row>
    <row r="474" ht="9.75" customHeight="1">
      <c r="A474" s="44"/>
      <c r="B474" s="80"/>
      <c r="C474" s="81"/>
      <c r="D474" s="81"/>
      <c r="E474" s="82"/>
      <c r="F474" s="82"/>
      <c r="G474" s="94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150"/>
      <c r="S474" s="82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</row>
    <row r="475" ht="9.75" customHeight="1">
      <c r="A475" s="118"/>
      <c r="B475" s="153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  <c r="AC475" s="118"/>
      <c r="AD475" s="118"/>
      <c r="AE475" s="118"/>
      <c r="AF475" s="118"/>
      <c r="AG475" s="118"/>
      <c r="AH475" s="118"/>
      <c r="AI475" s="118"/>
      <c r="AJ475" s="118"/>
      <c r="AK475" s="118"/>
    </row>
    <row r="476" ht="9.75" customHeight="1">
      <c r="A476" s="118"/>
      <c r="B476" s="153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  <c r="AC476" s="118"/>
      <c r="AD476" s="118"/>
      <c r="AE476" s="118"/>
      <c r="AF476" s="118"/>
      <c r="AG476" s="118"/>
      <c r="AH476" s="118"/>
      <c r="AI476" s="118"/>
      <c r="AJ476" s="118"/>
      <c r="AK476" s="118"/>
    </row>
    <row r="477" ht="9.75" customHeight="1">
      <c r="A477" s="118"/>
      <c r="B477" s="153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  <c r="AC477" s="118"/>
      <c r="AD477" s="118"/>
      <c r="AE477" s="118"/>
      <c r="AF477" s="118"/>
      <c r="AG477" s="118"/>
      <c r="AH477" s="118"/>
      <c r="AI477" s="118"/>
      <c r="AJ477" s="118"/>
      <c r="AK477" s="118"/>
    </row>
    <row r="478" ht="9.75" customHeight="1">
      <c r="A478" s="118"/>
      <c r="B478" s="153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  <c r="AC478" s="118"/>
      <c r="AD478" s="118"/>
      <c r="AE478" s="118"/>
      <c r="AF478" s="118"/>
      <c r="AG478" s="118"/>
      <c r="AH478" s="118"/>
      <c r="AI478" s="118"/>
      <c r="AJ478" s="118"/>
      <c r="AK478" s="118"/>
    </row>
    <row r="479" ht="9.75" customHeight="1">
      <c r="A479" s="118"/>
      <c r="B479" s="153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  <c r="AC479" s="118"/>
      <c r="AD479" s="118"/>
      <c r="AE479" s="118"/>
      <c r="AF479" s="118"/>
      <c r="AG479" s="118"/>
      <c r="AH479" s="118"/>
      <c r="AI479" s="118"/>
      <c r="AJ479" s="118"/>
      <c r="AK479" s="118"/>
    </row>
    <row r="480" ht="9.75" customHeight="1">
      <c r="A480" s="118"/>
      <c r="B480" s="153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</row>
    <row r="481" ht="9.75" customHeight="1">
      <c r="A481" s="118"/>
      <c r="B481" s="153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  <c r="AC481" s="118"/>
      <c r="AD481" s="118"/>
      <c r="AE481" s="118"/>
      <c r="AF481" s="118"/>
      <c r="AG481" s="118"/>
      <c r="AH481" s="118"/>
      <c r="AI481" s="118"/>
      <c r="AJ481" s="118"/>
      <c r="AK481" s="118"/>
    </row>
    <row r="482" ht="9.75" customHeight="1">
      <c r="A482" s="118"/>
      <c r="B482" s="153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  <c r="AC482" s="118"/>
      <c r="AD482" s="118"/>
      <c r="AE482" s="118"/>
      <c r="AF482" s="118"/>
      <c r="AG482" s="118"/>
      <c r="AH482" s="118"/>
      <c r="AI482" s="118"/>
      <c r="AJ482" s="118"/>
      <c r="AK482" s="118"/>
    </row>
    <row r="483" ht="9.75" customHeight="1">
      <c r="A483" s="118"/>
      <c r="B483" s="153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  <c r="AC483" s="118"/>
      <c r="AD483" s="118"/>
      <c r="AE483" s="118"/>
      <c r="AF483" s="118"/>
      <c r="AG483" s="118"/>
      <c r="AH483" s="118"/>
      <c r="AI483" s="118"/>
      <c r="AJ483" s="118"/>
      <c r="AK483" s="118"/>
    </row>
    <row r="484" ht="9.75" customHeight="1">
      <c r="A484" s="118"/>
      <c r="B484" s="153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  <c r="AC484" s="118"/>
      <c r="AD484" s="118"/>
      <c r="AE484" s="118"/>
      <c r="AF484" s="118"/>
      <c r="AG484" s="118"/>
      <c r="AH484" s="118"/>
      <c r="AI484" s="118"/>
      <c r="AJ484" s="118"/>
      <c r="AK484" s="118"/>
    </row>
    <row r="485" ht="9.75" customHeight="1">
      <c r="A485" s="118"/>
      <c r="B485" s="153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  <c r="AC485" s="118"/>
      <c r="AD485" s="118"/>
      <c r="AE485" s="118"/>
      <c r="AF485" s="118"/>
      <c r="AG485" s="118"/>
      <c r="AH485" s="118"/>
      <c r="AI485" s="118"/>
      <c r="AJ485" s="118"/>
      <c r="AK485" s="118"/>
    </row>
    <row r="486" ht="9.75" customHeight="1">
      <c r="A486" s="118"/>
      <c r="B486" s="153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  <c r="AC486" s="118"/>
      <c r="AD486" s="118"/>
      <c r="AE486" s="118"/>
      <c r="AF486" s="118"/>
      <c r="AG486" s="118"/>
      <c r="AH486" s="118"/>
      <c r="AI486" s="118"/>
      <c r="AJ486" s="118"/>
      <c r="AK486" s="118"/>
    </row>
    <row r="487" ht="9.75" customHeight="1">
      <c r="A487" s="118"/>
      <c r="B487" s="153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  <c r="AC487" s="118"/>
      <c r="AD487" s="118"/>
      <c r="AE487" s="118"/>
      <c r="AF487" s="118"/>
      <c r="AG487" s="118"/>
      <c r="AH487" s="118"/>
      <c r="AI487" s="118"/>
      <c r="AJ487" s="118"/>
      <c r="AK487" s="118"/>
    </row>
    <row r="488" ht="9.75" customHeight="1">
      <c r="A488" s="118"/>
      <c r="B488" s="153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  <c r="AC488" s="118"/>
      <c r="AD488" s="118"/>
      <c r="AE488" s="118"/>
      <c r="AF488" s="118"/>
      <c r="AG488" s="118"/>
      <c r="AH488" s="118"/>
      <c r="AI488" s="118"/>
      <c r="AJ488" s="118"/>
      <c r="AK488" s="118"/>
    </row>
    <row r="489" ht="9.75" customHeight="1">
      <c r="A489" s="118"/>
      <c r="B489" s="153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  <c r="AC489" s="118"/>
      <c r="AD489" s="118"/>
      <c r="AE489" s="118"/>
      <c r="AF489" s="118"/>
      <c r="AG489" s="118"/>
      <c r="AH489" s="118"/>
      <c r="AI489" s="118"/>
      <c r="AJ489" s="118"/>
      <c r="AK489" s="118"/>
    </row>
    <row r="490" ht="9.75" customHeight="1">
      <c r="A490" s="118"/>
      <c r="B490" s="153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  <c r="AC490" s="118"/>
      <c r="AD490" s="118"/>
      <c r="AE490" s="118"/>
      <c r="AF490" s="118"/>
      <c r="AG490" s="118"/>
      <c r="AH490" s="118"/>
      <c r="AI490" s="118"/>
      <c r="AJ490" s="118"/>
      <c r="AK490" s="118"/>
    </row>
    <row r="491" ht="9.75" customHeight="1">
      <c r="A491" s="118"/>
      <c r="B491" s="153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  <c r="AC491" s="118"/>
      <c r="AD491" s="118"/>
      <c r="AE491" s="118"/>
      <c r="AF491" s="118"/>
      <c r="AG491" s="118"/>
      <c r="AH491" s="118"/>
      <c r="AI491" s="118"/>
      <c r="AJ491" s="118"/>
      <c r="AK491" s="118"/>
    </row>
    <row r="492" ht="9.75" customHeight="1">
      <c r="A492" s="118"/>
      <c r="B492" s="153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  <c r="AC492" s="118"/>
      <c r="AD492" s="118"/>
      <c r="AE492" s="118"/>
      <c r="AF492" s="118"/>
      <c r="AG492" s="118"/>
      <c r="AH492" s="118"/>
      <c r="AI492" s="118"/>
      <c r="AJ492" s="118"/>
      <c r="AK492" s="118"/>
    </row>
    <row r="493" ht="9.75" customHeight="1">
      <c r="A493" s="118"/>
      <c r="B493" s="153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  <c r="AC493" s="118"/>
      <c r="AD493" s="118"/>
      <c r="AE493" s="118"/>
      <c r="AF493" s="118"/>
      <c r="AG493" s="118"/>
      <c r="AH493" s="118"/>
      <c r="AI493" s="118"/>
      <c r="AJ493" s="118"/>
      <c r="AK493" s="118"/>
    </row>
    <row r="494" ht="9.75" customHeight="1">
      <c r="A494" s="118"/>
      <c r="B494" s="153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  <c r="AC494" s="118"/>
      <c r="AD494" s="118"/>
      <c r="AE494" s="118"/>
      <c r="AF494" s="118"/>
      <c r="AG494" s="118"/>
      <c r="AH494" s="118"/>
      <c r="AI494" s="118"/>
      <c r="AJ494" s="118"/>
      <c r="AK494" s="118"/>
    </row>
    <row r="495" ht="9.75" customHeight="1">
      <c r="A495" s="118"/>
      <c r="B495" s="153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  <c r="AC495" s="118"/>
      <c r="AD495" s="118"/>
      <c r="AE495" s="118"/>
      <c r="AF495" s="118"/>
      <c r="AG495" s="118"/>
      <c r="AH495" s="118"/>
      <c r="AI495" s="118"/>
      <c r="AJ495" s="118"/>
      <c r="AK495" s="118"/>
    </row>
    <row r="496" ht="9.75" customHeight="1">
      <c r="A496" s="118"/>
      <c r="B496" s="153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  <c r="AC496" s="118"/>
      <c r="AD496" s="118"/>
      <c r="AE496" s="118"/>
      <c r="AF496" s="118"/>
      <c r="AG496" s="118"/>
      <c r="AH496" s="118"/>
      <c r="AI496" s="118"/>
      <c r="AJ496" s="118"/>
      <c r="AK496" s="118"/>
    </row>
    <row r="497" ht="9.75" customHeight="1">
      <c r="A497" s="118"/>
      <c r="B497" s="153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  <c r="AC497" s="118"/>
      <c r="AD497" s="118"/>
      <c r="AE497" s="118"/>
      <c r="AF497" s="118"/>
      <c r="AG497" s="118"/>
      <c r="AH497" s="118"/>
      <c r="AI497" s="118"/>
      <c r="AJ497" s="118"/>
      <c r="AK497" s="118"/>
    </row>
    <row r="498" ht="9.75" customHeight="1">
      <c r="A498" s="118"/>
      <c r="B498" s="153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  <c r="AC498" s="118"/>
      <c r="AD498" s="118"/>
      <c r="AE498" s="118"/>
      <c r="AF498" s="118"/>
      <c r="AG498" s="118"/>
      <c r="AH498" s="118"/>
      <c r="AI498" s="118"/>
      <c r="AJ498" s="118"/>
      <c r="AK498" s="118"/>
    </row>
    <row r="499" ht="9.75" customHeight="1">
      <c r="A499" s="118"/>
      <c r="B499" s="153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  <c r="AC499" s="118"/>
      <c r="AD499" s="118"/>
      <c r="AE499" s="118"/>
      <c r="AF499" s="118"/>
      <c r="AG499" s="118"/>
      <c r="AH499" s="118"/>
      <c r="AI499" s="118"/>
      <c r="AJ499" s="118"/>
      <c r="AK499" s="118"/>
    </row>
    <row r="500" ht="9.75" customHeight="1">
      <c r="A500" s="118"/>
      <c r="B500" s="153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  <c r="AC500" s="118"/>
      <c r="AD500" s="118"/>
      <c r="AE500" s="118"/>
      <c r="AF500" s="118"/>
      <c r="AG500" s="118"/>
      <c r="AH500" s="118"/>
      <c r="AI500" s="118"/>
      <c r="AJ500" s="118"/>
      <c r="AK500" s="118"/>
    </row>
    <row r="501" ht="9.75" customHeight="1">
      <c r="A501" s="118"/>
      <c r="B501" s="153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  <c r="AC501" s="118"/>
      <c r="AD501" s="118"/>
      <c r="AE501" s="118"/>
      <c r="AF501" s="118"/>
      <c r="AG501" s="118"/>
      <c r="AH501" s="118"/>
      <c r="AI501" s="118"/>
      <c r="AJ501" s="118"/>
      <c r="AK501" s="118"/>
    </row>
    <row r="502" ht="9.75" customHeight="1">
      <c r="A502" s="118"/>
      <c r="B502" s="153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  <c r="AC502" s="118"/>
      <c r="AD502" s="118"/>
      <c r="AE502" s="118"/>
      <c r="AF502" s="118"/>
      <c r="AG502" s="118"/>
      <c r="AH502" s="118"/>
      <c r="AI502" s="118"/>
      <c r="AJ502" s="118"/>
      <c r="AK502" s="118"/>
    </row>
    <row r="503" ht="9.75" customHeight="1">
      <c r="A503" s="118"/>
      <c r="B503" s="153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  <c r="AC503" s="118"/>
      <c r="AD503" s="118"/>
      <c r="AE503" s="118"/>
      <c r="AF503" s="118"/>
      <c r="AG503" s="118"/>
      <c r="AH503" s="118"/>
      <c r="AI503" s="118"/>
      <c r="AJ503" s="118"/>
      <c r="AK503" s="118"/>
    </row>
    <row r="504" ht="9.75" customHeight="1">
      <c r="A504" s="118"/>
      <c r="B504" s="153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  <c r="AC504" s="118"/>
      <c r="AD504" s="118"/>
      <c r="AE504" s="118"/>
      <c r="AF504" s="118"/>
      <c r="AG504" s="118"/>
      <c r="AH504" s="118"/>
      <c r="AI504" s="118"/>
      <c r="AJ504" s="118"/>
      <c r="AK504" s="118"/>
    </row>
    <row r="505" ht="9.75" customHeight="1">
      <c r="A505" s="118"/>
      <c r="B505" s="153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  <c r="AC505" s="118"/>
      <c r="AD505" s="118"/>
      <c r="AE505" s="118"/>
      <c r="AF505" s="118"/>
      <c r="AG505" s="118"/>
      <c r="AH505" s="118"/>
      <c r="AI505" s="118"/>
      <c r="AJ505" s="118"/>
      <c r="AK505" s="118"/>
    </row>
    <row r="506" ht="9.75" customHeight="1">
      <c r="A506" s="118"/>
      <c r="B506" s="153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  <c r="AC506" s="118"/>
      <c r="AD506" s="118"/>
      <c r="AE506" s="118"/>
      <c r="AF506" s="118"/>
      <c r="AG506" s="118"/>
      <c r="AH506" s="118"/>
      <c r="AI506" s="118"/>
      <c r="AJ506" s="118"/>
      <c r="AK506" s="118"/>
    </row>
    <row r="507" ht="9.75" customHeight="1">
      <c r="A507" s="118"/>
      <c r="B507" s="153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  <c r="AC507" s="118"/>
      <c r="AD507" s="118"/>
      <c r="AE507" s="118"/>
      <c r="AF507" s="118"/>
      <c r="AG507" s="118"/>
      <c r="AH507" s="118"/>
      <c r="AI507" s="118"/>
      <c r="AJ507" s="118"/>
      <c r="AK507" s="118"/>
    </row>
    <row r="508" ht="9.75" customHeight="1">
      <c r="A508" s="118"/>
      <c r="B508" s="153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  <c r="AC508" s="118"/>
      <c r="AD508" s="118"/>
      <c r="AE508" s="118"/>
      <c r="AF508" s="118"/>
      <c r="AG508" s="118"/>
      <c r="AH508" s="118"/>
      <c r="AI508" s="118"/>
      <c r="AJ508" s="118"/>
      <c r="AK508" s="118"/>
    </row>
    <row r="509" ht="9.75" customHeight="1">
      <c r="A509" s="118"/>
      <c r="B509" s="153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  <c r="AC509" s="118"/>
      <c r="AD509" s="118"/>
      <c r="AE509" s="118"/>
      <c r="AF509" s="118"/>
      <c r="AG509" s="118"/>
      <c r="AH509" s="118"/>
      <c r="AI509" s="118"/>
      <c r="AJ509" s="118"/>
      <c r="AK509" s="118"/>
    </row>
    <row r="510" ht="9.75" customHeight="1">
      <c r="A510" s="118"/>
      <c r="B510" s="153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  <c r="AC510" s="118"/>
      <c r="AD510" s="118"/>
      <c r="AE510" s="118"/>
      <c r="AF510" s="118"/>
      <c r="AG510" s="118"/>
      <c r="AH510" s="118"/>
      <c r="AI510" s="118"/>
      <c r="AJ510" s="118"/>
      <c r="AK510" s="118"/>
    </row>
    <row r="511" ht="9.75" customHeight="1">
      <c r="A511" s="118"/>
      <c r="B511" s="153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  <c r="AC511" s="118"/>
      <c r="AD511" s="118"/>
      <c r="AE511" s="118"/>
      <c r="AF511" s="118"/>
      <c r="AG511" s="118"/>
      <c r="AH511" s="118"/>
      <c r="AI511" s="118"/>
      <c r="AJ511" s="118"/>
      <c r="AK511" s="118"/>
    </row>
    <row r="512" ht="9.75" customHeight="1">
      <c r="A512" s="118"/>
      <c r="B512" s="153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  <c r="AC512" s="118"/>
      <c r="AD512" s="118"/>
      <c r="AE512" s="118"/>
      <c r="AF512" s="118"/>
      <c r="AG512" s="118"/>
      <c r="AH512" s="118"/>
      <c r="AI512" s="118"/>
      <c r="AJ512" s="118"/>
      <c r="AK512" s="118"/>
    </row>
    <row r="513" ht="9.75" customHeight="1">
      <c r="A513" s="118"/>
      <c r="B513" s="153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  <c r="AC513" s="118"/>
      <c r="AD513" s="118"/>
      <c r="AE513" s="118"/>
      <c r="AF513" s="118"/>
      <c r="AG513" s="118"/>
      <c r="AH513" s="118"/>
      <c r="AI513" s="118"/>
      <c r="AJ513" s="118"/>
      <c r="AK513" s="118"/>
    </row>
    <row r="514" ht="9.75" customHeight="1">
      <c r="A514" s="114"/>
      <c r="B514" s="15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  <c r="AD514" s="114"/>
      <c r="AE514" s="114"/>
      <c r="AF514" s="114"/>
      <c r="AG514" s="114"/>
      <c r="AH514" s="114"/>
      <c r="AI514" s="114"/>
      <c r="AJ514" s="114"/>
      <c r="AK514" s="114"/>
    </row>
    <row r="515" ht="9.75" customHeight="1">
      <c r="A515" s="115"/>
      <c r="B515" s="15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</row>
    <row r="516" ht="9.75" customHeight="1">
      <c r="A516" s="114"/>
      <c r="B516" s="15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  <c r="AH516" s="114"/>
      <c r="AI516" s="114"/>
      <c r="AJ516" s="114"/>
      <c r="AK516" s="114"/>
    </row>
    <row r="517" ht="9.75" customHeight="1">
      <c r="A517" s="118"/>
      <c r="B517" s="153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  <c r="AC517" s="118"/>
      <c r="AD517" s="118"/>
      <c r="AE517" s="118"/>
      <c r="AF517" s="118"/>
      <c r="AG517" s="118"/>
      <c r="AH517" s="118"/>
      <c r="AI517" s="118"/>
      <c r="AJ517" s="118"/>
      <c r="AK517" s="118"/>
    </row>
    <row r="518" ht="9.75" customHeight="1">
      <c r="A518" s="44"/>
      <c r="B518" s="80"/>
      <c r="C518" s="81"/>
      <c r="D518" s="81"/>
      <c r="E518" s="82"/>
      <c r="F518" s="82"/>
      <c r="G518" s="94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150"/>
      <c r="S518" s="82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</row>
    <row r="519" ht="9.75" customHeight="1">
      <c r="A519" s="44"/>
      <c r="B519" s="80"/>
      <c r="C519" s="81"/>
      <c r="D519" s="81"/>
      <c r="E519" s="82"/>
      <c r="F519" s="82"/>
      <c r="G519" s="94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150"/>
      <c r="S519" s="82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</row>
    <row r="520" ht="9.75" customHeight="1">
      <c r="A520" s="44"/>
      <c r="B520" s="80"/>
      <c r="C520" s="81"/>
      <c r="D520" s="81"/>
      <c r="E520" s="82"/>
      <c r="F520" s="82"/>
      <c r="G520" s="94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150"/>
      <c r="S520" s="82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</row>
    <row r="521" ht="9.75" customHeight="1">
      <c r="A521" s="44"/>
      <c r="B521" s="80"/>
      <c r="C521" s="81"/>
      <c r="D521" s="81"/>
      <c r="E521" s="82"/>
      <c r="F521" s="82"/>
      <c r="G521" s="94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150"/>
      <c r="S521" s="82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</row>
    <row r="522" ht="9.75" customHeight="1">
      <c r="A522" s="44"/>
      <c r="B522" s="80"/>
      <c r="C522" s="81"/>
      <c r="D522" s="81"/>
      <c r="E522" s="82"/>
      <c r="F522" s="82"/>
      <c r="G522" s="94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150"/>
      <c r="S522" s="82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</row>
    <row r="523" ht="9.75" customHeight="1">
      <c r="A523" s="44"/>
      <c r="B523" s="80"/>
      <c r="C523" s="81"/>
      <c r="D523" s="81"/>
      <c r="E523" s="82"/>
      <c r="F523" s="82"/>
      <c r="G523" s="94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150"/>
      <c r="S523" s="82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</row>
    <row r="524" ht="9.75" customHeight="1">
      <c r="A524" s="44"/>
      <c r="B524" s="80"/>
      <c r="C524" s="81"/>
      <c r="D524" s="81"/>
      <c r="E524" s="82"/>
      <c r="F524" s="82"/>
      <c r="G524" s="94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150"/>
      <c r="S524" s="82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</row>
    <row r="525" ht="9.75" customHeight="1">
      <c r="A525" s="44"/>
      <c r="B525" s="80"/>
      <c r="C525" s="81"/>
      <c r="D525" s="81"/>
      <c r="E525" s="82"/>
      <c r="F525" s="82"/>
      <c r="G525" s="94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150"/>
      <c r="S525" s="82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</row>
    <row r="526" ht="9.75" customHeight="1">
      <c r="A526" s="44"/>
      <c r="B526" s="80"/>
      <c r="C526" s="81"/>
      <c r="D526" s="81"/>
      <c r="E526" s="82"/>
      <c r="F526" s="82"/>
      <c r="G526" s="94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150"/>
      <c r="S526" s="82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</row>
    <row r="527" ht="9.75" customHeight="1">
      <c r="A527" s="44"/>
      <c r="B527" s="80"/>
      <c r="C527" s="81"/>
      <c r="D527" s="81"/>
      <c r="E527" s="82"/>
      <c r="F527" s="82"/>
      <c r="G527" s="94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150"/>
      <c r="S527" s="82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</row>
    <row r="528" ht="9.75" customHeight="1">
      <c r="A528" s="44"/>
      <c r="B528" s="80"/>
      <c r="C528" s="81"/>
      <c r="D528" s="81"/>
      <c r="E528" s="82"/>
      <c r="F528" s="82"/>
      <c r="G528" s="94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150"/>
      <c r="S528" s="82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</row>
    <row r="529" ht="9.75" customHeight="1">
      <c r="A529" s="44"/>
      <c r="B529" s="80"/>
      <c r="C529" s="81"/>
      <c r="D529" s="81"/>
      <c r="E529" s="82"/>
      <c r="F529" s="82"/>
      <c r="G529" s="94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150"/>
      <c r="S529" s="82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</row>
    <row r="530" ht="9.75" customHeight="1">
      <c r="A530" s="44"/>
      <c r="B530" s="80"/>
      <c r="C530" s="81"/>
      <c r="D530" s="81"/>
      <c r="E530" s="82"/>
      <c r="F530" s="82"/>
      <c r="G530" s="94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150"/>
      <c r="S530" s="82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</row>
    <row r="531" ht="9.75" customHeight="1">
      <c r="A531" s="44"/>
      <c r="B531" s="80"/>
      <c r="C531" s="81"/>
      <c r="D531" s="81"/>
      <c r="E531" s="82"/>
      <c r="F531" s="82"/>
      <c r="G531" s="94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150"/>
      <c r="S531" s="82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</row>
    <row r="532" ht="9.75" customHeight="1">
      <c r="A532" s="44"/>
      <c r="B532" s="80"/>
      <c r="C532" s="81"/>
      <c r="D532" s="81"/>
      <c r="E532" s="82"/>
      <c r="F532" s="82"/>
      <c r="G532" s="94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150"/>
      <c r="S532" s="82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</row>
    <row r="533" ht="9.75" customHeight="1">
      <c r="A533" s="44"/>
      <c r="B533" s="80"/>
      <c r="C533" s="81"/>
      <c r="D533" s="81"/>
      <c r="E533" s="82"/>
      <c r="F533" s="82"/>
      <c r="G533" s="94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150"/>
      <c r="S533" s="82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</row>
    <row r="534" ht="9.75" customHeight="1">
      <c r="A534" s="44"/>
      <c r="B534" s="80"/>
      <c r="C534" s="81"/>
      <c r="D534" s="81"/>
      <c r="E534" s="82"/>
      <c r="F534" s="82"/>
      <c r="G534" s="94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150"/>
      <c r="S534" s="82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</row>
    <row r="535" ht="9.75" customHeight="1">
      <c r="A535" s="44"/>
      <c r="B535" s="80"/>
      <c r="C535" s="81"/>
      <c r="D535" s="81"/>
      <c r="E535" s="82"/>
      <c r="F535" s="82"/>
      <c r="G535" s="94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150"/>
      <c r="S535" s="82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</row>
    <row r="536" ht="9.75" customHeight="1">
      <c r="A536" s="44"/>
      <c r="B536" s="80"/>
      <c r="C536" s="81"/>
      <c r="D536" s="81"/>
      <c r="E536" s="82"/>
      <c r="F536" s="82"/>
      <c r="G536" s="94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150"/>
      <c r="S536" s="82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</row>
    <row r="537" ht="9.75" customHeight="1">
      <c r="A537" s="44"/>
      <c r="B537" s="80"/>
      <c r="C537" s="81"/>
      <c r="D537" s="81"/>
      <c r="E537" s="82"/>
      <c r="F537" s="82"/>
      <c r="G537" s="94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150"/>
      <c r="S537" s="82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</row>
    <row r="538" ht="9.75" customHeight="1">
      <c r="A538" s="44"/>
      <c r="B538" s="80"/>
      <c r="C538" s="81"/>
      <c r="D538" s="81"/>
      <c r="E538" s="82"/>
      <c r="F538" s="82"/>
      <c r="G538" s="94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150"/>
      <c r="S538" s="82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</row>
    <row r="539" ht="9.75" customHeight="1">
      <c r="A539" s="44"/>
      <c r="B539" s="80"/>
      <c r="C539" s="81"/>
      <c r="D539" s="81"/>
      <c r="E539" s="82"/>
      <c r="F539" s="82"/>
      <c r="G539" s="94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150"/>
      <c r="S539" s="82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</row>
    <row r="540" ht="9.75" customHeight="1">
      <c r="A540" s="44"/>
      <c r="B540" s="80"/>
      <c r="C540" s="81"/>
      <c r="D540" s="81"/>
      <c r="E540" s="82"/>
      <c r="F540" s="82"/>
      <c r="G540" s="94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150"/>
      <c r="S540" s="82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</row>
    <row r="541" ht="9.75" customHeight="1">
      <c r="A541" s="44"/>
      <c r="B541" s="80"/>
      <c r="C541" s="81"/>
      <c r="D541" s="81"/>
      <c r="E541" s="82"/>
      <c r="F541" s="82"/>
      <c r="G541" s="94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150"/>
      <c r="S541" s="82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</row>
    <row r="542" ht="9.75" customHeight="1">
      <c r="A542" s="44"/>
      <c r="B542" s="80"/>
      <c r="C542" s="81"/>
      <c r="D542" s="81"/>
      <c r="E542" s="82"/>
      <c r="F542" s="82"/>
      <c r="G542" s="94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150"/>
      <c r="S542" s="82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</row>
    <row r="543" ht="9.75" customHeight="1">
      <c r="A543" s="44"/>
      <c r="B543" s="80"/>
      <c r="C543" s="81"/>
      <c r="D543" s="81"/>
      <c r="E543" s="82"/>
      <c r="F543" s="82"/>
      <c r="G543" s="94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150"/>
      <c r="S543" s="82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</row>
    <row r="544" ht="9.75" customHeight="1">
      <c r="A544" s="44"/>
      <c r="B544" s="80"/>
      <c r="C544" s="81"/>
      <c r="D544" s="81"/>
      <c r="E544" s="82"/>
      <c r="F544" s="82"/>
      <c r="G544" s="94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150"/>
      <c r="S544" s="82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</row>
    <row r="545" ht="9.75" customHeight="1">
      <c r="A545" s="44"/>
      <c r="B545" s="80"/>
      <c r="C545" s="81"/>
      <c r="D545" s="81"/>
      <c r="E545" s="82"/>
      <c r="F545" s="82"/>
      <c r="G545" s="94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150"/>
      <c r="S545" s="82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</row>
    <row r="546" ht="9.75" customHeight="1">
      <c r="A546" s="44"/>
      <c r="B546" s="80"/>
      <c r="C546" s="81"/>
      <c r="D546" s="81"/>
      <c r="E546" s="82"/>
      <c r="F546" s="82"/>
      <c r="G546" s="94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150"/>
      <c r="S546" s="82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</row>
    <row r="547" ht="9.75" customHeight="1">
      <c r="A547" s="44"/>
      <c r="B547" s="80"/>
      <c r="C547" s="81"/>
      <c r="D547" s="81"/>
      <c r="E547" s="82"/>
      <c r="F547" s="82"/>
      <c r="G547" s="94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150"/>
      <c r="S547" s="82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</row>
    <row r="548" ht="9.75" customHeight="1">
      <c r="A548" s="44"/>
      <c r="B548" s="80"/>
      <c r="C548" s="81"/>
      <c r="D548" s="81"/>
      <c r="E548" s="82"/>
      <c r="F548" s="82"/>
      <c r="G548" s="94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150"/>
      <c r="S548" s="82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</row>
    <row r="549" ht="9.75" customHeight="1">
      <c r="A549" s="44"/>
      <c r="B549" s="80"/>
      <c r="C549" s="81"/>
      <c r="D549" s="81"/>
      <c r="E549" s="82"/>
      <c r="F549" s="82"/>
      <c r="G549" s="94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150"/>
      <c r="S549" s="82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</row>
    <row r="550" ht="9.75" customHeight="1">
      <c r="A550" s="44"/>
      <c r="B550" s="80"/>
      <c r="C550" s="81"/>
      <c r="D550" s="81"/>
      <c r="E550" s="82"/>
      <c r="F550" s="82"/>
      <c r="G550" s="94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150"/>
      <c r="S550" s="82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</row>
    <row r="551" ht="9.75" customHeight="1">
      <c r="A551" s="44"/>
      <c r="B551" s="80"/>
      <c r="C551" s="81"/>
      <c r="D551" s="81"/>
      <c r="E551" s="82"/>
      <c r="F551" s="82"/>
      <c r="G551" s="94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150"/>
      <c r="S551" s="82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</row>
    <row r="552" ht="9.75" customHeight="1">
      <c r="A552" s="44"/>
      <c r="B552" s="80"/>
      <c r="C552" s="81"/>
      <c r="D552" s="81"/>
      <c r="E552" s="82"/>
      <c r="F552" s="82"/>
      <c r="G552" s="94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150"/>
      <c r="S552" s="82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</row>
    <row r="553" ht="9.75" customHeight="1">
      <c r="A553" s="44"/>
      <c r="B553" s="80"/>
      <c r="C553" s="81"/>
      <c r="D553" s="81"/>
      <c r="E553" s="82"/>
      <c r="F553" s="82"/>
      <c r="G553" s="94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150"/>
      <c r="S553" s="82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</row>
    <row r="554" ht="9.75" customHeight="1">
      <c r="A554" s="156"/>
      <c r="B554" s="157"/>
      <c r="C554" s="156"/>
      <c r="D554" s="156"/>
      <c r="E554" s="15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  <c r="AA554" s="156"/>
      <c r="AB554" s="156"/>
      <c r="AC554" s="156"/>
      <c r="AD554" s="156"/>
      <c r="AE554" s="156"/>
      <c r="AF554" s="156"/>
      <c r="AG554" s="156"/>
      <c r="AH554" s="156"/>
      <c r="AI554" s="156"/>
      <c r="AJ554" s="156"/>
      <c r="AK554" s="156"/>
    </row>
    <row r="555" ht="9.75" customHeight="1">
      <c r="A555" s="156"/>
      <c r="B555" s="157"/>
      <c r="C555" s="156"/>
      <c r="D555" s="156"/>
      <c r="E555" s="15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  <c r="AA555" s="156"/>
      <c r="AB555" s="156"/>
      <c r="AC555" s="156"/>
      <c r="AD555" s="156"/>
      <c r="AE555" s="156"/>
      <c r="AF555" s="156"/>
      <c r="AG555" s="156"/>
      <c r="AH555" s="156"/>
      <c r="AI555" s="156"/>
      <c r="AJ555" s="156"/>
      <c r="AK555" s="156"/>
    </row>
    <row r="556" ht="9.75" customHeight="1">
      <c r="A556" s="114"/>
      <c r="B556" s="15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  <c r="AC556" s="114"/>
      <c r="AD556" s="114"/>
      <c r="AE556" s="114"/>
      <c r="AF556" s="114"/>
      <c r="AG556" s="114"/>
      <c r="AH556" s="114"/>
      <c r="AI556" s="114"/>
      <c r="AJ556" s="114"/>
      <c r="AK556" s="114"/>
    </row>
    <row r="557" ht="9.75" customHeight="1">
      <c r="A557" s="114"/>
      <c r="B557" s="15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  <c r="AC557" s="114"/>
      <c r="AD557" s="114"/>
      <c r="AE557" s="114"/>
      <c r="AF557" s="114"/>
      <c r="AG557" s="114"/>
      <c r="AH557" s="114"/>
      <c r="AI557" s="114"/>
      <c r="AJ557" s="114"/>
      <c r="AK557" s="114"/>
    </row>
    <row r="558" ht="9.75" customHeight="1">
      <c r="A558" s="114"/>
      <c r="B558" s="15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</row>
    <row r="559" ht="9.75" customHeight="1">
      <c r="A559" s="114"/>
      <c r="B559" s="15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  <c r="AD559" s="114"/>
      <c r="AE559" s="114"/>
      <c r="AF559" s="114"/>
      <c r="AG559" s="114"/>
      <c r="AH559" s="114"/>
      <c r="AI559" s="114"/>
      <c r="AJ559" s="114"/>
      <c r="AK559" s="114"/>
    </row>
    <row r="560" ht="9.75" customHeight="1">
      <c r="A560" s="44"/>
      <c r="B560" s="80"/>
      <c r="C560" s="81"/>
      <c r="D560" s="81"/>
      <c r="E560" s="82"/>
      <c r="F560" s="82"/>
      <c r="G560" s="94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150"/>
      <c r="S560" s="82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</row>
    <row r="561" ht="9.75" customHeight="1">
      <c r="A561" s="44"/>
      <c r="B561" s="80"/>
      <c r="C561" s="81"/>
      <c r="D561" s="81"/>
      <c r="E561" s="82"/>
      <c r="F561" s="82"/>
      <c r="G561" s="94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150"/>
      <c r="S561" s="82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</row>
    <row r="562" ht="9.75" customHeight="1">
      <c r="A562" s="44"/>
      <c r="B562" s="80"/>
      <c r="C562" s="81"/>
      <c r="D562" s="81"/>
      <c r="E562" s="82"/>
      <c r="F562" s="82"/>
      <c r="G562" s="94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150"/>
      <c r="S562" s="82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</row>
    <row r="563" ht="9.75" customHeight="1">
      <c r="A563" s="44"/>
      <c r="B563" s="80"/>
      <c r="C563" s="81"/>
      <c r="D563" s="81"/>
      <c r="E563" s="82"/>
      <c r="F563" s="82"/>
      <c r="G563" s="94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150"/>
      <c r="S563" s="82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</row>
    <row r="564" ht="9.75" customHeight="1">
      <c r="A564" s="44"/>
      <c r="B564" s="80"/>
      <c r="C564" s="81"/>
      <c r="D564" s="81"/>
      <c r="E564" s="82"/>
      <c r="F564" s="82"/>
      <c r="G564" s="94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150"/>
      <c r="S564" s="82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</row>
    <row r="565" ht="9.75" customHeight="1">
      <c r="A565" s="44"/>
      <c r="B565" s="80"/>
      <c r="C565" s="81"/>
      <c r="D565" s="81"/>
      <c r="E565" s="82"/>
      <c r="F565" s="82"/>
      <c r="G565" s="94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150"/>
      <c r="S565" s="82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</row>
    <row r="566" ht="9.75" customHeight="1">
      <c r="A566" s="44"/>
      <c r="B566" s="80"/>
      <c r="C566" s="81"/>
      <c r="D566" s="81"/>
      <c r="E566" s="82"/>
      <c r="F566" s="82"/>
      <c r="G566" s="94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150"/>
      <c r="S566" s="82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</row>
    <row r="567" ht="9.75" customHeight="1">
      <c r="A567" s="44"/>
      <c r="B567" s="80"/>
      <c r="C567" s="81"/>
      <c r="D567" s="81"/>
      <c r="E567" s="82"/>
      <c r="F567" s="82"/>
      <c r="G567" s="94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150"/>
      <c r="S567" s="82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</row>
    <row r="568" ht="9.75" customHeight="1">
      <c r="A568" s="44"/>
      <c r="B568" s="80"/>
      <c r="C568" s="81"/>
      <c r="D568" s="81"/>
      <c r="E568" s="82"/>
      <c r="F568" s="82"/>
      <c r="G568" s="94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150"/>
      <c r="S568" s="82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</row>
    <row r="569" ht="9.75" customHeight="1">
      <c r="A569" s="44"/>
      <c r="B569" s="80"/>
      <c r="C569" s="81"/>
      <c r="D569" s="81"/>
      <c r="E569" s="82"/>
      <c r="F569" s="82"/>
      <c r="G569" s="94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150"/>
      <c r="S569" s="82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</row>
    <row r="570" ht="9.75" customHeight="1">
      <c r="A570" s="44"/>
      <c r="B570" s="80"/>
      <c r="C570" s="81"/>
      <c r="D570" s="81"/>
      <c r="E570" s="82"/>
      <c r="F570" s="82"/>
      <c r="G570" s="94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150"/>
      <c r="S570" s="82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</row>
    <row r="571" ht="9.75" customHeight="1">
      <c r="A571" s="44"/>
      <c r="B571" s="80"/>
      <c r="C571" s="81"/>
      <c r="D571" s="81"/>
      <c r="E571" s="82"/>
      <c r="F571" s="82"/>
      <c r="G571" s="94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150"/>
      <c r="S571" s="82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</row>
    <row r="572" ht="9.75" customHeight="1">
      <c r="A572" s="44"/>
      <c r="B572" s="80"/>
      <c r="C572" s="81"/>
      <c r="D572" s="81"/>
      <c r="E572" s="82"/>
      <c r="F572" s="82"/>
      <c r="G572" s="94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150"/>
      <c r="S572" s="82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</row>
    <row r="573" ht="9.75" customHeight="1">
      <c r="A573" s="44"/>
      <c r="B573" s="80"/>
      <c r="C573" s="81"/>
      <c r="D573" s="81"/>
      <c r="E573" s="82"/>
      <c r="F573" s="82"/>
      <c r="G573" s="94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150"/>
      <c r="S573" s="82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</row>
    <row r="574" ht="9.75" customHeight="1">
      <c r="A574" s="44"/>
      <c r="B574" s="80"/>
      <c r="C574" s="81"/>
      <c r="D574" s="81"/>
      <c r="E574" s="82"/>
      <c r="F574" s="82"/>
      <c r="G574" s="94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150"/>
      <c r="S574" s="82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</row>
    <row r="575" ht="9.75" customHeight="1">
      <c r="A575" s="44"/>
      <c r="B575" s="80"/>
      <c r="C575" s="81"/>
      <c r="D575" s="81"/>
      <c r="E575" s="82"/>
      <c r="F575" s="82"/>
      <c r="G575" s="94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150"/>
      <c r="S575" s="82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</row>
    <row r="576" ht="9.75" customHeight="1">
      <c r="A576" s="44"/>
      <c r="B576" s="80"/>
      <c r="C576" s="81"/>
      <c r="D576" s="81"/>
      <c r="E576" s="82"/>
      <c r="F576" s="82"/>
      <c r="G576" s="94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150"/>
      <c r="S576" s="82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</row>
    <row r="577" ht="9.75" customHeight="1">
      <c r="A577" s="44"/>
      <c r="B577" s="80"/>
      <c r="C577" s="81"/>
      <c r="D577" s="81"/>
      <c r="E577" s="82"/>
      <c r="F577" s="82"/>
      <c r="G577" s="94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150"/>
      <c r="S577" s="82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</row>
    <row r="578" ht="9.75" customHeight="1">
      <c r="A578" s="44"/>
      <c r="B578" s="80"/>
      <c r="C578" s="81"/>
      <c r="D578" s="81"/>
      <c r="E578" s="82"/>
      <c r="F578" s="82"/>
      <c r="G578" s="94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150"/>
      <c r="S578" s="82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</row>
    <row r="579" ht="9.75" customHeight="1">
      <c r="A579" s="44"/>
      <c r="B579" s="80"/>
      <c r="C579" s="81"/>
      <c r="D579" s="81"/>
      <c r="E579" s="82"/>
      <c r="F579" s="82"/>
      <c r="G579" s="94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150"/>
      <c r="S579" s="82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</row>
    <row r="580" ht="9.75" customHeight="1">
      <c r="A580" s="44"/>
      <c r="B580" s="80"/>
      <c r="C580" s="81"/>
      <c r="D580" s="81"/>
      <c r="E580" s="82"/>
      <c r="F580" s="82"/>
      <c r="G580" s="94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150"/>
      <c r="S580" s="82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</row>
    <row r="581" ht="9.75" customHeight="1">
      <c r="A581" s="44"/>
      <c r="B581" s="80"/>
      <c r="C581" s="81"/>
      <c r="D581" s="81"/>
      <c r="E581" s="82"/>
      <c r="F581" s="82"/>
      <c r="G581" s="94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150"/>
      <c r="S581" s="82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</row>
    <row r="582" ht="9.75" customHeight="1">
      <c r="A582" s="114"/>
      <c r="B582" s="15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  <c r="AD582" s="114"/>
      <c r="AE582" s="114"/>
      <c r="AF582" s="114"/>
      <c r="AG582" s="114"/>
      <c r="AH582" s="114"/>
      <c r="AI582" s="114"/>
      <c r="AJ582" s="114"/>
      <c r="AK582" s="114"/>
    </row>
    <row r="583" ht="9.75" customHeight="1">
      <c r="A583" s="114"/>
      <c r="B583" s="15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  <c r="AD583" s="114"/>
      <c r="AE583" s="114"/>
      <c r="AF583" s="114"/>
      <c r="AG583" s="114"/>
      <c r="AH583" s="114"/>
      <c r="AI583" s="114"/>
      <c r="AJ583" s="114"/>
      <c r="AK583" s="114"/>
    </row>
    <row r="584" ht="9.75" customHeight="1">
      <c r="A584" s="44"/>
      <c r="B584" s="80"/>
      <c r="C584" s="81"/>
      <c r="D584" s="81"/>
      <c r="E584" s="82"/>
      <c r="F584" s="82"/>
      <c r="G584" s="94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150"/>
      <c r="S584" s="82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</row>
    <row r="585" ht="9.75" customHeight="1">
      <c r="A585" s="44"/>
      <c r="B585" s="80"/>
      <c r="C585" s="81"/>
      <c r="D585" s="81"/>
      <c r="E585" s="82"/>
      <c r="F585" s="82"/>
      <c r="G585" s="94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150"/>
      <c r="S585" s="82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</row>
    <row r="586" ht="9.75" customHeight="1">
      <c r="A586" s="44"/>
      <c r="B586" s="80"/>
      <c r="C586" s="81"/>
      <c r="D586" s="81"/>
      <c r="E586" s="82"/>
      <c r="F586" s="82"/>
      <c r="G586" s="94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150"/>
      <c r="S586" s="82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</row>
    <row r="587" ht="9.75" customHeight="1">
      <c r="A587" s="44"/>
      <c r="B587" s="80"/>
      <c r="C587" s="81"/>
      <c r="D587" s="81"/>
      <c r="E587" s="82"/>
      <c r="F587" s="82"/>
      <c r="G587" s="94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150"/>
      <c r="S587" s="82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</row>
    <row r="588" ht="9.75" customHeight="1">
      <c r="A588" s="44"/>
      <c r="B588" s="80"/>
      <c r="C588" s="81"/>
      <c r="D588" s="81"/>
      <c r="E588" s="82"/>
      <c r="F588" s="82"/>
      <c r="G588" s="94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150"/>
      <c r="S588" s="82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</row>
    <row r="589" ht="9.75" customHeight="1">
      <c r="A589" s="44"/>
      <c r="B589" s="80"/>
      <c r="C589" s="81"/>
      <c r="D589" s="81"/>
      <c r="E589" s="82"/>
      <c r="F589" s="82"/>
      <c r="G589" s="94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150"/>
      <c r="S589" s="82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</row>
    <row r="590" ht="9.75" customHeight="1">
      <c r="A590" s="44"/>
      <c r="B590" s="80"/>
      <c r="C590" s="81"/>
      <c r="D590" s="81"/>
      <c r="E590" s="82"/>
      <c r="F590" s="82"/>
      <c r="G590" s="94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150"/>
      <c r="S590" s="82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</row>
    <row r="591" ht="9.75" customHeight="1">
      <c r="A591" s="44"/>
      <c r="B591" s="80"/>
      <c r="C591" s="81"/>
      <c r="D591" s="81"/>
      <c r="E591" s="82"/>
      <c r="F591" s="82"/>
      <c r="G591" s="94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150"/>
      <c r="S591" s="82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</row>
    <row r="592" ht="9.75" customHeight="1">
      <c r="A592" s="44"/>
      <c r="B592" s="80"/>
      <c r="C592" s="81"/>
      <c r="D592" s="81"/>
      <c r="E592" s="82"/>
      <c r="F592" s="82"/>
      <c r="G592" s="94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150"/>
      <c r="S592" s="82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</row>
    <row r="593" ht="9.75" customHeight="1">
      <c r="A593" s="44"/>
      <c r="B593" s="80"/>
      <c r="C593" s="81"/>
      <c r="D593" s="81"/>
      <c r="E593" s="82"/>
      <c r="F593" s="82"/>
      <c r="G593" s="94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150"/>
      <c r="S593" s="82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</row>
    <row r="594" ht="9.75" customHeight="1">
      <c r="A594" s="44"/>
      <c r="B594" s="80"/>
      <c r="C594" s="81"/>
      <c r="D594" s="81"/>
      <c r="E594" s="82"/>
      <c r="F594" s="82"/>
      <c r="G594" s="94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150"/>
      <c r="S594" s="82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</row>
    <row r="595" ht="9.75" customHeight="1">
      <c r="A595" s="44"/>
      <c r="B595" s="80"/>
      <c r="C595" s="81"/>
      <c r="D595" s="81"/>
      <c r="E595" s="82"/>
      <c r="F595" s="82"/>
      <c r="G595" s="94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150"/>
      <c r="S595" s="82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</row>
    <row r="596" ht="9.75" customHeight="1">
      <c r="A596" s="44"/>
      <c r="B596" s="80"/>
      <c r="C596" s="81"/>
      <c r="D596" s="81"/>
      <c r="E596" s="82"/>
      <c r="F596" s="82"/>
      <c r="G596" s="94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150"/>
      <c r="S596" s="82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</row>
    <row r="597" ht="9.75" customHeight="1">
      <c r="A597" s="44"/>
      <c r="B597" s="80"/>
      <c r="C597" s="81"/>
      <c r="D597" s="81"/>
      <c r="E597" s="82"/>
      <c r="F597" s="82"/>
      <c r="G597" s="94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150"/>
      <c r="S597" s="82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</row>
    <row r="598" ht="9.75" customHeight="1">
      <c r="A598" s="44"/>
      <c r="B598" s="80"/>
      <c r="C598" s="81"/>
      <c r="D598" s="81"/>
      <c r="E598" s="82"/>
      <c r="F598" s="82"/>
      <c r="G598" s="94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150"/>
      <c r="S598" s="82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</row>
    <row r="599" ht="9.75" customHeight="1">
      <c r="A599" s="44"/>
      <c r="B599" s="80"/>
      <c r="C599" s="81"/>
      <c r="D599" s="81"/>
      <c r="E599" s="82"/>
      <c r="F599" s="82"/>
      <c r="G599" s="94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150"/>
      <c r="S599" s="82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</row>
    <row r="600" ht="9.75" customHeight="1">
      <c r="A600" s="44"/>
      <c r="B600" s="80"/>
      <c r="C600" s="81"/>
      <c r="D600" s="81"/>
      <c r="E600" s="82"/>
      <c r="F600" s="82"/>
      <c r="G600" s="94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150"/>
      <c r="S600" s="82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</row>
    <row r="601" ht="9.75" customHeight="1">
      <c r="A601" s="44"/>
      <c r="B601" s="80"/>
      <c r="C601" s="81"/>
      <c r="D601" s="81"/>
      <c r="E601" s="82"/>
      <c r="F601" s="82"/>
      <c r="G601" s="94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150"/>
      <c r="S601" s="82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</row>
    <row r="602" ht="9.75" customHeight="1">
      <c r="A602" s="44"/>
      <c r="B602" s="80"/>
      <c r="C602" s="81"/>
      <c r="D602" s="81"/>
      <c r="E602" s="82"/>
      <c r="F602" s="82"/>
      <c r="G602" s="94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150"/>
      <c r="S602" s="82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</row>
    <row r="603" ht="9.75" customHeight="1">
      <c r="A603" s="44"/>
      <c r="B603" s="151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</row>
    <row r="604" ht="9.75" customHeight="1">
      <c r="A604" s="44"/>
      <c r="B604" s="151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</row>
    <row r="605" ht="9.75" customHeight="1">
      <c r="A605" s="44"/>
      <c r="B605" s="80"/>
      <c r="C605" s="81"/>
      <c r="D605" s="81"/>
      <c r="E605" s="82"/>
      <c r="F605" s="82"/>
      <c r="G605" s="94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150"/>
      <c r="S605" s="82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</row>
    <row r="606" ht="9.75" customHeight="1">
      <c r="A606" s="44"/>
      <c r="B606" s="80"/>
      <c r="C606" s="81"/>
      <c r="D606" s="81"/>
      <c r="E606" s="82"/>
      <c r="F606" s="82"/>
      <c r="G606" s="94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150"/>
      <c r="S606" s="82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</row>
    <row r="607" ht="9.75" customHeight="1">
      <c r="A607" s="44"/>
      <c r="B607" s="80"/>
      <c r="C607" s="81"/>
      <c r="D607" s="81"/>
      <c r="E607" s="82"/>
      <c r="F607" s="82"/>
      <c r="G607" s="94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150"/>
      <c r="S607" s="82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</row>
    <row r="608" ht="9.75" customHeight="1">
      <c r="A608" s="44"/>
      <c r="B608" s="80"/>
      <c r="C608" s="81"/>
      <c r="D608" s="81"/>
      <c r="E608" s="82"/>
      <c r="F608" s="82"/>
      <c r="G608" s="94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150"/>
      <c r="S608" s="82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</row>
    <row r="609" ht="9.75" customHeight="1">
      <c r="A609" s="44"/>
      <c r="B609" s="80"/>
      <c r="C609" s="81"/>
      <c r="D609" s="81"/>
      <c r="E609" s="82"/>
      <c r="F609" s="82"/>
      <c r="G609" s="94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150"/>
      <c r="S609" s="82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</row>
    <row r="610" ht="9.75" customHeight="1">
      <c r="A610" s="44"/>
      <c r="B610" s="80"/>
      <c r="C610" s="81"/>
      <c r="D610" s="81"/>
      <c r="E610" s="82"/>
      <c r="F610" s="82"/>
      <c r="G610" s="94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150"/>
      <c r="S610" s="82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</row>
    <row r="611" ht="9.75" customHeight="1">
      <c r="A611" s="44"/>
      <c r="B611" s="80"/>
      <c r="C611" s="81"/>
      <c r="D611" s="81"/>
      <c r="E611" s="82"/>
      <c r="F611" s="82"/>
      <c r="G611" s="94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150"/>
      <c r="S611" s="82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</row>
    <row r="612" ht="9.75" customHeight="1">
      <c r="A612" s="44"/>
      <c r="B612" s="80"/>
      <c r="C612" s="81"/>
      <c r="D612" s="81"/>
      <c r="E612" s="82"/>
      <c r="F612" s="82"/>
      <c r="G612" s="94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150"/>
      <c r="S612" s="82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</row>
    <row r="613" ht="9.75" customHeight="1">
      <c r="A613" s="44"/>
      <c r="B613" s="80"/>
      <c r="C613" s="81"/>
      <c r="D613" s="81"/>
      <c r="E613" s="82"/>
      <c r="F613" s="82"/>
      <c r="G613" s="94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150"/>
      <c r="S613" s="82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</row>
    <row r="614" ht="9.75" customHeight="1">
      <c r="A614" s="44"/>
      <c r="B614" s="80"/>
      <c r="C614" s="81"/>
      <c r="D614" s="81"/>
      <c r="E614" s="82"/>
      <c r="F614" s="82"/>
      <c r="G614" s="94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150"/>
      <c r="S614" s="82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</row>
    <row r="615" ht="9.75" customHeight="1">
      <c r="A615" s="44"/>
      <c r="B615" s="80"/>
      <c r="C615" s="81"/>
      <c r="D615" s="81"/>
      <c r="E615" s="82"/>
      <c r="F615" s="82"/>
      <c r="G615" s="94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150"/>
      <c r="S615" s="82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</row>
    <row r="616" ht="9.75" customHeight="1">
      <c r="A616" s="44"/>
      <c r="B616" s="80"/>
      <c r="C616" s="81"/>
      <c r="D616" s="81"/>
      <c r="E616" s="82"/>
      <c r="F616" s="82"/>
      <c r="G616" s="94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150"/>
      <c r="S616" s="82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</row>
    <row r="617" ht="9.75" customHeight="1">
      <c r="A617" s="44"/>
      <c r="B617" s="80"/>
      <c r="C617" s="81"/>
      <c r="D617" s="81"/>
      <c r="E617" s="82"/>
      <c r="F617" s="82"/>
      <c r="G617" s="94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150"/>
      <c r="S617" s="82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</row>
    <row r="618" ht="9.75" customHeight="1">
      <c r="A618" s="44"/>
      <c r="B618" s="80"/>
      <c r="C618" s="81"/>
      <c r="D618" s="81"/>
      <c r="E618" s="82"/>
      <c r="F618" s="82"/>
      <c r="G618" s="94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150"/>
      <c r="S618" s="82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</row>
    <row r="619" ht="9.75" customHeight="1">
      <c r="A619" s="44"/>
      <c r="B619" s="80"/>
      <c r="C619" s="81"/>
      <c r="D619" s="81"/>
      <c r="E619" s="82"/>
      <c r="F619" s="82"/>
      <c r="G619" s="94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150"/>
      <c r="S619" s="82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</row>
    <row r="620" ht="9.75" customHeight="1">
      <c r="A620" s="44"/>
      <c r="B620" s="80"/>
      <c r="C620" s="81"/>
      <c r="D620" s="81"/>
      <c r="E620" s="82"/>
      <c r="F620" s="82"/>
      <c r="G620" s="94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150"/>
      <c r="S620" s="82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</row>
    <row r="621" ht="9.75" customHeight="1">
      <c r="A621" s="44"/>
      <c r="B621" s="80"/>
      <c r="C621" s="81"/>
      <c r="D621" s="81"/>
      <c r="E621" s="82"/>
      <c r="F621" s="82"/>
      <c r="G621" s="94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150"/>
      <c r="S621" s="82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</row>
    <row r="622" ht="9.75" customHeight="1">
      <c r="A622" s="44"/>
      <c r="B622" s="80"/>
      <c r="C622" s="81"/>
      <c r="D622" s="81"/>
      <c r="E622" s="82"/>
      <c r="F622" s="82"/>
      <c r="G622" s="94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150"/>
      <c r="S622" s="82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</row>
    <row r="623" ht="9.75" customHeight="1">
      <c r="A623" s="44"/>
      <c r="B623" s="80"/>
      <c r="C623" s="81"/>
      <c r="D623" s="81"/>
      <c r="E623" s="82"/>
      <c r="F623" s="82"/>
      <c r="G623" s="94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150"/>
      <c r="S623" s="82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</row>
    <row r="624" ht="9.75" customHeight="1">
      <c r="A624" s="44"/>
      <c r="B624" s="80"/>
      <c r="C624" s="81"/>
      <c r="D624" s="81"/>
      <c r="E624" s="82"/>
      <c r="F624" s="82"/>
      <c r="G624" s="94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150"/>
      <c r="S624" s="82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</row>
    <row r="625" ht="9.75" customHeight="1">
      <c r="A625" s="44"/>
      <c r="B625" s="80"/>
      <c r="C625" s="81"/>
      <c r="D625" s="81"/>
      <c r="E625" s="82"/>
      <c r="F625" s="82"/>
      <c r="G625" s="94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150"/>
      <c r="S625" s="82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</row>
    <row r="626" ht="9.75" customHeight="1">
      <c r="A626" s="44"/>
      <c r="B626" s="80"/>
      <c r="C626" s="81"/>
      <c r="D626" s="81"/>
      <c r="E626" s="82"/>
      <c r="F626" s="82"/>
      <c r="G626" s="94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150"/>
      <c r="S626" s="82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</row>
    <row r="627" ht="9.75" customHeight="1">
      <c r="A627" s="44"/>
      <c r="B627" s="80"/>
      <c r="C627" s="81"/>
      <c r="D627" s="81"/>
      <c r="E627" s="82"/>
      <c r="F627" s="82"/>
      <c r="G627" s="94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150"/>
      <c r="S627" s="82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</row>
    <row r="628" ht="9.75" customHeight="1">
      <c r="A628" s="44"/>
      <c r="B628" s="80"/>
      <c r="C628" s="81"/>
      <c r="D628" s="81"/>
      <c r="E628" s="82"/>
      <c r="F628" s="82"/>
      <c r="G628" s="94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150"/>
      <c r="S628" s="82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</row>
    <row r="629" ht="9.75" customHeight="1">
      <c r="A629" s="44"/>
      <c r="B629" s="80"/>
      <c r="C629" s="81"/>
      <c r="D629" s="81"/>
      <c r="E629" s="82"/>
      <c r="F629" s="82"/>
      <c r="G629" s="94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150"/>
      <c r="S629" s="82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</row>
    <row r="630" ht="9.75" customHeight="1">
      <c r="A630" s="44"/>
      <c r="B630" s="80"/>
      <c r="C630" s="81"/>
      <c r="D630" s="81"/>
      <c r="E630" s="82"/>
      <c r="F630" s="82"/>
      <c r="G630" s="94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150"/>
      <c r="S630" s="82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</row>
    <row r="631" ht="9.75" customHeight="1">
      <c r="A631" s="44"/>
      <c r="B631" s="80"/>
      <c r="C631" s="81"/>
      <c r="D631" s="81"/>
      <c r="E631" s="82"/>
      <c r="F631" s="82"/>
      <c r="G631" s="94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150"/>
      <c r="S631" s="82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</row>
    <row r="632" ht="9.75" customHeight="1">
      <c r="A632" s="44"/>
      <c r="B632" s="80"/>
      <c r="C632" s="81"/>
      <c r="D632" s="81"/>
      <c r="E632" s="82"/>
      <c r="F632" s="82"/>
      <c r="G632" s="94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150"/>
      <c r="S632" s="82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</row>
    <row r="633" ht="9.75" customHeight="1">
      <c r="A633" s="44"/>
      <c r="B633" s="80"/>
      <c r="C633" s="81"/>
      <c r="D633" s="81"/>
      <c r="E633" s="82"/>
      <c r="F633" s="82"/>
      <c r="G633" s="94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150"/>
      <c r="S633" s="82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</row>
    <row r="634" ht="9.75" customHeight="1">
      <c r="A634" s="44"/>
      <c r="B634" s="80"/>
      <c r="C634" s="81"/>
      <c r="D634" s="81"/>
      <c r="E634" s="82"/>
      <c r="F634" s="82"/>
      <c r="G634" s="94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150"/>
      <c r="S634" s="82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</row>
    <row r="635" ht="9.75" customHeight="1">
      <c r="A635" s="44"/>
      <c r="B635" s="80"/>
      <c r="C635" s="81"/>
      <c r="D635" s="81"/>
      <c r="E635" s="82"/>
      <c r="F635" s="82"/>
      <c r="G635" s="94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150"/>
      <c r="S635" s="82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</row>
    <row r="636" ht="9.75" customHeight="1">
      <c r="A636" s="44"/>
      <c r="B636" s="80"/>
      <c r="C636" s="81"/>
      <c r="D636" s="81"/>
      <c r="E636" s="82"/>
      <c r="F636" s="82"/>
      <c r="G636" s="94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150"/>
      <c r="S636" s="82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</row>
    <row r="637" ht="9.75" customHeight="1">
      <c r="A637" s="44"/>
      <c r="B637" s="80"/>
      <c r="C637" s="81"/>
      <c r="D637" s="81"/>
      <c r="E637" s="82"/>
      <c r="F637" s="82"/>
      <c r="G637" s="94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150"/>
      <c r="S637" s="82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</row>
    <row r="638" ht="9.75" customHeight="1">
      <c r="A638" s="44"/>
      <c r="B638" s="80"/>
      <c r="C638" s="81"/>
      <c r="D638" s="81"/>
      <c r="E638" s="82"/>
      <c r="F638" s="82"/>
      <c r="G638" s="94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150"/>
      <c r="S638" s="82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</row>
    <row r="639" ht="9.75" customHeight="1">
      <c r="A639" s="44"/>
      <c r="B639" s="151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</row>
    <row r="640" ht="9.75" customHeight="1">
      <c r="A640" s="44"/>
      <c r="B640" s="80"/>
      <c r="C640" s="81"/>
      <c r="D640" s="81"/>
      <c r="E640" s="82"/>
      <c r="F640" s="82"/>
      <c r="G640" s="94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150"/>
      <c r="S640" s="82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</row>
    <row r="641" ht="9.75" customHeight="1">
      <c r="A641" s="44"/>
      <c r="B641" s="80"/>
      <c r="C641" s="81"/>
      <c r="D641" s="81"/>
      <c r="E641" s="82"/>
      <c r="F641" s="82"/>
      <c r="G641" s="94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150"/>
      <c r="S641" s="82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</row>
    <row r="642" ht="9.75" customHeight="1">
      <c r="A642" s="44"/>
      <c r="B642" s="80"/>
      <c r="C642" s="81"/>
      <c r="D642" s="81"/>
      <c r="E642" s="82"/>
      <c r="F642" s="82"/>
      <c r="G642" s="94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150"/>
      <c r="S642" s="82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</row>
    <row r="643" ht="9.75" customHeight="1">
      <c r="A643" s="44"/>
      <c r="B643" s="80"/>
      <c r="C643" s="81"/>
      <c r="D643" s="81"/>
      <c r="E643" s="82"/>
      <c r="F643" s="82"/>
      <c r="G643" s="94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150"/>
      <c r="S643" s="82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</row>
    <row r="644" ht="9.75" customHeight="1">
      <c r="A644" s="44"/>
      <c r="B644" s="80"/>
      <c r="C644" s="81"/>
      <c r="D644" s="81"/>
      <c r="E644" s="82"/>
      <c r="F644" s="82"/>
      <c r="G644" s="94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150"/>
      <c r="S644" s="82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</row>
    <row r="645" ht="9.75" customHeight="1">
      <c r="A645" s="44"/>
      <c r="B645" s="80"/>
      <c r="C645" s="81"/>
      <c r="D645" s="81"/>
      <c r="E645" s="82"/>
      <c r="F645" s="82"/>
      <c r="G645" s="94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150"/>
      <c r="S645" s="82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</row>
    <row r="646" ht="9.75" customHeight="1">
      <c r="A646" s="44"/>
      <c r="B646" s="151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</row>
    <row r="647" ht="9.75" customHeight="1">
      <c r="A647" s="44"/>
      <c r="B647" s="151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</row>
    <row r="648" ht="9.75" customHeight="1">
      <c r="A648" s="44"/>
      <c r="B648" s="151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</row>
    <row r="649" ht="9.75" customHeight="1">
      <c r="A649" s="44"/>
      <c r="B649" s="151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</row>
    <row r="650" ht="9.75" customHeight="1">
      <c r="A650" s="44"/>
      <c r="B650" s="151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</row>
    <row r="651" ht="9.75" customHeight="1">
      <c r="A651" s="95"/>
      <c r="B651" s="152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</row>
    <row r="652" ht="9.75" customHeight="1">
      <c r="A652" s="95"/>
      <c r="B652" s="152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</row>
    <row r="653" ht="9.75" customHeight="1">
      <c r="A653" s="44"/>
      <c r="B653" s="80"/>
      <c r="C653" s="81"/>
      <c r="D653" s="81"/>
      <c r="E653" s="82"/>
      <c r="F653" s="82"/>
      <c r="G653" s="94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150"/>
      <c r="S653" s="82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</row>
    <row r="654" ht="9.75" customHeight="1">
      <c r="A654" s="44"/>
      <c r="B654" s="80"/>
      <c r="C654" s="81"/>
      <c r="D654" s="81"/>
      <c r="E654" s="82"/>
      <c r="F654" s="82"/>
      <c r="G654" s="94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150"/>
      <c r="S654" s="82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</row>
    <row r="655" ht="9.75" customHeight="1">
      <c r="A655" s="44"/>
      <c r="B655" s="80"/>
      <c r="C655" s="81"/>
      <c r="D655" s="81"/>
      <c r="E655" s="82"/>
      <c r="F655" s="82"/>
      <c r="G655" s="94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150"/>
      <c r="S655" s="82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</row>
    <row r="656" ht="9.75" customHeight="1">
      <c r="A656" s="44"/>
      <c r="B656" s="80"/>
      <c r="C656" s="81"/>
      <c r="D656" s="81"/>
      <c r="E656" s="82"/>
      <c r="F656" s="82"/>
      <c r="G656" s="94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150"/>
      <c r="S656" s="82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</row>
    <row r="657" ht="9.75" customHeight="1">
      <c r="A657" s="44"/>
      <c r="B657" s="80"/>
      <c r="C657" s="81"/>
      <c r="D657" s="81"/>
      <c r="E657" s="82"/>
      <c r="F657" s="82"/>
      <c r="G657" s="94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150"/>
      <c r="S657" s="82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</row>
    <row r="658" ht="9.75" customHeight="1">
      <c r="A658" s="44"/>
      <c r="B658" s="80"/>
      <c r="C658" s="81"/>
      <c r="D658" s="81"/>
      <c r="E658" s="82"/>
      <c r="F658" s="82"/>
      <c r="G658" s="94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150"/>
      <c r="S658" s="82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</row>
    <row r="659" ht="9.75" customHeight="1">
      <c r="A659" s="118"/>
      <c r="B659" s="153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  <c r="AC659" s="118"/>
      <c r="AD659" s="118"/>
      <c r="AE659" s="118"/>
      <c r="AF659" s="118"/>
      <c r="AG659" s="118"/>
      <c r="AH659" s="118"/>
      <c r="AI659" s="118"/>
      <c r="AJ659" s="118"/>
      <c r="AK659" s="118"/>
    </row>
    <row r="660" ht="9.75" customHeight="1">
      <c r="A660" s="118"/>
      <c r="B660" s="153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  <c r="AC660" s="118"/>
      <c r="AD660" s="118"/>
      <c r="AE660" s="118"/>
      <c r="AF660" s="118"/>
      <c r="AG660" s="118"/>
      <c r="AH660" s="118"/>
      <c r="AI660" s="118"/>
      <c r="AJ660" s="118"/>
      <c r="AK660" s="118"/>
    </row>
    <row r="661" ht="9.75" customHeight="1">
      <c r="A661" s="118"/>
      <c r="B661" s="153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  <c r="AC661" s="118"/>
      <c r="AD661" s="118"/>
      <c r="AE661" s="118"/>
      <c r="AF661" s="118"/>
      <c r="AG661" s="118"/>
      <c r="AH661" s="118"/>
      <c r="AI661" s="118"/>
      <c r="AJ661" s="118"/>
      <c r="AK661" s="118"/>
    </row>
    <row r="662" ht="9.75" customHeight="1">
      <c r="A662" s="118"/>
      <c r="B662" s="153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  <c r="AC662" s="118"/>
      <c r="AD662" s="118"/>
      <c r="AE662" s="118"/>
      <c r="AF662" s="118"/>
      <c r="AG662" s="118"/>
      <c r="AH662" s="118"/>
      <c r="AI662" s="118"/>
      <c r="AJ662" s="118"/>
      <c r="AK662" s="118"/>
    </row>
    <row r="663" ht="9.75" customHeight="1">
      <c r="A663" s="118"/>
      <c r="B663" s="153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  <c r="AC663" s="118"/>
      <c r="AD663" s="118"/>
      <c r="AE663" s="118"/>
      <c r="AF663" s="118"/>
      <c r="AG663" s="118"/>
      <c r="AH663" s="118"/>
      <c r="AI663" s="118"/>
      <c r="AJ663" s="118"/>
      <c r="AK663" s="118"/>
    </row>
    <row r="664" ht="9.75" customHeight="1">
      <c r="A664" s="118"/>
      <c r="B664" s="153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  <c r="AC664" s="118"/>
      <c r="AD664" s="118"/>
      <c r="AE664" s="118"/>
      <c r="AF664" s="118"/>
      <c r="AG664" s="118"/>
      <c r="AH664" s="118"/>
      <c r="AI664" s="118"/>
      <c r="AJ664" s="118"/>
      <c r="AK664" s="118"/>
    </row>
    <row r="665" ht="9.75" customHeight="1">
      <c r="A665" s="118"/>
      <c r="B665" s="153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  <c r="AC665" s="118"/>
      <c r="AD665" s="118"/>
      <c r="AE665" s="118"/>
      <c r="AF665" s="118"/>
      <c r="AG665" s="118"/>
      <c r="AH665" s="118"/>
      <c r="AI665" s="118"/>
      <c r="AJ665" s="118"/>
      <c r="AK665" s="118"/>
    </row>
    <row r="666" ht="9.75" customHeight="1">
      <c r="A666" s="118"/>
      <c r="B666" s="153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  <c r="AC666" s="118"/>
      <c r="AD666" s="118"/>
      <c r="AE666" s="118"/>
      <c r="AF666" s="118"/>
      <c r="AG666" s="118"/>
      <c r="AH666" s="118"/>
      <c r="AI666" s="118"/>
      <c r="AJ666" s="118"/>
      <c r="AK666" s="118"/>
    </row>
    <row r="667" ht="9.75" customHeight="1">
      <c r="A667" s="118"/>
      <c r="B667" s="153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  <c r="AC667" s="118"/>
      <c r="AD667" s="118"/>
      <c r="AE667" s="118"/>
      <c r="AF667" s="118"/>
      <c r="AG667" s="118"/>
      <c r="AH667" s="118"/>
      <c r="AI667" s="118"/>
      <c r="AJ667" s="118"/>
      <c r="AK667" s="118"/>
    </row>
    <row r="668" ht="9.75" customHeight="1">
      <c r="A668" s="118"/>
      <c r="B668" s="153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  <c r="AC668" s="118"/>
      <c r="AD668" s="118"/>
      <c r="AE668" s="118"/>
      <c r="AF668" s="118"/>
      <c r="AG668" s="118"/>
      <c r="AH668" s="118"/>
      <c r="AI668" s="118"/>
      <c r="AJ668" s="118"/>
      <c r="AK668" s="118"/>
    </row>
    <row r="669" ht="9.75" customHeight="1">
      <c r="A669" s="118"/>
      <c r="B669" s="153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  <c r="AC669" s="118"/>
      <c r="AD669" s="118"/>
      <c r="AE669" s="118"/>
      <c r="AF669" s="118"/>
      <c r="AG669" s="118"/>
      <c r="AH669" s="118"/>
      <c r="AI669" s="118"/>
      <c r="AJ669" s="118"/>
      <c r="AK669" s="118"/>
    </row>
    <row r="670" ht="9.75" customHeight="1">
      <c r="A670" s="118"/>
      <c r="B670" s="153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</row>
    <row r="671" ht="9.75" customHeight="1">
      <c r="A671" s="118"/>
      <c r="B671" s="153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  <c r="AC671" s="118"/>
      <c r="AD671" s="118"/>
      <c r="AE671" s="118"/>
      <c r="AF671" s="118"/>
      <c r="AG671" s="118"/>
      <c r="AH671" s="118"/>
      <c r="AI671" s="118"/>
      <c r="AJ671" s="118"/>
      <c r="AK671" s="118"/>
    </row>
    <row r="672" ht="9.75" customHeight="1">
      <c r="A672" s="118"/>
      <c r="B672" s="153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  <c r="AC672" s="118"/>
      <c r="AD672" s="118"/>
      <c r="AE672" s="118"/>
      <c r="AF672" s="118"/>
      <c r="AG672" s="118"/>
      <c r="AH672" s="118"/>
      <c r="AI672" s="118"/>
      <c r="AJ672" s="118"/>
      <c r="AK672" s="118"/>
    </row>
    <row r="673" ht="9.75" customHeight="1">
      <c r="A673" s="118"/>
      <c r="B673" s="153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  <c r="AC673" s="118"/>
      <c r="AD673" s="118"/>
      <c r="AE673" s="118"/>
      <c r="AF673" s="118"/>
      <c r="AG673" s="118"/>
      <c r="AH673" s="118"/>
      <c r="AI673" s="118"/>
      <c r="AJ673" s="118"/>
      <c r="AK673" s="118"/>
    </row>
    <row r="674" ht="9.75" customHeight="1">
      <c r="A674" s="118"/>
      <c r="B674" s="153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  <c r="AC674" s="118"/>
      <c r="AD674" s="118"/>
      <c r="AE674" s="118"/>
      <c r="AF674" s="118"/>
      <c r="AG674" s="118"/>
      <c r="AH674" s="118"/>
      <c r="AI674" s="118"/>
      <c r="AJ674" s="118"/>
      <c r="AK674" s="118"/>
    </row>
    <row r="675" ht="9.75" customHeight="1">
      <c r="A675" s="118"/>
      <c r="B675" s="153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  <c r="AC675" s="118"/>
      <c r="AD675" s="118"/>
      <c r="AE675" s="118"/>
      <c r="AF675" s="118"/>
      <c r="AG675" s="118"/>
      <c r="AH675" s="118"/>
      <c r="AI675" s="118"/>
      <c r="AJ675" s="118"/>
      <c r="AK675" s="118"/>
    </row>
    <row r="676" ht="9.75" customHeight="1">
      <c r="A676" s="118"/>
      <c r="B676" s="153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  <c r="AC676" s="118"/>
      <c r="AD676" s="118"/>
      <c r="AE676" s="118"/>
      <c r="AF676" s="118"/>
      <c r="AG676" s="118"/>
      <c r="AH676" s="118"/>
      <c r="AI676" s="118"/>
      <c r="AJ676" s="118"/>
      <c r="AK676" s="118"/>
    </row>
    <row r="677" ht="9.75" customHeight="1">
      <c r="A677" s="118"/>
      <c r="B677" s="153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  <c r="AC677" s="118"/>
      <c r="AD677" s="118"/>
      <c r="AE677" s="118"/>
      <c r="AF677" s="118"/>
      <c r="AG677" s="118"/>
      <c r="AH677" s="118"/>
      <c r="AI677" s="118"/>
      <c r="AJ677" s="118"/>
      <c r="AK677" s="118"/>
    </row>
    <row r="678" ht="9.75" customHeight="1">
      <c r="A678" s="118"/>
      <c r="B678" s="153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  <c r="AC678" s="118"/>
      <c r="AD678" s="118"/>
      <c r="AE678" s="118"/>
      <c r="AF678" s="118"/>
      <c r="AG678" s="118"/>
      <c r="AH678" s="118"/>
      <c r="AI678" s="118"/>
      <c r="AJ678" s="118"/>
      <c r="AK678" s="118"/>
    </row>
    <row r="679" ht="9.75" customHeight="1">
      <c r="A679" s="118"/>
      <c r="B679" s="153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  <c r="AC679" s="118"/>
      <c r="AD679" s="118"/>
      <c r="AE679" s="118"/>
      <c r="AF679" s="118"/>
      <c r="AG679" s="118"/>
      <c r="AH679" s="118"/>
      <c r="AI679" s="118"/>
      <c r="AJ679" s="118"/>
      <c r="AK679" s="118"/>
    </row>
    <row r="680" ht="9.75" customHeight="1">
      <c r="A680" s="118"/>
      <c r="B680" s="153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  <c r="AC680" s="118"/>
      <c r="AD680" s="118"/>
      <c r="AE680" s="118"/>
      <c r="AF680" s="118"/>
      <c r="AG680" s="118"/>
      <c r="AH680" s="118"/>
      <c r="AI680" s="118"/>
      <c r="AJ680" s="118"/>
      <c r="AK680" s="118"/>
    </row>
    <row r="681" ht="9.75" customHeight="1">
      <c r="A681" s="118"/>
      <c r="B681" s="153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  <c r="AC681" s="118"/>
      <c r="AD681" s="118"/>
      <c r="AE681" s="118"/>
      <c r="AF681" s="118"/>
      <c r="AG681" s="118"/>
      <c r="AH681" s="118"/>
      <c r="AI681" s="118"/>
      <c r="AJ681" s="118"/>
      <c r="AK681" s="118"/>
    </row>
    <row r="682" ht="9.75" customHeight="1">
      <c r="A682" s="118"/>
      <c r="B682" s="153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  <c r="AC682" s="118"/>
      <c r="AD682" s="118"/>
      <c r="AE682" s="118"/>
      <c r="AF682" s="118"/>
      <c r="AG682" s="118"/>
      <c r="AH682" s="118"/>
      <c r="AI682" s="118"/>
      <c r="AJ682" s="118"/>
      <c r="AK682" s="118"/>
    </row>
    <row r="683" ht="9.75" customHeight="1">
      <c r="A683" s="118"/>
      <c r="B683" s="153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  <c r="AC683" s="118"/>
      <c r="AD683" s="118"/>
      <c r="AE683" s="118"/>
      <c r="AF683" s="118"/>
      <c r="AG683" s="118"/>
      <c r="AH683" s="118"/>
      <c r="AI683" s="118"/>
      <c r="AJ683" s="118"/>
      <c r="AK683" s="118"/>
    </row>
    <row r="684" ht="9.75" customHeight="1">
      <c r="A684" s="118"/>
      <c r="B684" s="153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  <c r="AC684" s="118"/>
      <c r="AD684" s="118"/>
      <c r="AE684" s="118"/>
      <c r="AF684" s="118"/>
      <c r="AG684" s="118"/>
      <c r="AH684" s="118"/>
      <c r="AI684" s="118"/>
      <c r="AJ684" s="118"/>
      <c r="AK684" s="118"/>
    </row>
    <row r="685" ht="9.75" customHeight="1">
      <c r="A685" s="118"/>
      <c r="B685" s="153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  <c r="AC685" s="118"/>
      <c r="AD685" s="118"/>
      <c r="AE685" s="118"/>
      <c r="AF685" s="118"/>
      <c r="AG685" s="118"/>
      <c r="AH685" s="118"/>
      <c r="AI685" s="118"/>
      <c r="AJ685" s="118"/>
      <c r="AK685" s="118"/>
    </row>
    <row r="686" ht="9.75" customHeight="1">
      <c r="A686" s="118"/>
      <c r="B686" s="153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  <c r="AC686" s="118"/>
      <c r="AD686" s="118"/>
      <c r="AE686" s="118"/>
      <c r="AF686" s="118"/>
      <c r="AG686" s="118"/>
      <c r="AH686" s="118"/>
      <c r="AI686" s="118"/>
      <c r="AJ686" s="118"/>
      <c r="AK686" s="118"/>
    </row>
    <row r="687" ht="9.75" customHeight="1">
      <c r="A687" s="118"/>
      <c r="B687" s="153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  <c r="AC687" s="118"/>
      <c r="AD687" s="118"/>
      <c r="AE687" s="118"/>
      <c r="AF687" s="118"/>
      <c r="AG687" s="118"/>
      <c r="AH687" s="118"/>
      <c r="AI687" s="118"/>
      <c r="AJ687" s="118"/>
      <c r="AK687" s="118"/>
    </row>
    <row r="688" ht="9.75" customHeight="1">
      <c r="A688" s="118"/>
      <c r="B688" s="153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  <c r="AC688" s="118"/>
      <c r="AD688" s="118"/>
      <c r="AE688" s="118"/>
      <c r="AF688" s="118"/>
      <c r="AG688" s="118"/>
      <c r="AH688" s="118"/>
      <c r="AI688" s="118"/>
      <c r="AJ688" s="118"/>
      <c r="AK688" s="118"/>
    </row>
    <row r="689" ht="9.75" customHeight="1">
      <c r="A689" s="118"/>
      <c r="B689" s="153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  <c r="AC689" s="118"/>
      <c r="AD689" s="118"/>
      <c r="AE689" s="118"/>
      <c r="AF689" s="118"/>
      <c r="AG689" s="118"/>
      <c r="AH689" s="118"/>
      <c r="AI689" s="118"/>
      <c r="AJ689" s="118"/>
      <c r="AK689" s="118"/>
    </row>
    <row r="690" ht="9.75" customHeight="1">
      <c r="A690" s="118"/>
      <c r="B690" s="153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  <c r="AC690" s="118"/>
      <c r="AD690" s="118"/>
      <c r="AE690" s="118"/>
      <c r="AF690" s="118"/>
      <c r="AG690" s="118"/>
      <c r="AH690" s="118"/>
      <c r="AI690" s="118"/>
      <c r="AJ690" s="118"/>
      <c r="AK690" s="118"/>
    </row>
    <row r="691" ht="9.75" customHeight="1">
      <c r="A691" s="118"/>
      <c r="B691" s="153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  <c r="AC691" s="118"/>
      <c r="AD691" s="118"/>
      <c r="AE691" s="118"/>
      <c r="AF691" s="118"/>
      <c r="AG691" s="118"/>
      <c r="AH691" s="118"/>
      <c r="AI691" s="118"/>
      <c r="AJ691" s="118"/>
      <c r="AK691" s="118"/>
    </row>
    <row r="692" ht="9.75" customHeight="1">
      <c r="A692" s="118"/>
      <c r="B692" s="153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  <c r="AC692" s="118"/>
      <c r="AD692" s="118"/>
      <c r="AE692" s="118"/>
      <c r="AF692" s="118"/>
      <c r="AG692" s="118"/>
      <c r="AH692" s="118"/>
      <c r="AI692" s="118"/>
      <c r="AJ692" s="118"/>
      <c r="AK692" s="118"/>
    </row>
    <row r="693" ht="9.75" customHeight="1">
      <c r="A693" s="118"/>
      <c r="B693" s="153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  <c r="AC693" s="118"/>
      <c r="AD693" s="118"/>
      <c r="AE693" s="118"/>
      <c r="AF693" s="118"/>
      <c r="AG693" s="118"/>
      <c r="AH693" s="118"/>
      <c r="AI693" s="118"/>
      <c r="AJ693" s="118"/>
      <c r="AK693" s="118"/>
    </row>
    <row r="694" ht="9.75" customHeight="1">
      <c r="A694" s="118"/>
      <c r="B694" s="153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  <c r="AC694" s="118"/>
      <c r="AD694" s="118"/>
      <c r="AE694" s="118"/>
      <c r="AF694" s="118"/>
      <c r="AG694" s="118"/>
      <c r="AH694" s="118"/>
      <c r="AI694" s="118"/>
      <c r="AJ694" s="118"/>
      <c r="AK694" s="118"/>
    </row>
    <row r="695" ht="9.75" customHeight="1">
      <c r="A695" s="114"/>
      <c r="B695" s="15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  <c r="AC695" s="114"/>
      <c r="AD695" s="114"/>
      <c r="AE695" s="114"/>
      <c r="AF695" s="114"/>
      <c r="AG695" s="114"/>
      <c r="AH695" s="114"/>
      <c r="AI695" s="114"/>
      <c r="AJ695" s="114"/>
      <c r="AK695" s="114"/>
    </row>
    <row r="696" ht="9.75" customHeight="1">
      <c r="A696" s="115"/>
      <c r="B696" s="15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15"/>
    </row>
    <row r="697" ht="9.75" customHeight="1">
      <c r="A697" s="44"/>
      <c r="B697" s="80"/>
      <c r="C697" s="81"/>
      <c r="D697" s="81"/>
      <c r="E697" s="82"/>
      <c r="F697" s="82"/>
      <c r="G697" s="94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150"/>
      <c r="S697" s="82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</row>
    <row r="698" ht="9.75" customHeight="1">
      <c r="A698" s="44"/>
      <c r="B698" s="80"/>
      <c r="C698" s="81"/>
      <c r="D698" s="81"/>
      <c r="E698" s="82"/>
      <c r="F698" s="82"/>
      <c r="G698" s="94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150"/>
      <c r="S698" s="82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</row>
    <row r="699" ht="9.75" customHeight="1">
      <c r="A699" s="44"/>
      <c r="B699" s="80"/>
      <c r="C699" s="81"/>
      <c r="D699" s="81"/>
      <c r="E699" s="82"/>
      <c r="F699" s="82"/>
      <c r="G699" s="94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150"/>
      <c r="S699" s="82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</row>
    <row r="700" ht="9.75" customHeight="1">
      <c r="A700" s="44"/>
      <c r="B700" s="80"/>
      <c r="C700" s="81"/>
      <c r="D700" s="81"/>
      <c r="E700" s="82"/>
      <c r="F700" s="82"/>
      <c r="G700" s="94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150"/>
      <c r="S700" s="82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</row>
    <row r="701" ht="9.75" customHeight="1">
      <c r="A701" s="44"/>
      <c r="B701" s="80"/>
      <c r="C701" s="81"/>
      <c r="D701" s="81"/>
      <c r="E701" s="82"/>
      <c r="F701" s="82"/>
      <c r="G701" s="94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150"/>
      <c r="S701" s="82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</row>
    <row r="702" ht="9.75" customHeight="1">
      <c r="A702" s="44"/>
      <c r="B702" s="80"/>
      <c r="C702" s="81"/>
      <c r="D702" s="81"/>
      <c r="E702" s="82"/>
      <c r="F702" s="82"/>
      <c r="G702" s="94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150"/>
      <c r="S702" s="82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</row>
    <row r="703" ht="9.75" customHeight="1">
      <c r="A703" s="44"/>
      <c r="B703" s="80"/>
      <c r="C703" s="81"/>
      <c r="D703" s="81"/>
      <c r="E703" s="82"/>
      <c r="F703" s="82"/>
      <c r="G703" s="94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150"/>
      <c r="S703" s="82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</row>
    <row r="704" ht="9.75" customHeight="1">
      <c r="A704" s="44"/>
      <c r="B704" s="80"/>
      <c r="C704" s="81"/>
      <c r="D704" s="81"/>
      <c r="E704" s="82"/>
      <c r="F704" s="82"/>
      <c r="G704" s="94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150"/>
      <c r="S704" s="82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</row>
    <row r="705" ht="9.75" customHeight="1">
      <c r="A705" s="44"/>
      <c r="B705" s="80"/>
      <c r="C705" s="81"/>
      <c r="D705" s="81"/>
      <c r="E705" s="82"/>
      <c r="F705" s="82"/>
      <c r="G705" s="94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150"/>
      <c r="S705" s="82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</row>
    <row r="706" ht="9.75" customHeight="1">
      <c r="A706" s="44"/>
      <c r="B706" s="80"/>
      <c r="C706" s="81"/>
      <c r="D706" s="81"/>
      <c r="E706" s="82"/>
      <c r="F706" s="82"/>
      <c r="G706" s="94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150"/>
      <c r="S706" s="82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</row>
    <row r="707" ht="9.75" customHeight="1">
      <c r="A707" s="44"/>
      <c r="B707" s="80"/>
      <c r="C707" s="81"/>
      <c r="D707" s="81"/>
      <c r="E707" s="82"/>
      <c r="F707" s="82"/>
      <c r="G707" s="94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150"/>
      <c r="S707" s="82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</row>
    <row r="708" ht="9.75" customHeight="1">
      <c r="A708" s="44"/>
      <c r="B708" s="80"/>
      <c r="C708" s="81"/>
      <c r="D708" s="81"/>
      <c r="E708" s="82"/>
      <c r="F708" s="82"/>
      <c r="G708" s="94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150"/>
      <c r="S708" s="82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</row>
    <row r="709" ht="9.75" customHeight="1">
      <c r="A709" s="44"/>
      <c r="B709" s="80"/>
      <c r="C709" s="81"/>
      <c r="D709" s="81"/>
      <c r="E709" s="82"/>
      <c r="F709" s="82"/>
      <c r="G709" s="94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150"/>
      <c r="S709" s="82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</row>
    <row r="710" ht="9.75" customHeight="1">
      <c r="A710" s="44"/>
      <c r="B710" s="80"/>
      <c r="C710" s="81"/>
      <c r="D710" s="81"/>
      <c r="E710" s="82"/>
      <c r="F710" s="82"/>
      <c r="G710" s="94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150"/>
      <c r="S710" s="82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</row>
    <row r="711" ht="9.75" customHeight="1">
      <c r="A711" s="44"/>
      <c r="B711" s="80"/>
      <c r="C711" s="81"/>
      <c r="D711" s="81"/>
      <c r="E711" s="82"/>
      <c r="F711" s="82"/>
      <c r="G711" s="94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150"/>
      <c r="S711" s="82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</row>
    <row r="712" ht="9.75" customHeight="1">
      <c r="A712" s="44"/>
      <c r="B712" s="80"/>
      <c r="C712" s="81"/>
      <c r="D712" s="81"/>
      <c r="E712" s="82"/>
      <c r="F712" s="82"/>
      <c r="G712" s="94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150"/>
      <c r="S712" s="82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</row>
    <row r="713" ht="9.75" customHeight="1">
      <c r="A713" s="44"/>
      <c r="B713" s="80"/>
      <c r="C713" s="81"/>
      <c r="D713" s="81"/>
      <c r="E713" s="82"/>
      <c r="F713" s="82"/>
      <c r="G713" s="94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150"/>
      <c r="S713" s="82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</row>
    <row r="714" ht="9.75" customHeight="1">
      <c r="A714" s="44"/>
      <c r="B714" s="80"/>
      <c r="C714" s="81"/>
      <c r="D714" s="81"/>
      <c r="E714" s="82"/>
      <c r="F714" s="82"/>
      <c r="G714" s="94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150"/>
      <c r="S714" s="82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</row>
    <row r="715" ht="9.75" customHeight="1">
      <c r="A715" s="44"/>
      <c r="B715" s="80"/>
      <c r="C715" s="81"/>
      <c r="D715" s="81"/>
      <c r="E715" s="82"/>
      <c r="F715" s="82"/>
      <c r="G715" s="94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150"/>
      <c r="S715" s="82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</row>
    <row r="716" ht="9.75" customHeight="1">
      <c r="A716" s="44"/>
      <c r="B716" s="80"/>
      <c r="C716" s="81"/>
      <c r="D716" s="81"/>
      <c r="E716" s="82"/>
      <c r="F716" s="82"/>
      <c r="G716" s="94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150"/>
      <c r="S716" s="82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</row>
    <row r="717" ht="9.75" customHeight="1">
      <c r="A717" s="44"/>
      <c r="B717" s="80"/>
      <c r="C717" s="81"/>
      <c r="D717" s="81"/>
      <c r="E717" s="82"/>
      <c r="F717" s="82"/>
      <c r="G717" s="94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150"/>
      <c r="S717" s="82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</row>
    <row r="718" ht="9.75" customHeight="1">
      <c r="A718" s="44"/>
      <c r="B718" s="80"/>
      <c r="C718" s="81"/>
      <c r="D718" s="81"/>
      <c r="E718" s="82"/>
      <c r="F718" s="82"/>
      <c r="G718" s="94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150"/>
      <c r="S718" s="82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</row>
    <row r="719" ht="9.75" customHeight="1">
      <c r="A719" s="44"/>
      <c r="B719" s="80"/>
      <c r="C719" s="81"/>
      <c r="D719" s="81"/>
      <c r="E719" s="82"/>
      <c r="F719" s="82"/>
      <c r="G719" s="94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150"/>
      <c r="S719" s="82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</row>
    <row r="720" ht="9.75" customHeight="1">
      <c r="A720" s="44"/>
      <c r="B720" s="80"/>
      <c r="C720" s="81"/>
      <c r="D720" s="81"/>
      <c r="E720" s="82"/>
      <c r="F720" s="82"/>
      <c r="G720" s="94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150"/>
      <c r="S720" s="82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</row>
    <row r="721" ht="9.75" customHeight="1">
      <c r="A721" s="44"/>
      <c r="B721" s="80"/>
      <c r="C721" s="81"/>
      <c r="D721" s="81"/>
      <c r="E721" s="82"/>
      <c r="F721" s="82"/>
      <c r="G721" s="94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150"/>
      <c r="S721" s="82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</row>
    <row r="722" ht="9.75" customHeight="1">
      <c r="A722" s="44"/>
      <c r="B722" s="80"/>
      <c r="C722" s="81"/>
      <c r="D722" s="81"/>
      <c r="E722" s="82"/>
      <c r="F722" s="82"/>
      <c r="G722" s="94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150"/>
      <c r="S722" s="82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</row>
    <row r="723" ht="9.75" customHeight="1">
      <c r="A723" s="44"/>
      <c r="B723" s="80"/>
      <c r="C723" s="81"/>
      <c r="D723" s="81"/>
      <c r="E723" s="82"/>
      <c r="F723" s="82"/>
      <c r="G723" s="94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150"/>
      <c r="S723" s="82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</row>
    <row r="724" ht="9.75" customHeight="1">
      <c r="A724" s="44"/>
      <c r="B724" s="80"/>
      <c r="C724" s="81"/>
      <c r="D724" s="81"/>
      <c r="E724" s="82"/>
      <c r="F724" s="82"/>
      <c r="G724" s="94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150"/>
      <c r="S724" s="82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</row>
    <row r="725" ht="9.75" customHeight="1">
      <c r="A725" s="44"/>
      <c r="B725" s="80"/>
      <c r="C725" s="81"/>
      <c r="D725" s="81"/>
      <c r="E725" s="82"/>
      <c r="F725" s="82"/>
      <c r="G725" s="94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150"/>
      <c r="S725" s="82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</row>
    <row r="726" ht="9.75" customHeight="1">
      <c r="A726" s="44"/>
      <c r="B726" s="80"/>
      <c r="C726" s="81"/>
      <c r="D726" s="81"/>
      <c r="E726" s="82"/>
      <c r="F726" s="82"/>
      <c r="G726" s="94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150"/>
      <c r="S726" s="82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</row>
    <row r="727" ht="9.75" customHeight="1">
      <c r="A727" s="44"/>
      <c r="B727" s="80"/>
      <c r="C727" s="81"/>
      <c r="D727" s="81"/>
      <c r="E727" s="82"/>
      <c r="F727" s="82"/>
      <c r="G727" s="94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150"/>
      <c r="S727" s="82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</row>
    <row r="728" ht="9.75" customHeight="1">
      <c r="A728" s="44"/>
      <c r="B728" s="80"/>
      <c r="C728" s="81"/>
      <c r="D728" s="81"/>
      <c r="E728" s="82"/>
      <c r="F728" s="82"/>
      <c r="G728" s="94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150"/>
      <c r="S728" s="82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</row>
    <row r="729" ht="9.75" customHeight="1">
      <c r="A729" s="44"/>
      <c r="B729" s="80"/>
      <c r="C729" s="81"/>
      <c r="D729" s="81"/>
      <c r="E729" s="82"/>
      <c r="F729" s="82"/>
      <c r="G729" s="94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150"/>
      <c r="S729" s="82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</row>
    <row r="730" ht="9.75" customHeight="1">
      <c r="A730" s="44"/>
      <c r="B730" s="80"/>
      <c r="C730" s="81"/>
      <c r="D730" s="81"/>
      <c r="E730" s="82"/>
      <c r="F730" s="82"/>
      <c r="G730" s="94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150"/>
      <c r="S730" s="82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</row>
    <row r="731" ht="9.75" customHeight="1">
      <c r="A731" s="44"/>
      <c r="B731" s="80"/>
      <c r="C731" s="81"/>
      <c r="D731" s="81"/>
      <c r="E731" s="82"/>
      <c r="F731" s="82"/>
      <c r="G731" s="94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150"/>
      <c r="S731" s="82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</row>
    <row r="732" ht="9.75" customHeight="1">
      <c r="A732" s="44"/>
      <c r="B732" s="151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</row>
    <row r="733" ht="9.75" customHeight="1">
      <c r="A733" s="44"/>
      <c r="B733" s="80"/>
      <c r="C733" s="81"/>
      <c r="D733" s="81"/>
      <c r="E733" s="82"/>
      <c r="F733" s="82"/>
      <c r="G733" s="94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150"/>
      <c r="S733" s="82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</row>
    <row r="734" ht="9.75" customHeight="1">
      <c r="A734" s="158"/>
      <c r="B734" s="159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  <c r="AG734" s="158"/>
      <c r="AH734" s="158"/>
      <c r="AI734" s="158"/>
      <c r="AJ734" s="158"/>
      <c r="AK734" s="158"/>
    </row>
    <row r="735" ht="9.75" customHeight="1">
      <c r="A735" s="158"/>
      <c r="B735" s="159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  <c r="AG735" s="158"/>
      <c r="AH735" s="158"/>
      <c r="AI735" s="158"/>
      <c r="AJ735" s="158"/>
      <c r="AK735" s="158"/>
    </row>
    <row r="736" ht="9.75" customHeight="1">
      <c r="A736" s="158"/>
      <c r="B736" s="159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  <c r="AG736" s="158"/>
      <c r="AH736" s="158"/>
      <c r="AI736" s="158"/>
      <c r="AJ736" s="158"/>
      <c r="AK736" s="158"/>
    </row>
    <row r="737" ht="9.75" customHeight="1">
      <c r="A737" s="158"/>
      <c r="B737" s="159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  <c r="AG737" s="158"/>
      <c r="AH737" s="158"/>
      <c r="AI737" s="158"/>
      <c r="AJ737" s="158"/>
      <c r="AK737" s="158"/>
    </row>
    <row r="738" ht="9.75" customHeight="1">
      <c r="A738" s="44"/>
      <c r="B738" s="80"/>
      <c r="C738" s="81"/>
      <c r="D738" s="81"/>
      <c r="E738" s="82"/>
      <c r="F738" s="82"/>
      <c r="G738" s="94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150"/>
      <c r="S738" s="82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</row>
    <row r="739" ht="9.75" customHeight="1">
      <c r="A739" s="44"/>
      <c r="B739" s="80"/>
      <c r="C739" s="81"/>
      <c r="D739" s="81"/>
      <c r="E739" s="82"/>
      <c r="F739" s="82"/>
      <c r="G739" s="94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150"/>
      <c r="S739" s="82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</row>
    <row r="740" ht="9.75" customHeight="1">
      <c r="A740" s="44"/>
      <c r="B740" s="80"/>
      <c r="C740" s="81"/>
      <c r="D740" s="81"/>
      <c r="E740" s="82"/>
      <c r="F740" s="82"/>
      <c r="G740" s="94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150"/>
      <c r="S740" s="82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</row>
    <row r="741" ht="9.75" customHeight="1">
      <c r="A741" s="44"/>
      <c r="B741" s="80"/>
      <c r="C741" s="81"/>
      <c r="D741" s="81"/>
      <c r="E741" s="82"/>
      <c r="F741" s="82"/>
      <c r="G741" s="94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150"/>
      <c r="S741" s="82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</row>
    <row r="742" ht="9.75" customHeight="1">
      <c r="A742" s="44"/>
      <c r="B742" s="80"/>
      <c r="C742" s="81"/>
      <c r="D742" s="81"/>
      <c r="E742" s="82"/>
      <c r="F742" s="82"/>
      <c r="G742" s="94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150"/>
      <c r="S742" s="82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</row>
    <row r="743" ht="9.75" customHeight="1">
      <c r="A743" s="44"/>
      <c r="B743" s="80"/>
      <c r="C743" s="81"/>
      <c r="D743" s="81"/>
      <c r="E743" s="82"/>
      <c r="F743" s="82"/>
      <c r="G743" s="94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150"/>
      <c r="S743" s="82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</row>
    <row r="744" ht="9.75" customHeight="1">
      <c r="A744" s="44"/>
      <c r="B744" s="80"/>
      <c r="C744" s="81"/>
      <c r="D744" s="81"/>
      <c r="E744" s="82"/>
      <c r="F744" s="82"/>
      <c r="G744" s="94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150"/>
      <c r="S744" s="82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</row>
    <row r="745" ht="9.75" customHeight="1">
      <c r="A745" s="44"/>
      <c r="B745" s="80"/>
      <c r="C745" s="81"/>
      <c r="D745" s="81"/>
      <c r="E745" s="82"/>
      <c r="F745" s="82"/>
      <c r="G745" s="94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150"/>
      <c r="S745" s="82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</row>
    <row r="746" ht="9.75" customHeight="1">
      <c r="A746" s="44"/>
      <c r="B746" s="80"/>
      <c r="C746" s="81"/>
      <c r="D746" s="81"/>
      <c r="E746" s="82"/>
      <c r="F746" s="82"/>
      <c r="G746" s="94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150"/>
      <c r="S746" s="82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</row>
    <row r="747" ht="9.75" customHeight="1">
      <c r="A747" s="44"/>
      <c r="B747" s="80"/>
      <c r="C747" s="81"/>
      <c r="D747" s="81"/>
      <c r="E747" s="82"/>
      <c r="F747" s="82"/>
      <c r="G747" s="94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150"/>
      <c r="S747" s="82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</row>
    <row r="748" ht="9.75" customHeight="1">
      <c r="A748" s="44"/>
      <c r="B748" s="80"/>
      <c r="C748" s="81"/>
      <c r="D748" s="81"/>
      <c r="E748" s="82"/>
      <c r="F748" s="82"/>
      <c r="G748" s="94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150"/>
      <c r="S748" s="82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</row>
    <row r="749" ht="9.75" customHeight="1">
      <c r="A749" s="44"/>
      <c r="B749" s="80"/>
      <c r="C749" s="81"/>
      <c r="D749" s="81"/>
      <c r="E749" s="82"/>
      <c r="F749" s="82"/>
      <c r="G749" s="94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150"/>
      <c r="S749" s="82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</row>
    <row r="750" ht="9.75" customHeight="1">
      <c r="A750" s="44"/>
      <c r="B750" s="80"/>
      <c r="C750" s="81"/>
      <c r="D750" s="81"/>
      <c r="E750" s="82"/>
      <c r="F750" s="82"/>
      <c r="G750" s="94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150"/>
      <c r="S750" s="82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</row>
    <row r="751" ht="9.75" customHeight="1">
      <c r="A751" s="44"/>
      <c r="B751" s="80"/>
      <c r="C751" s="81"/>
      <c r="D751" s="81"/>
      <c r="E751" s="82"/>
      <c r="F751" s="82"/>
      <c r="G751" s="94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150"/>
      <c r="S751" s="82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</row>
    <row r="752" ht="9.75" customHeight="1">
      <c r="A752" s="44"/>
      <c r="B752" s="80"/>
      <c r="C752" s="81"/>
      <c r="D752" s="81"/>
      <c r="E752" s="82"/>
      <c r="F752" s="82"/>
      <c r="G752" s="94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150"/>
      <c r="S752" s="82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</row>
    <row r="753" ht="9.75" customHeight="1">
      <c r="A753" s="44"/>
      <c r="B753" s="80"/>
      <c r="C753" s="81"/>
      <c r="D753" s="81"/>
      <c r="E753" s="82"/>
      <c r="F753" s="82"/>
      <c r="G753" s="94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150"/>
      <c r="S753" s="82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</row>
    <row r="754" ht="9.75" customHeight="1">
      <c r="A754" s="44"/>
      <c r="B754" s="80"/>
      <c r="C754" s="81"/>
      <c r="D754" s="81"/>
      <c r="E754" s="82"/>
      <c r="F754" s="82"/>
      <c r="G754" s="94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150"/>
      <c r="S754" s="82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</row>
    <row r="755" ht="9.75" customHeight="1">
      <c r="A755" s="44"/>
      <c r="B755" s="80"/>
      <c r="C755" s="81"/>
      <c r="D755" s="81"/>
      <c r="E755" s="82"/>
      <c r="F755" s="82"/>
      <c r="G755" s="94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150"/>
      <c r="S755" s="82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</row>
    <row r="756" ht="9.75" customHeight="1">
      <c r="A756" s="44"/>
      <c r="B756" s="80"/>
      <c r="C756" s="81"/>
      <c r="D756" s="81"/>
      <c r="E756" s="82"/>
      <c r="F756" s="82"/>
      <c r="G756" s="94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150"/>
      <c r="S756" s="82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</row>
    <row r="757" ht="9.75" customHeight="1">
      <c r="A757" s="44"/>
      <c r="B757" s="80"/>
      <c r="C757" s="81"/>
      <c r="D757" s="81"/>
      <c r="E757" s="82"/>
      <c r="F757" s="82"/>
      <c r="G757" s="94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150"/>
      <c r="S757" s="82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</row>
    <row r="758" ht="9.75" customHeight="1">
      <c r="A758" s="44"/>
      <c r="B758" s="80"/>
      <c r="C758" s="81"/>
      <c r="D758" s="81"/>
      <c r="E758" s="82"/>
      <c r="F758" s="82"/>
      <c r="G758" s="94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150"/>
      <c r="S758" s="82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</row>
    <row r="759" ht="9.75" customHeight="1">
      <c r="A759" s="44"/>
      <c r="B759" s="80"/>
      <c r="C759" s="81"/>
      <c r="D759" s="81"/>
      <c r="E759" s="82"/>
      <c r="F759" s="82"/>
      <c r="G759" s="94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150"/>
      <c r="S759" s="82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</row>
    <row r="760" ht="9.75" customHeight="1">
      <c r="A760" s="44"/>
      <c r="B760" s="80"/>
      <c r="C760" s="81"/>
      <c r="D760" s="81"/>
      <c r="E760" s="82"/>
      <c r="F760" s="82"/>
      <c r="G760" s="94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150"/>
      <c r="S760" s="82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</row>
    <row r="761" ht="9.75" customHeight="1">
      <c r="A761" s="44"/>
      <c r="B761" s="80"/>
      <c r="C761" s="81"/>
      <c r="D761" s="81"/>
      <c r="E761" s="82"/>
      <c r="F761" s="82"/>
      <c r="G761" s="94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150"/>
      <c r="S761" s="82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</row>
    <row r="762" ht="9.75" customHeight="1">
      <c r="A762" s="44"/>
      <c r="B762" s="80"/>
      <c r="C762" s="81"/>
      <c r="D762" s="81"/>
      <c r="E762" s="82"/>
      <c r="F762" s="82"/>
      <c r="G762" s="94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150"/>
      <c r="S762" s="82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</row>
    <row r="763" ht="9.75" customHeight="1">
      <c r="A763" s="44"/>
      <c r="B763" s="80"/>
      <c r="C763" s="81"/>
      <c r="D763" s="81"/>
      <c r="E763" s="82"/>
      <c r="F763" s="82"/>
      <c r="G763" s="94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150"/>
      <c r="S763" s="82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</row>
    <row r="764" ht="9.75" customHeight="1">
      <c r="A764" s="44"/>
      <c r="B764" s="80"/>
      <c r="C764" s="81"/>
      <c r="D764" s="81"/>
      <c r="E764" s="82"/>
      <c r="F764" s="82"/>
      <c r="G764" s="94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150"/>
      <c r="S764" s="82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</row>
    <row r="765" ht="9.75" customHeight="1">
      <c r="A765" s="44"/>
      <c r="B765" s="80"/>
      <c r="C765" s="81"/>
      <c r="D765" s="81"/>
      <c r="E765" s="82"/>
      <c r="F765" s="82"/>
      <c r="G765" s="94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150"/>
      <c r="S765" s="82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</row>
    <row r="766" ht="9.75" customHeight="1">
      <c r="A766" s="44"/>
      <c r="B766" s="80"/>
      <c r="C766" s="81"/>
      <c r="D766" s="81"/>
      <c r="E766" s="82"/>
      <c r="F766" s="82"/>
      <c r="G766" s="94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150"/>
      <c r="S766" s="82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</row>
    <row r="767" ht="9.75" customHeight="1">
      <c r="A767" s="44"/>
      <c r="B767" s="80"/>
      <c r="C767" s="81"/>
      <c r="D767" s="81"/>
      <c r="E767" s="82"/>
      <c r="F767" s="82"/>
      <c r="G767" s="94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150"/>
      <c r="S767" s="82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</row>
    <row r="768" ht="9.75" customHeight="1">
      <c r="A768" s="44"/>
      <c r="B768" s="80"/>
      <c r="C768" s="81"/>
      <c r="D768" s="81"/>
      <c r="E768" s="82"/>
      <c r="F768" s="82"/>
      <c r="G768" s="94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150"/>
      <c r="S768" s="82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</row>
    <row r="769" ht="9.75" customHeight="1">
      <c r="A769" s="44"/>
      <c r="B769" s="80"/>
      <c r="C769" s="81"/>
      <c r="D769" s="81"/>
      <c r="E769" s="82"/>
      <c r="F769" s="82"/>
      <c r="G769" s="94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150"/>
      <c r="S769" s="82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</row>
    <row r="770" ht="9.75" customHeight="1">
      <c r="A770" s="44"/>
      <c r="B770" s="80"/>
      <c r="C770" s="81"/>
      <c r="D770" s="81"/>
      <c r="E770" s="82"/>
      <c r="F770" s="82"/>
      <c r="G770" s="94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150"/>
      <c r="S770" s="82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</row>
    <row r="771" ht="9.75" customHeight="1">
      <c r="A771" s="44"/>
      <c r="B771" s="80"/>
      <c r="C771" s="81"/>
      <c r="D771" s="81"/>
      <c r="E771" s="82"/>
      <c r="F771" s="82"/>
      <c r="G771" s="94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150"/>
      <c r="S771" s="82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</row>
    <row r="772" ht="9.75" customHeight="1">
      <c r="A772" s="44"/>
      <c r="B772" s="80"/>
      <c r="C772" s="81"/>
      <c r="D772" s="81"/>
      <c r="E772" s="82"/>
      <c r="F772" s="82"/>
      <c r="G772" s="94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150"/>
      <c r="S772" s="82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</row>
    <row r="773" ht="9.75" customHeight="1">
      <c r="A773" s="44"/>
      <c r="B773" s="80"/>
      <c r="C773" s="81"/>
      <c r="D773" s="81"/>
      <c r="E773" s="82"/>
      <c r="F773" s="82"/>
      <c r="G773" s="94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150"/>
      <c r="S773" s="82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</row>
    <row r="774" ht="9.75" customHeight="1">
      <c r="A774" s="44"/>
      <c r="B774" s="80"/>
      <c r="C774" s="81"/>
      <c r="D774" s="81"/>
      <c r="E774" s="82"/>
      <c r="F774" s="82"/>
      <c r="G774" s="94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150"/>
      <c r="S774" s="82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</row>
    <row r="775" ht="9.75" customHeight="1">
      <c r="A775" s="44"/>
      <c r="B775" s="80"/>
      <c r="C775" s="81"/>
      <c r="D775" s="81"/>
      <c r="E775" s="82"/>
      <c r="F775" s="82"/>
      <c r="G775" s="94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150"/>
      <c r="S775" s="82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</row>
    <row r="776" ht="9.75" customHeight="1">
      <c r="A776" s="44"/>
      <c r="B776" s="80"/>
      <c r="C776" s="81"/>
      <c r="D776" s="81"/>
      <c r="E776" s="82"/>
      <c r="F776" s="82"/>
      <c r="G776" s="94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150"/>
      <c r="S776" s="82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</row>
    <row r="777" ht="9.75" customHeight="1">
      <c r="A777" s="44"/>
      <c r="B777" s="80"/>
      <c r="C777" s="81"/>
      <c r="D777" s="81"/>
      <c r="E777" s="82"/>
      <c r="F777" s="82"/>
      <c r="G777" s="94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150"/>
      <c r="S777" s="82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</row>
    <row r="778" ht="9.75" customHeight="1">
      <c r="A778" s="44"/>
      <c r="B778" s="80"/>
      <c r="C778" s="81"/>
      <c r="D778" s="81"/>
      <c r="E778" s="82"/>
      <c r="F778" s="82"/>
      <c r="G778" s="94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150"/>
      <c r="S778" s="82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</row>
    <row r="779" ht="9.75" customHeight="1">
      <c r="A779" s="44"/>
      <c r="B779" s="80"/>
      <c r="C779" s="81"/>
      <c r="D779" s="81"/>
      <c r="E779" s="82"/>
      <c r="F779" s="82"/>
      <c r="G779" s="94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150"/>
      <c r="S779" s="82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</row>
    <row r="780" ht="9.75" customHeight="1">
      <c r="A780" s="44"/>
      <c r="B780" s="80"/>
      <c r="C780" s="81"/>
      <c r="D780" s="81"/>
      <c r="E780" s="82"/>
      <c r="F780" s="82"/>
      <c r="G780" s="94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150"/>
      <c r="S780" s="82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</row>
    <row r="781" ht="9.75" customHeight="1">
      <c r="A781" s="44"/>
      <c r="B781" s="80"/>
      <c r="C781" s="81"/>
      <c r="D781" s="81"/>
      <c r="E781" s="82"/>
      <c r="F781" s="82"/>
      <c r="G781" s="94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150"/>
      <c r="S781" s="82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</row>
    <row r="782" ht="9.75" customHeight="1">
      <c r="A782" s="44"/>
      <c r="B782" s="151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</row>
    <row r="783" ht="9.75" customHeight="1">
      <c r="A783" s="44"/>
      <c r="B783" s="151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</row>
    <row r="784" ht="9.75" customHeight="1">
      <c r="A784" s="44"/>
      <c r="B784" s="151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</row>
    <row r="785" ht="9.75" customHeight="1">
      <c r="A785" s="44"/>
      <c r="B785" s="151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</row>
    <row r="786" ht="9.75" customHeight="1">
      <c r="A786" s="44"/>
      <c r="B786" s="151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</row>
    <row r="787" ht="9.75" customHeight="1">
      <c r="A787" s="44"/>
      <c r="B787" s="151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</row>
    <row r="788" ht="9.75" customHeight="1">
      <c r="A788" s="44"/>
      <c r="B788" s="151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</row>
    <row r="789" ht="9.75" customHeight="1">
      <c r="A789" s="44"/>
      <c r="B789" s="151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</row>
    <row r="790" ht="9.75" customHeight="1">
      <c r="A790" s="44"/>
      <c r="B790" s="151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</row>
    <row r="791" ht="9.75" customHeight="1">
      <c r="A791" s="44"/>
      <c r="B791" s="151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</row>
    <row r="792" ht="9.75" customHeight="1">
      <c r="A792" s="44"/>
      <c r="B792" s="151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</row>
    <row r="793" ht="9.75" customHeight="1">
      <c r="A793" s="44"/>
      <c r="B793" s="151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</row>
    <row r="794" ht="9.75" customHeight="1">
      <c r="A794" s="44"/>
      <c r="B794" s="151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</row>
    <row r="795" ht="9.75" customHeight="1">
      <c r="A795" s="44"/>
      <c r="B795" s="151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</row>
    <row r="796" ht="9.75" customHeight="1">
      <c r="A796" s="44"/>
      <c r="B796" s="151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</row>
    <row r="797" ht="9.75" customHeight="1">
      <c r="A797" s="44"/>
      <c r="B797" s="151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</row>
    <row r="798" ht="9.75" customHeight="1">
      <c r="A798" s="44"/>
      <c r="B798" s="151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</row>
    <row r="799" ht="9.75" customHeight="1">
      <c r="A799" s="44"/>
      <c r="B799" s="151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</row>
    <row r="800" ht="9.75" customHeight="1">
      <c r="A800" s="44"/>
      <c r="B800" s="151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</row>
    <row r="801" ht="9.75" customHeight="1">
      <c r="A801" s="44"/>
      <c r="B801" s="151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</row>
    <row r="802" ht="9.75" customHeight="1">
      <c r="A802" s="44"/>
      <c r="B802" s="151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</row>
    <row r="803" ht="9.75" customHeight="1">
      <c r="A803" s="44"/>
      <c r="B803" s="151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</row>
    <row r="804" ht="9.75" customHeight="1">
      <c r="A804" s="44"/>
      <c r="B804" s="151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</row>
    <row r="805" ht="9.75" customHeight="1">
      <c r="A805" s="44"/>
      <c r="B805" s="151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</row>
    <row r="806" ht="9.75" customHeight="1">
      <c r="A806" s="44"/>
      <c r="B806" s="151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</row>
    <row r="807" ht="9.75" customHeight="1">
      <c r="A807" s="44"/>
      <c r="B807" s="151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</row>
    <row r="808" ht="9.75" customHeight="1">
      <c r="A808" s="44"/>
      <c r="B808" s="151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</row>
    <row r="809" ht="9.75" customHeight="1">
      <c r="A809" s="44"/>
      <c r="B809" s="151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</row>
    <row r="810" ht="9.75" customHeight="1">
      <c r="A810" s="44"/>
      <c r="B810" s="151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</row>
    <row r="811" ht="9.75" customHeight="1">
      <c r="A811" s="44"/>
      <c r="B811" s="151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</row>
    <row r="812" ht="9.75" customHeight="1">
      <c r="A812" s="44"/>
      <c r="B812" s="151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</row>
    <row r="813" ht="9.75" customHeight="1">
      <c r="A813" s="44"/>
      <c r="B813" s="151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</row>
    <row r="814" ht="9.75" customHeight="1">
      <c r="A814" s="44"/>
      <c r="B814" s="151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</row>
    <row r="815" ht="9.75" customHeight="1">
      <c r="A815" s="44"/>
      <c r="B815" s="151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</row>
    <row r="816" ht="9.75" customHeight="1">
      <c r="A816" s="44"/>
      <c r="B816" s="151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</row>
    <row r="817" ht="9.75" customHeight="1">
      <c r="A817" s="44"/>
      <c r="B817" s="151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</row>
    <row r="818" ht="9.75" customHeight="1">
      <c r="A818" s="95"/>
      <c r="B818" s="152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</row>
    <row r="819" ht="9.75" customHeight="1">
      <c r="A819" s="95"/>
      <c r="B819" s="152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</row>
    <row r="820" ht="9.75" customHeight="1">
      <c r="A820" s="44"/>
      <c r="B820" s="80"/>
      <c r="C820" s="81"/>
      <c r="D820" s="81"/>
      <c r="E820" s="82"/>
      <c r="F820" s="82"/>
      <c r="G820" s="94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150"/>
      <c r="S820" s="82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</row>
    <row r="821" ht="9.75" customHeight="1">
      <c r="A821" s="44"/>
      <c r="B821" s="80"/>
      <c r="C821" s="81"/>
      <c r="D821" s="81"/>
      <c r="E821" s="82"/>
      <c r="F821" s="82"/>
      <c r="G821" s="94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150"/>
      <c r="S821" s="82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</row>
    <row r="822" ht="9.75" customHeight="1">
      <c r="A822" s="44"/>
      <c r="B822" s="80"/>
      <c r="C822" s="81"/>
      <c r="D822" s="81"/>
      <c r="E822" s="82"/>
      <c r="F822" s="82"/>
      <c r="G822" s="94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150"/>
      <c r="S822" s="82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</row>
    <row r="823" ht="9.75" customHeight="1">
      <c r="A823" s="44"/>
      <c r="B823" s="80"/>
      <c r="C823" s="81"/>
      <c r="D823" s="81"/>
      <c r="E823" s="82"/>
      <c r="F823" s="82"/>
      <c r="G823" s="94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150"/>
      <c r="S823" s="82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</row>
    <row r="824" ht="9.75" customHeight="1">
      <c r="A824" s="44"/>
      <c r="B824" s="80"/>
      <c r="C824" s="81"/>
      <c r="D824" s="81"/>
      <c r="E824" s="82"/>
      <c r="F824" s="82"/>
      <c r="G824" s="94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150"/>
      <c r="S824" s="82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</row>
    <row r="825" ht="9.75" customHeight="1">
      <c r="A825" s="44"/>
      <c r="B825" s="80"/>
      <c r="C825" s="81"/>
      <c r="D825" s="81"/>
      <c r="E825" s="82"/>
      <c r="F825" s="82"/>
      <c r="G825" s="94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150"/>
      <c r="S825" s="82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</row>
    <row r="826" ht="9.75" customHeight="1">
      <c r="A826" s="44"/>
      <c r="B826" s="80"/>
      <c r="C826" s="81"/>
      <c r="D826" s="81"/>
      <c r="E826" s="82"/>
      <c r="F826" s="82"/>
      <c r="G826" s="94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150"/>
      <c r="S826" s="82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</row>
    <row r="827" ht="9.75" customHeight="1">
      <c r="A827" s="44"/>
      <c r="B827" s="80"/>
      <c r="C827" s="81"/>
      <c r="D827" s="81"/>
      <c r="E827" s="82"/>
      <c r="F827" s="82"/>
      <c r="G827" s="94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150"/>
      <c r="S827" s="82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</row>
    <row r="828" ht="9.75" customHeight="1">
      <c r="A828" s="44"/>
      <c r="B828" s="80"/>
      <c r="C828" s="81"/>
      <c r="D828" s="81"/>
      <c r="E828" s="82"/>
      <c r="F828" s="82"/>
      <c r="G828" s="94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150"/>
      <c r="S828" s="82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</row>
    <row r="829" ht="9.75" customHeight="1">
      <c r="A829" s="118"/>
      <c r="B829" s="153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  <c r="AC829" s="118"/>
      <c r="AD829" s="118"/>
      <c r="AE829" s="118"/>
      <c r="AF829" s="118"/>
      <c r="AG829" s="118"/>
      <c r="AH829" s="118"/>
      <c r="AI829" s="118"/>
      <c r="AJ829" s="118"/>
      <c r="AK829" s="118"/>
    </row>
    <row r="830" ht="9.75" customHeight="1">
      <c r="A830" s="118"/>
      <c r="B830" s="153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  <c r="AC830" s="118"/>
      <c r="AD830" s="118"/>
      <c r="AE830" s="118"/>
      <c r="AF830" s="118"/>
      <c r="AG830" s="118"/>
      <c r="AH830" s="118"/>
      <c r="AI830" s="118"/>
      <c r="AJ830" s="118"/>
      <c r="AK830" s="118"/>
    </row>
    <row r="831" ht="9.75" customHeight="1">
      <c r="A831" s="118"/>
      <c r="B831" s="153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  <c r="AC831" s="118"/>
      <c r="AD831" s="118"/>
      <c r="AE831" s="118"/>
      <c r="AF831" s="118"/>
      <c r="AG831" s="118"/>
      <c r="AH831" s="118"/>
      <c r="AI831" s="118"/>
      <c r="AJ831" s="118"/>
      <c r="AK831" s="118"/>
    </row>
    <row r="832" ht="9.75" customHeight="1">
      <c r="A832" s="118"/>
      <c r="B832" s="153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  <c r="AC832" s="118"/>
      <c r="AD832" s="118"/>
      <c r="AE832" s="118"/>
      <c r="AF832" s="118"/>
      <c r="AG832" s="118"/>
      <c r="AH832" s="118"/>
      <c r="AI832" s="118"/>
      <c r="AJ832" s="118"/>
      <c r="AK832" s="118"/>
    </row>
    <row r="833" ht="9.75" customHeight="1">
      <c r="A833" s="118"/>
      <c r="B833" s="153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8"/>
      <c r="AF833" s="118"/>
      <c r="AG833" s="118"/>
      <c r="AH833" s="118"/>
      <c r="AI833" s="118"/>
      <c r="AJ833" s="118"/>
      <c r="AK833" s="118"/>
    </row>
    <row r="834" ht="9.75" customHeight="1">
      <c r="A834" s="118"/>
      <c r="B834" s="153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8"/>
      <c r="AF834" s="118"/>
      <c r="AG834" s="118"/>
      <c r="AH834" s="118"/>
      <c r="AI834" s="118"/>
      <c r="AJ834" s="118"/>
      <c r="AK834" s="118"/>
    </row>
    <row r="835" ht="9.75" customHeight="1">
      <c r="A835" s="118"/>
      <c r="B835" s="153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8"/>
      <c r="AF835" s="118"/>
      <c r="AG835" s="118"/>
      <c r="AH835" s="118"/>
      <c r="AI835" s="118"/>
      <c r="AJ835" s="118"/>
      <c r="AK835" s="118"/>
    </row>
    <row r="836" ht="9.75" customHeight="1">
      <c r="A836" s="118"/>
      <c r="B836" s="153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8"/>
      <c r="AF836" s="118"/>
      <c r="AG836" s="118"/>
      <c r="AH836" s="118"/>
      <c r="AI836" s="118"/>
      <c r="AJ836" s="118"/>
      <c r="AK836" s="118"/>
    </row>
    <row r="837" ht="9.75" customHeight="1">
      <c r="A837" s="118"/>
      <c r="B837" s="153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8"/>
      <c r="AF837" s="118"/>
      <c r="AG837" s="118"/>
      <c r="AH837" s="118"/>
      <c r="AI837" s="118"/>
      <c r="AJ837" s="118"/>
      <c r="AK837" s="118"/>
    </row>
    <row r="838" ht="9.75" customHeight="1">
      <c r="A838" s="118"/>
      <c r="B838" s="153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8"/>
      <c r="AF838" s="118"/>
      <c r="AG838" s="118"/>
      <c r="AH838" s="118"/>
      <c r="AI838" s="118"/>
      <c r="AJ838" s="118"/>
      <c r="AK838" s="118"/>
    </row>
    <row r="839" ht="9.75" customHeight="1">
      <c r="A839" s="118"/>
      <c r="B839" s="153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8"/>
      <c r="AF839" s="118"/>
      <c r="AG839" s="118"/>
      <c r="AH839" s="118"/>
      <c r="AI839" s="118"/>
      <c r="AJ839" s="118"/>
      <c r="AK839" s="118"/>
    </row>
    <row r="840" ht="9.75" customHeight="1">
      <c r="A840" s="118"/>
      <c r="B840" s="153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8"/>
      <c r="AF840" s="118"/>
      <c r="AG840" s="118"/>
      <c r="AH840" s="118"/>
      <c r="AI840" s="118"/>
      <c r="AJ840" s="118"/>
      <c r="AK840" s="118"/>
    </row>
    <row r="841" ht="9.75" customHeight="1">
      <c r="A841" s="118"/>
      <c r="B841" s="153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8"/>
      <c r="AF841" s="118"/>
      <c r="AG841" s="118"/>
      <c r="AH841" s="118"/>
      <c r="AI841" s="118"/>
      <c r="AJ841" s="118"/>
      <c r="AK841" s="118"/>
    </row>
    <row r="842" ht="9.75" customHeight="1">
      <c r="A842" s="118"/>
      <c r="B842" s="153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8"/>
      <c r="AF842" s="118"/>
      <c r="AG842" s="118"/>
      <c r="AH842" s="118"/>
      <c r="AI842" s="118"/>
      <c r="AJ842" s="118"/>
      <c r="AK842" s="118"/>
    </row>
    <row r="843" ht="9.75" customHeight="1">
      <c r="A843" s="118"/>
      <c r="B843" s="153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8"/>
      <c r="AF843" s="118"/>
      <c r="AG843" s="118"/>
      <c r="AH843" s="118"/>
      <c r="AI843" s="118"/>
      <c r="AJ843" s="118"/>
      <c r="AK843" s="118"/>
    </row>
    <row r="844" ht="9.75" customHeight="1">
      <c r="A844" s="118"/>
      <c r="B844" s="153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8"/>
      <c r="AF844" s="118"/>
      <c r="AG844" s="118"/>
      <c r="AH844" s="118"/>
      <c r="AI844" s="118"/>
      <c r="AJ844" s="118"/>
      <c r="AK844" s="118"/>
    </row>
    <row r="845" ht="9.75" customHeight="1">
      <c r="A845" s="118"/>
      <c r="B845" s="153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  <c r="AC845" s="118"/>
      <c r="AD845" s="118"/>
      <c r="AE845" s="118"/>
      <c r="AF845" s="118"/>
      <c r="AG845" s="118"/>
      <c r="AH845" s="118"/>
      <c r="AI845" s="118"/>
      <c r="AJ845" s="118"/>
      <c r="AK845" s="118"/>
    </row>
    <row r="846" ht="9.75" customHeight="1">
      <c r="A846" s="118"/>
      <c r="B846" s="153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  <c r="AC846" s="118"/>
      <c r="AD846" s="118"/>
      <c r="AE846" s="118"/>
      <c r="AF846" s="118"/>
      <c r="AG846" s="118"/>
      <c r="AH846" s="118"/>
      <c r="AI846" s="118"/>
      <c r="AJ846" s="118"/>
      <c r="AK846" s="118"/>
    </row>
    <row r="847" ht="9.75" customHeight="1">
      <c r="A847" s="118"/>
      <c r="B847" s="153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  <c r="AC847" s="118"/>
      <c r="AD847" s="118"/>
      <c r="AE847" s="118"/>
      <c r="AF847" s="118"/>
      <c r="AG847" s="118"/>
      <c r="AH847" s="118"/>
      <c r="AI847" s="118"/>
      <c r="AJ847" s="118"/>
      <c r="AK847" s="118"/>
    </row>
    <row r="848" ht="9.75" customHeight="1">
      <c r="A848" s="118"/>
      <c r="B848" s="153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  <c r="AC848" s="118"/>
      <c r="AD848" s="118"/>
      <c r="AE848" s="118"/>
      <c r="AF848" s="118"/>
      <c r="AG848" s="118"/>
      <c r="AH848" s="118"/>
      <c r="AI848" s="118"/>
      <c r="AJ848" s="118"/>
      <c r="AK848" s="118"/>
    </row>
    <row r="849" ht="9.75" customHeight="1">
      <c r="A849" s="118"/>
      <c r="B849" s="153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  <c r="AC849" s="118"/>
      <c r="AD849" s="118"/>
      <c r="AE849" s="118"/>
      <c r="AF849" s="118"/>
      <c r="AG849" s="118"/>
      <c r="AH849" s="118"/>
      <c r="AI849" s="118"/>
      <c r="AJ849" s="118"/>
      <c r="AK849" s="118"/>
    </row>
    <row r="850" ht="9.75" customHeight="1">
      <c r="A850" s="118"/>
      <c r="B850" s="153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  <c r="AC850" s="118"/>
      <c r="AD850" s="118"/>
      <c r="AE850" s="118"/>
      <c r="AF850" s="118"/>
      <c r="AG850" s="118"/>
      <c r="AH850" s="118"/>
      <c r="AI850" s="118"/>
      <c r="AJ850" s="118"/>
      <c r="AK850" s="118"/>
    </row>
    <row r="851" ht="9.75" customHeight="1">
      <c r="A851" s="118"/>
      <c r="B851" s="153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  <c r="AC851" s="118"/>
      <c r="AD851" s="118"/>
      <c r="AE851" s="118"/>
      <c r="AF851" s="118"/>
      <c r="AG851" s="118"/>
      <c r="AH851" s="118"/>
      <c r="AI851" s="118"/>
      <c r="AJ851" s="118"/>
      <c r="AK851" s="118"/>
    </row>
    <row r="852" ht="9.75" customHeight="1">
      <c r="A852" s="118"/>
      <c r="B852" s="153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  <c r="AC852" s="118"/>
      <c r="AD852" s="118"/>
      <c r="AE852" s="118"/>
      <c r="AF852" s="118"/>
      <c r="AG852" s="118"/>
      <c r="AH852" s="118"/>
      <c r="AI852" s="118"/>
      <c r="AJ852" s="118"/>
      <c r="AK852" s="118"/>
    </row>
    <row r="853" ht="9.75" customHeight="1">
      <c r="A853" s="118"/>
      <c r="B853" s="153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  <c r="AC853" s="118"/>
      <c r="AD853" s="118"/>
      <c r="AE853" s="118"/>
      <c r="AF853" s="118"/>
      <c r="AG853" s="118"/>
      <c r="AH853" s="118"/>
      <c r="AI853" s="118"/>
      <c r="AJ853" s="118"/>
      <c r="AK853" s="118"/>
    </row>
    <row r="854" ht="9.75" customHeight="1">
      <c r="A854" s="118"/>
      <c r="B854" s="153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  <c r="AC854" s="118"/>
      <c r="AD854" s="118"/>
      <c r="AE854" s="118"/>
      <c r="AF854" s="118"/>
      <c r="AG854" s="118"/>
      <c r="AH854" s="118"/>
      <c r="AI854" s="118"/>
      <c r="AJ854" s="118"/>
      <c r="AK854" s="118"/>
    </row>
    <row r="855" ht="9.75" customHeight="1">
      <c r="A855" s="118"/>
      <c r="B855" s="153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  <c r="AC855" s="118"/>
      <c r="AD855" s="118"/>
      <c r="AE855" s="118"/>
      <c r="AF855" s="118"/>
      <c r="AG855" s="118"/>
      <c r="AH855" s="118"/>
      <c r="AI855" s="118"/>
      <c r="AJ855" s="118"/>
      <c r="AK855" s="118"/>
    </row>
    <row r="856" ht="9.75" customHeight="1">
      <c r="A856" s="118"/>
      <c r="B856" s="153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  <c r="AC856" s="118"/>
      <c r="AD856" s="118"/>
      <c r="AE856" s="118"/>
      <c r="AF856" s="118"/>
      <c r="AG856" s="118"/>
      <c r="AH856" s="118"/>
      <c r="AI856" s="118"/>
      <c r="AJ856" s="118"/>
      <c r="AK856" s="118"/>
    </row>
    <row r="857" ht="9.75" customHeight="1">
      <c r="A857" s="118"/>
      <c r="B857" s="153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  <c r="AC857" s="118"/>
      <c r="AD857" s="118"/>
      <c r="AE857" s="118"/>
      <c r="AF857" s="118"/>
      <c r="AG857" s="118"/>
      <c r="AH857" s="118"/>
      <c r="AI857" s="118"/>
      <c r="AJ857" s="118"/>
      <c r="AK857" s="118"/>
    </row>
    <row r="858" ht="9.75" customHeight="1">
      <c r="A858" s="118"/>
      <c r="B858" s="153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  <c r="AC858" s="118"/>
      <c r="AD858" s="118"/>
      <c r="AE858" s="118"/>
      <c r="AF858" s="118"/>
      <c r="AG858" s="118"/>
      <c r="AH858" s="118"/>
      <c r="AI858" s="118"/>
      <c r="AJ858" s="118"/>
      <c r="AK858" s="118"/>
    </row>
    <row r="859" ht="9.75" customHeight="1">
      <c r="A859" s="118"/>
      <c r="B859" s="153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  <c r="AC859" s="118"/>
      <c r="AD859" s="118"/>
      <c r="AE859" s="118"/>
      <c r="AF859" s="118"/>
      <c r="AG859" s="118"/>
      <c r="AH859" s="118"/>
      <c r="AI859" s="118"/>
      <c r="AJ859" s="118"/>
      <c r="AK859" s="118"/>
    </row>
    <row r="860" ht="9.75" customHeight="1">
      <c r="A860" s="118"/>
      <c r="B860" s="153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</row>
    <row r="861" ht="9.75" customHeight="1">
      <c r="A861" s="118"/>
      <c r="B861" s="153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  <c r="AC861" s="118"/>
      <c r="AD861" s="118"/>
      <c r="AE861" s="118"/>
      <c r="AF861" s="118"/>
      <c r="AG861" s="118"/>
      <c r="AH861" s="118"/>
      <c r="AI861" s="118"/>
      <c r="AJ861" s="118"/>
      <c r="AK861" s="118"/>
    </row>
    <row r="862" ht="9.75" customHeight="1">
      <c r="A862" s="118"/>
      <c r="B862" s="153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  <c r="AC862" s="118"/>
      <c r="AD862" s="118"/>
      <c r="AE862" s="118"/>
      <c r="AF862" s="118"/>
      <c r="AG862" s="118"/>
      <c r="AH862" s="118"/>
      <c r="AI862" s="118"/>
      <c r="AJ862" s="118"/>
      <c r="AK862" s="118"/>
    </row>
    <row r="863" ht="9.75" customHeight="1">
      <c r="A863" s="118"/>
      <c r="B863" s="153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  <c r="AC863" s="118"/>
      <c r="AD863" s="118"/>
      <c r="AE863" s="118"/>
      <c r="AF863" s="118"/>
      <c r="AG863" s="118"/>
      <c r="AH863" s="118"/>
      <c r="AI863" s="118"/>
      <c r="AJ863" s="118"/>
      <c r="AK863" s="118"/>
    </row>
    <row r="864" ht="9.75" customHeight="1">
      <c r="A864" s="118"/>
      <c r="B864" s="153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  <c r="AC864" s="118"/>
      <c r="AD864" s="118"/>
      <c r="AE864" s="118"/>
      <c r="AF864" s="118"/>
      <c r="AG864" s="118"/>
      <c r="AH864" s="118"/>
      <c r="AI864" s="118"/>
      <c r="AJ864" s="118"/>
      <c r="AK864" s="118"/>
    </row>
    <row r="865" ht="9.75" customHeight="1">
      <c r="A865" s="118"/>
      <c r="B865" s="153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  <c r="AC865" s="118"/>
      <c r="AD865" s="118"/>
      <c r="AE865" s="118"/>
      <c r="AF865" s="118"/>
      <c r="AG865" s="118"/>
      <c r="AH865" s="118"/>
      <c r="AI865" s="118"/>
      <c r="AJ865" s="118"/>
      <c r="AK865" s="118"/>
    </row>
    <row r="866" ht="9.75" customHeight="1">
      <c r="A866" s="118"/>
      <c r="B866" s="153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  <c r="AC866" s="118"/>
      <c r="AD866" s="118"/>
      <c r="AE866" s="118"/>
      <c r="AF866" s="118"/>
      <c r="AG866" s="118"/>
      <c r="AH866" s="118"/>
      <c r="AI866" s="118"/>
      <c r="AJ866" s="118"/>
      <c r="AK866" s="118"/>
    </row>
    <row r="867" ht="9.75" customHeight="1">
      <c r="A867" s="118"/>
      <c r="B867" s="153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  <c r="AC867" s="118"/>
      <c r="AD867" s="118"/>
      <c r="AE867" s="118"/>
      <c r="AF867" s="118"/>
      <c r="AG867" s="118"/>
      <c r="AH867" s="118"/>
      <c r="AI867" s="118"/>
      <c r="AJ867" s="118"/>
      <c r="AK867" s="118"/>
    </row>
    <row r="868" ht="9.75" customHeight="1">
      <c r="A868" s="118"/>
      <c r="B868" s="153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  <c r="AC868" s="118"/>
      <c r="AD868" s="118"/>
      <c r="AE868" s="118"/>
      <c r="AF868" s="118"/>
      <c r="AG868" s="118"/>
      <c r="AH868" s="118"/>
      <c r="AI868" s="118"/>
      <c r="AJ868" s="118"/>
      <c r="AK868" s="118"/>
    </row>
    <row r="869" ht="9.75" customHeight="1">
      <c r="A869" s="118"/>
      <c r="B869" s="153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  <c r="AC869" s="118"/>
      <c r="AD869" s="118"/>
      <c r="AE869" s="118"/>
      <c r="AF869" s="118"/>
      <c r="AG869" s="118"/>
      <c r="AH869" s="118"/>
      <c r="AI869" s="118"/>
      <c r="AJ869" s="118"/>
      <c r="AK869" s="118"/>
    </row>
    <row r="870" ht="9.75" customHeight="1">
      <c r="A870" s="118"/>
      <c r="B870" s="153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  <c r="AC870" s="118"/>
      <c r="AD870" s="118"/>
      <c r="AE870" s="118"/>
      <c r="AF870" s="118"/>
      <c r="AG870" s="118"/>
      <c r="AH870" s="118"/>
      <c r="AI870" s="118"/>
      <c r="AJ870" s="118"/>
      <c r="AK870" s="118"/>
    </row>
    <row r="871" ht="9.75" customHeight="1">
      <c r="A871" s="118"/>
      <c r="B871" s="153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  <c r="AC871" s="118"/>
      <c r="AD871" s="118"/>
      <c r="AE871" s="118"/>
      <c r="AF871" s="118"/>
      <c r="AG871" s="118"/>
      <c r="AH871" s="118"/>
      <c r="AI871" s="118"/>
      <c r="AJ871" s="118"/>
      <c r="AK871" s="118"/>
    </row>
    <row r="872" ht="9.75" customHeight="1">
      <c r="A872" s="118"/>
      <c r="B872" s="153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  <c r="AC872" s="118"/>
      <c r="AD872" s="118"/>
      <c r="AE872" s="118"/>
      <c r="AF872" s="118"/>
      <c r="AG872" s="118"/>
      <c r="AH872" s="118"/>
      <c r="AI872" s="118"/>
      <c r="AJ872" s="118"/>
      <c r="AK872" s="118"/>
    </row>
    <row r="873" ht="9.75" customHeight="1">
      <c r="A873" s="118"/>
      <c r="B873" s="153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  <c r="AC873" s="118"/>
      <c r="AD873" s="118"/>
      <c r="AE873" s="118"/>
      <c r="AF873" s="118"/>
      <c r="AG873" s="118"/>
      <c r="AH873" s="118"/>
      <c r="AI873" s="118"/>
      <c r="AJ873" s="118"/>
      <c r="AK873" s="118"/>
    </row>
    <row r="874" ht="9.75" customHeight="1">
      <c r="A874" s="118"/>
      <c r="B874" s="153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  <c r="AC874" s="118"/>
      <c r="AD874" s="118"/>
      <c r="AE874" s="118"/>
      <c r="AF874" s="118"/>
      <c r="AG874" s="118"/>
      <c r="AH874" s="118"/>
      <c r="AI874" s="118"/>
      <c r="AJ874" s="118"/>
      <c r="AK874" s="118"/>
    </row>
    <row r="875" ht="9.75" customHeight="1">
      <c r="A875" s="118"/>
      <c r="B875" s="153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  <c r="AC875" s="118"/>
      <c r="AD875" s="118"/>
      <c r="AE875" s="118"/>
      <c r="AF875" s="118"/>
      <c r="AG875" s="118"/>
      <c r="AH875" s="118"/>
      <c r="AI875" s="118"/>
      <c r="AJ875" s="118"/>
      <c r="AK875" s="118"/>
    </row>
    <row r="876" ht="9.75" customHeight="1">
      <c r="A876" s="118"/>
      <c r="B876" s="153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  <c r="AC876" s="118"/>
      <c r="AD876" s="118"/>
      <c r="AE876" s="118"/>
      <c r="AF876" s="118"/>
      <c r="AG876" s="118"/>
      <c r="AH876" s="118"/>
      <c r="AI876" s="118"/>
      <c r="AJ876" s="118"/>
      <c r="AK876" s="118"/>
    </row>
    <row r="877" ht="9.75" customHeight="1">
      <c r="A877" s="115"/>
      <c r="B877" s="15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</row>
    <row r="878" ht="9.75" customHeight="1">
      <c r="A878" s="114"/>
      <c r="B878" s="15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  <c r="AC878" s="114"/>
      <c r="AD878" s="114"/>
      <c r="AE878" s="114"/>
      <c r="AF878" s="114"/>
      <c r="AG878" s="114"/>
      <c r="AH878" s="114"/>
      <c r="AI878" s="114"/>
      <c r="AJ878" s="114"/>
      <c r="AK878" s="114"/>
    </row>
    <row r="879" ht="9.75" customHeight="1">
      <c r="A879" s="44"/>
      <c r="B879" s="80"/>
      <c r="C879" s="81"/>
      <c r="D879" s="81"/>
      <c r="E879" s="82"/>
      <c r="F879" s="82"/>
      <c r="G879" s="94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150"/>
      <c r="S879" s="82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</row>
    <row r="880" ht="9.75" customHeight="1">
      <c r="A880" s="44"/>
      <c r="B880" s="80"/>
      <c r="C880" s="81"/>
      <c r="D880" s="81"/>
      <c r="E880" s="82"/>
      <c r="F880" s="82"/>
      <c r="G880" s="94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150"/>
      <c r="S880" s="82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</row>
    <row r="881" ht="9.75" customHeight="1">
      <c r="A881" s="44"/>
      <c r="B881" s="80"/>
      <c r="C881" s="81"/>
      <c r="D881" s="81"/>
      <c r="E881" s="82"/>
      <c r="F881" s="82"/>
      <c r="G881" s="94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150"/>
      <c r="S881" s="82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</row>
    <row r="882" ht="9.75" customHeight="1">
      <c r="A882" s="44"/>
      <c r="B882" s="80"/>
      <c r="C882" s="81"/>
      <c r="D882" s="81"/>
      <c r="E882" s="82"/>
      <c r="F882" s="82"/>
      <c r="G882" s="94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150"/>
      <c r="S882" s="82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</row>
    <row r="883" ht="9.75" customHeight="1">
      <c r="A883" s="44"/>
      <c r="B883" s="80"/>
      <c r="C883" s="81"/>
      <c r="D883" s="81"/>
      <c r="E883" s="82"/>
      <c r="F883" s="82"/>
      <c r="G883" s="94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150"/>
      <c r="S883" s="82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</row>
    <row r="884" ht="9.75" customHeight="1">
      <c r="A884" s="44"/>
      <c r="B884" s="80"/>
      <c r="C884" s="81"/>
      <c r="D884" s="81"/>
      <c r="E884" s="82"/>
      <c r="F884" s="82"/>
      <c r="G884" s="94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150"/>
      <c r="S884" s="82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</row>
    <row r="885" ht="9.75" customHeight="1">
      <c r="A885" s="44"/>
      <c r="B885" s="80"/>
      <c r="C885" s="81"/>
      <c r="D885" s="81"/>
      <c r="E885" s="82"/>
      <c r="F885" s="82"/>
      <c r="G885" s="94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150"/>
      <c r="S885" s="82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</row>
    <row r="886" ht="9.75" customHeight="1">
      <c r="A886" s="44"/>
      <c r="B886" s="80"/>
      <c r="C886" s="81"/>
      <c r="D886" s="81"/>
      <c r="E886" s="82"/>
      <c r="F886" s="82"/>
      <c r="G886" s="94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150"/>
      <c r="S886" s="82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</row>
    <row r="887" ht="9.75" customHeight="1">
      <c r="A887" s="44"/>
      <c r="B887" s="80"/>
      <c r="C887" s="81"/>
      <c r="D887" s="81"/>
      <c r="E887" s="82"/>
      <c r="F887" s="82"/>
      <c r="G887" s="94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150"/>
      <c r="S887" s="82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</row>
    <row r="888" ht="9.75" customHeight="1">
      <c r="A888" s="44"/>
      <c r="B888" s="80"/>
      <c r="C888" s="81"/>
      <c r="D888" s="81"/>
      <c r="E888" s="82"/>
      <c r="F888" s="82"/>
      <c r="G888" s="94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150"/>
      <c r="S888" s="82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</row>
    <row r="889" ht="9.75" customHeight="1">
      <c r="A889" s="44"/>
      <c r="B889" s="80"/>
      <c r="C889" s="81"/>
      <c r="D889" s="81"/>
      <c r="E889" s="82"/>
      <c r="F889" s="82"/>
      <c r="G889" s="94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150"/>
      <c r="S889" s="82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</row>
    <row r="890" ht="9.75" customHeight="1">
      <c r="A890" s="44"/>
      <c r="B890" s="80"/>
      <c r="C890" s="81"/>
      <c r="D890" s="81"/>
      <c r="E890" s="82"/>
      <c r="F890" s="82"/>
      <c r="G890" s="94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150"/>
      <c r="S890" s="82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</row>
    <row r="891" ht="9.75" customHeight="1">
      <c r="A891" s="44"/>
      <c r="B891" s="80"/>
      <c r="C891" s="81"/>
      <c r="D891" s="81"/>
      <c r="E891" s="82"/>
      <c r="F891" s="82"/>
      <c r="G891" s="94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150"/>
      <c r="S891" s="82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</row>
    <row r="892" ht="9.75" customHeight="1">
      <c r="A892" s="44"/>
      <c r="B892" s="80"/>
      <c r="C892" s="81"/>
      <c r="D892" s="81"/>
      <c r="E892" s="82"/>
      <c r="F892" s="82"/>
      <c r="G892" s="94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150"/>
      <c r="S892" s="82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</row>
    <row r="893" ht="9.75" customHeight="1">
      <c r="A893" s="44"/>
      <c r="B893" s="80"/>
      <c r="C893" s="81"/>
      <c r="D893" s="81"/>
      <c r="E893" s="82"/>
      <c r="F893" s="82"/>
      <c r="G893" s="94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150"/>
      <c r="S893" s="82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</row>
    <row r="894" ht="9.75" customHeight="1">
      <c r="A894" s="44"/>
      <c r="B894" s="80"/>
      <c r="C894" s="81"/>
      <c r="D894" s="81"/>
      <c r="E894" s="82"/>
      <c r="F894" s="82"/>
      <c r="G894" s="94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150"/>
      <c r="S894" s="82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</row>
    <row r="895" ht="9.75" customHeight="1">
      <c r="A895" s="44"/>
      <c r="B895" s="80"/>
      <c r="C895" s="81"/>
      <c r="D895" s="81"/>
      <c r="E895" s="82"/>
      <c r="F895" s="82"/>
      <c r="G895" s="94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150"/>
      <c r="S895" s="82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</row>
    <row r="896" ht="9.75" customHeight="1">
      <c r="A896" s="44"/>
      <c r="B896" s="80"/>
      <c r="C896" s="81"/>
      <c r="D896" s="81"/>
      <c r="E896" s="82"/>
      <c r="F896" s="82"/>
      <c r="G896" s="94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150"/>
      <c r="S896" s="82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</row>
    <row r="897" ht="9.75" customHeight="1">
      <c r="A897" s="44"/>
      <c r="B897" s="80"/>
      <c r="C897" s="81"/>
      <c r="D897" s="81"/>
      <c r="E897" s="82"/>
      <c r="F897" s="82"/>
      <c r="G897" s="94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150"/>
      <c r="S897" s="82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</row>
    <row r="898" ht="9.75" customHeight="1">
      <c r="A898" s="44"/>
      <c r="B898" s="80"/>
      <c r="C898" s="81"/>
      <c r="D898" s="81"/>
      <c r="E898" s="82"/>
      <c r="F898" s="82"/>
      <c r="G898" s="94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150"/>
      <c r="S898" s="82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</row>
    <row r="899" ht="9.75" customHeight="1">
      <c r="A899" s="44"/>
      <c r="B899" s="80"/>
      <c r="C899" s="81"/>
      <c r="D899" s="81"/>
      <c r="E899" s="82"/>
      <c r="F899" s="82"/>
      <c r="G899" s="94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150"/>
      <c r="S899" s="82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</row>
    <row r="900" ht="9.75" customHeight="1">
      <c r="A900" s="44"/>
      <c r="B900" s="80"/>
      <c r="C900" s="81"/>
      <c r="D900" s="81"/>
      <c r="E900" s="82"/>
      <c r="F900" s="82"/>
      <c r="G900" s="94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150"/>
      <c r="S900" s="82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</row>
    <row r="901" ht="9.75" customHeight="1">
      <c r="A901" s="44"/>
      <c r="B901" s="80"/>
      <c r="C901" s="81"/>
      <c r="D901" s="81"/>
      <c r="E901" s="82"/>
      <c r="F901" s="82"/>
      <c r="G901" s="94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150"/>
      <c r="S901" s="82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</row>
    <row r="902" ht="9.75" customHeight="1">
      <c r="A902" s="44"/>
      <c r="B902" s="80"/>
      <c r="C902" s="81"/>
      <c r="D902" s="81"/>
      <c r="E902" s="82"/>
      <c r="F902" s="82"/>
      <c r="G902" s="94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150"/>
      <c r="S902" s="82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</row>
    <row r="903" ht="9.75" customHeight="1">
      <c r="A903" s="44"/>
      <c r="B903" s="80"/>
      <c r="C903" s="81"/>
      <c r="D903" s="81"/>
      <c r="E903" s="82"/>
      <c r="F903" s="82"/>
      <c r="G903" s="94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150"/>
      <c r="S903" s="82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</row>
    <row r="904" ht="9.75" customHeight="1">
      <c r="A904" s="44"/>
      <c r="B904" s="80"/>
      <c r="C904" s="81"/>
      <c r="D904" s="81"/>
      <c r="E904" s="82"/>
      <c r="F904" s="82"/>
      <c r="G904" s="94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150"/>
      <c r="S904" s="82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</row>
    <row r="905" ht="9.75" customHeight="1">
      <c r="A905" s="44"/>
      <c r="B905" s="80"/>
      <c r="C905" s="81"/>
      <c r="D905" s="81"/>
      <c r="E905" s="82"/>
      <c r="F905" s="82"/>
      <c r="G905" s="94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150"/>
      <c r="S905" s="82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</row>
    <row r="906" ht="9.75" customHeight="1">
      <c r="A906" s="44"/>
      <c r="B906" s="80"/>
      <c r="C906" s="81"/>
      <c r="D906" s="81"/>
      <c r="E906" s="82"/>
      <c r="F906" s="82"/>
      <c r="G906" s="94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150"/>
      <c r="S906" s="82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</row>
    <row r="907" ht="9.75" customHeight="1">
      <c r="A907" s="44"/>
      <c r="B907" s="80"/>
      <c r="C907" s="81"/>
      <c r="D907" s="81"/>
      <c r="E907" s="82"/>
      <c r="F907" s="82"/>
      <c r="G907" s="94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150"/>
      <c r="S907" s="82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</row>
    <row r="908" ht="9.75" customHeight="1">
      <c r="A908" s="44"/>
      <c r="B908" s="80"/>
      <c r="C908" s="81"/>
      <c r="D908" s="81"/>
      <c r="E908" s="82"/>
      <c r="F908" s="82"/>
      <c r="G908" s="94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150"/>
      <c r="S908" s="82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</row>
    <row r="909" ht="9.75" customHeight="1">
      <c r="A909" s="44"/>
      <c r="B909" s="80"/>
      <c r="C909" s="81"/>
      <c r="D909" s="81"/>
      <c r="E909" s="82"/>
      <c r="F909" s="82"/>
      <c r="G909" s="94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150"/>
      <c r="S909" s="82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</row>
    <row r="910" ht="9.75" customHeight="1">
      <c r="A910" s="44"/>
      <c r="B910" s="80"/>
      <c r="C910" s="81"/>
      <c r="D910" s="81"/>
      <c r="E910" s="82"/>
      <c r="F910" s="82"/>
      <c r="G910" s="94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150"/>
      <c r="S910" s="82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</row>
    <row r="911" ht="9.75" customHeight="1">
      <c r="A911" s="44"/>
      <c r="B911" s="80"/>
      <c r="C911" s="81"/>
      <c r="D911" s="81"/>
      <c r="E911" s="82"/>
      <c r="F911" s="82"/>
      <c r="G911" s="94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150"/>
      <c r="S911" s="82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</row>
    <row r="912" ht="9.75" customHeight="1">
      <c r="A912" s="44"/>
      <c r="B912" s="80"/>
      <c r="C912" s="81"/>
      <c r="D912" s="81"/>
      <c r="E912" s="82"/>
      <c r="F912" s="82"/>
      <c r="G912" s="94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150"/>
      <c r="S912" s="82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</row>
    <row r="913" ht="9.75" customHeight="1">
      <c r="A913" s="44"/>
      <c r="B913" s="80"/>
      <c r="C913" s="81"/>
      <c r="D913" s="81"/>
      <c r="E913" s="82"/>
      <c r="F913" s="82"/>
      <c r="G913" s="94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150"/>
      <c r="S913" s="82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</row>
    <row r="914" ht="9.75" customHeight="1">
      <c r="A914" s="44"/>
      <c r="B914" s="80"/>
      <c r="C914" s="81"/>
      <c r="D914" s="81"/>
      <c r="E914" s="82"/>
      <c r="F914" s="82"/>
      <c r="G914" s="94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150"/>
      <c r="S914" s="82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</row>
    <row r="915" ht="9.75" customHeight="1">
      <c r="A915" s="44"/>
      <c r="B915" s="80"/>
      <c r="C915" s="81"/>
      <c r="D915" s="81"/>
      <c r="E915" s="82"/>
      <c r="F915" s="82"/>
      <c r="G915" s="94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150"/>
      <c r="S915" s="82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</row>
    <row r="916" ht="9.75" customHeight="1">
      <c r="A916" s="44"/>
      <c r="B916" s="80"/>
      <c r="C916" s="81"/>
      <c r="D916" s="81"/>
      <c r="E916" s="82"/>
      <c r="F916" s="82"/>
      <c r="G916" s="94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150"/>
      <c r="S916" s="82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</row>
    <row r="917" ht="9.75" customHeight="1">
      <c r="A917" s="44"/>
      <c r="B917" s="151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</row>
    <row r="918" ht="9.75" customHeight="1">
      <c r="A918" s="44"/>
      <c r="B918" s="151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</row>
    <row r="919" ht="9.75" customHeight="1">
      <c r="A919" s="44"/>
      <c r="B919" s="151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</row>
    <row r="920" ht="9.75" customHeight="1">
      <c r="A920" s="160"/>
      <c r="B920" s="161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  <c r="AD920" s="160"/>
      <c r="AE920" s="160"/>
      <c r="AF920" s="160"/>
      <c r="AG920" s="160"/>
      <c r="AH920" s="160"/>
      <c r="AI920" s="160"/>
      <c r="AJ920" s="160"/>
      <c r="AK920" s="160"/>
    </row>
    <row r="921" ht="9.75" customHeight="1">
      <c r="A921" s="44"/>
      <c r="B921" s="151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</row>
    <row r="922" ht="9.75" customHeight="1">
      <c r="A922" s="44"/>
      <c r="B922" s="151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</row>
    <row r="923" ht="9.75" customHeight="1">
      <c r="A923" s="44"/>
      <c r="B923" s="151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</row>
    <row r="924" ht="9.75" customHeight="1">
      <c r="A924" s="44"/>
      <c r="B924" s="151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</row>
    <row r="925" ht="9.75" customHeight="1">
      <c r="A925" s="44"/>
      <c r="B925" s="151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</row>
    <row r="926" ht="9.75" customHeight="1">
      <c r="A926" s="44"/>
      <c r="B926" s="151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</row>
    <row r="927" ht="9.75" customHeight="1">
      <c r="A927" s="44"/>
      <c r="B927" s="151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</row>
    <row r="928" ht="9.75" customHeight="1">
      <c r="A928" s="44"/>
      <c r="B928" s="80"/>
      <c r="C928" s="81"/>
      <c r="D928" s="81"/>
      <c r="E928" s="82"/>
      <c r="F928" s="82"/>
      <c r="G928" s="94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150"/>
      <c r="S928" s="82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</row>
    <row r="929" ht="9.75" customHeight="1">
      <c r="A929" s="44"/>
      <c r="B929" s="151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</row>
    <row r="930" ht="9.75" customHeight="1">
      <c r="A930" s="44"/>
      <c r="B930" s="151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</row>
    <row r="931" ht="9.75" customHeight="1">
      <c r="A931" s="44"/>
      <c r="B931" s="151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</row>
    <row r="932" ht="9.75" customHeight="1">
      <c r="A932" s="44"/>
      <c r="B932" s="80"/>
      <c r="C932" s="81"/>
      <c r="D932" s="81"/>
      <c r="E932" s="82"/>
      <c r="F932" s="82"/>
      <c r="G932" s="94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150"/>
      <c r="S932" s="82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</row>
    <row r="933" ht="9.75" customHeight="1">
      <c r="A933" s="44"/>
      <c r="B933" s="80"/>
      <c r="C933" s="81"/>
      <c r="D933" s="81"/>
      <c r="E933" s="82"/>
      <c r="F933" s="82"/>
      <c r="G933" s="94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150"/>
      <c r="S933" s="82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</row>
    <row r="934" ht="9.75" customHeight="1">
      <c r="A934" s="44"/>
      <c r="B934" s="80"/>
      <c r="C934" s="81"/>
      <c r="D934" s="81"/>
      <c r="E934" s="82"/>
      <c r="F934" s="82"/>
      <c r="G934" s="94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150"/>
      <c r="S934" s="82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</row>
    <row r="935" ht="9.75" customHeight="1">
      <c r="A935" s="44"/>
      <c r="B935" s="80"/>
      <c r="C935" s="81"/>
      <c r="D935" s="81"/>
      <c r="E935" s="82"/>
      <c r="F935" s="82"/>
      <c r="G935" s="94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150"/>
      <c r="S935" s="82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</row>
    <row r="936" ht="9.75" customHeight="1">
      <c r="A936" s="44"/>
      <c r="B936" s="80"/>
      <c r="C936" s="81"/>
      <c r="D936" s="81"/>
      <c r="E936" s="82"/>
      <c r="F936" s="82"/>
      <c r="G936" s="94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150"/>
      <c r="S936" s="82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</row>
    <row r="937" ht="9.75" customHeight="1">
      <c r="A937" s="44"/>
      <c r="B937" s="80"/>
      <c r="C937" s="81"/>
      <c r="D937" s="81"/>
      <c r="E937" s="82"/>
      <c r="F937" s="82"/>
      <c r="G937" s="94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150"/>
      <c r="S937" s="82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</row>
    <row r="938" ht="9.75" customHeight="1">
      <c r="A938" s="44"/>
      <c r="B938" s="80"/>
      <c r="C938" s="81"/>
      <c r="D938" s="81"/>
      <c r="E938" s="82"/>
      <c r="F938" s="82"/>
      <c r="G938" s="94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150"/>
      <c r="S938" s="82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</row>
    <row r="939" ht="9.75" customHeight="1">
      <c r="A939" s="44"/>
      <c r="B939" s="80"/>
      <c r="C939" s="81"/>
      <c r="D939" s="81"/>
      <c r="E939" s="82"/>
      <c r="F939" s="82"/>
      <c r="G939" s="94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150"/>
      <c r="S939" s="82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</row>
    <row r="940" ht="9.75" customHeight="1">
      <c r="A940" s="44"/>
      <c r="B940" s="80"/>
      <c r="C940" s="81"/>
      <c r="D940" s="81"/>
      <c r="E940" s="82"/>
      <c r="F940" s="82"/>
      <c r="G940" s="94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150"/>
      <c r="S940" s="82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</row>
    <row r="941" ht="9.75" customHeight="1">
      <c r="A941" s="44"/>
      <c r="B941" s="80"/>
      <c r="C941" s="81"/>
      <c r="D941" s="81"/>
      <c r="E941" s="82"/>
      <c r="F941" s="82"/>
      <c r="G941" s="94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150"/>
      <c r="S941" s="82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</row>
    <row r="942" ht="9.75" customHeight="1">
      <c r="A942" s="44"/>
      <c r="B942" s="80"/>
      <c r="C942" s="81"/>
      <c r="D942" s="81"/>
      <c r="E942" s="82"/>
      <c r="F942" s="82"/>
      <c r="G942" s="94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150"/>
      <c r="S942" s="82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</row>
    <row r="943" ht="9.75" customHeight="1">
      <c r="A943" s="44"/>
      <c r="B943" s="80"/>
      <c r="C943" s="81"/>
      <c r="D943" s="81"/>
      <c r="E943" s="82"/>
      <c r="F943" s="82"/>
      <c r="G943" s="94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150"/>
      <c r="S943" s="82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</row>
    <row r="944" ht="9.75" customHeight="1">
      <c r="A944" s="44"/>
      <c r="B944" s="80"/>
      <c r="C944" s="81"/>
      <c r="D944" s="81"/>
      <c r="E944" s="82"/>
      <c r="F944" s="82"/>
      <c r="G944" s="94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150"/>
      <c r="S944" s="82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</row>
    <row r="945" ht="9.75" customHeight="1">
      <c r="A945" s="44"/>
      <c r="B945" s="80"/>
      <c r="C945" s="81"/>
      <c r="D945" s="81"/>
      <c r="E945" s="82"/>
      <c r="F945" s="82"/>
      <c r="G945" s="94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150"/>
      <c r="S945" s="82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</row>
    <row r="946" ht="9.75" customHeight="1">
      <c r="A946" s="44"/>
      <c r="B946" s="80"/>
      <c r="C946" s="81"/>
      <c r="D946" s="81"/>
      <c r="E946" s="82"/>
      <c r="F946" s="82"/>
      <c r="G946" s="94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150"/>
      <c r="S946" s="82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</row>
    <row r="947" ht="9.75" customHeight="1">
      <c r="A947" s="44"/>
      <c r="B947" s="80"/>
      <c r="C947" s="81"/>
      <c r="D947" s="81"/>
      <c r="E947" s="82"/>
      <c r="F947" s="82"/>
      <c r="G947" s="94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150"/>
      <c r="S947" s="82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</row>
    <row r="948" ht="9.75" customHeight="1">
      <c r="A948" s="44"/>
      <c r="B948" s="80"/>
      <c r="C948" s="81"/>
      <c r="D948" s="81"/>
      <c r="E948" s="82"/>
      <c r="F948" s="82"/>
      <c r="G948" s="94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150"/>
      <c r="S948" s="82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</row>
    <row r="949" ht="9.75" customHeight="1">
      <c r="A949" s="44"/>
      <c r="B949" s="80"/>
      <c r="C949" s="81"/>
      <c r="D949" s="81"/>
      <c r="E949" s="82"/>
      <c r="F949" s="82"/>
      <c r="G949" s="94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150"/>
      <c r="S949" s="82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</row>
    <row r="950" ht="9.75" customHeight="1">
      <c r="A950" s="44"/>
      <c r="B950" s="80"/>
      <c r="C950" s="81"/>
      <c r="D950" s="81"/>
      <c r="E950" s="82"/>
      <c r="F950" s="82"/>
      <c r="G950" s="94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150"/>
      <c r="S950" s="82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</row>
    <row r="951" ht="9.75" customHeight="1">
      <c r="A951" s="44"/>
      <c r="B951" s="80"/>
      <c r="C951" s="81"/>
      <c r="D951" s="81"/>
      <c r="E951" s="82"/>
      <c r="F951" s="82"/>
      <c r="G951" s="94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150"/>
      <c r="S951" s="82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</row>
    <row r="952" ht="9.75" customHeight="1">
      <c r="A952" s="44"/>
      <c r="B952" s="80"/>
      <c r="C952" s="81"/>
      <c r="D952" s="81"/>
      <c r="E952" s="82"/>
      <c r="F952" s="82"/>
      <c r="G952" s="94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150"/>
      <c r="S952" s="82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</row>
    <row r="953" ht="9.75" customHeight="1">
      <c r="A953" s="44"/>
      <c r="B953" s="80"/>
      <c r="C953" s="81"/>
      <c r="D953" s="81"/>
      <c r="E953" s="82"/>
      <c r="F953" s="82"/>
      <c r="G953" s="94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150"/>
      <c r="S953" s="82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</row>
    <row r="954" ht="9.75" customHeight="1">
      <c r="A954" s="44"/>
      <c r="B954" s="80"/>
      <c r="C954" s="81"/>
      <c r="D954" s="81"/>
      <c r="E954" s="82"/>
      <c r="F954" s="82"/>
      <c r="G954" s="94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150"/>
      <c r="S954" s="82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</row>
    <row r="955" ht="9.75" customHeight="1">
      <c r="A955" s="44"/>
      <c r="B955" s="80"/>
      <c r="C955" s="81"/>
      <c r="D955" s="81"/>
      <c r="E955" s="82"/>
      <c r="F955" s="82"/>
      <c r="G955" s="94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150"/>
      <c r="S955" s="82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</row>
    <row r="956" ht="9.75" customHeight="1">
      <c r="A956" s="44"/>
      <c r="B956" s="80"/>
      <c r="C956" s="81"/>
      <c r="D956" s="81"/>
      <c r="E956" s="82"/>
      <c r="F956" s="82"/>
      <c r="G956" s="94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150"/>
      <c r="S956" s="82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</row>
    <row r="957" ht="9.75" customHeight="1">
      <c r="A957" s="44"/>
      <c r="B957" s="80"/>
      <c r="C957" s="81"/>
      <c r="D957" s="81"/>
      <c r="E957" s="82"/>
      <c r="F957" s="82"/>
      <c r="G957" s="94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150"/>
      <c r="S957" s="82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</row>
    <row r="958" ht="9.75" customHeight="1">
      <c r="A958" s="44"/>
      <c r="B958" s="80"/>
      <c r="C958" s="81"/>
      <c r="D958" s="81"/>
      <c r="E958" s="82"/>
      <c r="F958" s="82"/>
      <c r="G958" s="94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150"/>
      <c r="S958" s="82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</row>
    <row r="959" ht="9.75" customHeight="1">
      <c r="A959" s="44"/>
      <c r="B959" s="80"/>
      <c r="C959" s="81"/>
      <c r="D959" s="81"/>
      <c r="E959" s="82"/>
      <c r="F959" s="82"/>
      <c r="G959" s="94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150"/>
      <c r="S959" s="82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</row>
    <row r="960" ht="9.75" customHeight="1">
      <c r="A960" s="44"/>
      <c r="B960" s="80"/>
      <c r="C960" s="81"/>
      <c r="D960" s="81"/>
      <c r="E960" s="82"/>
      <c r="F960" s="82"/>
      <c r="G960" s="94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150"/>
      <c r="S960" s="82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</row>
    <row r="961" ht="9.75" customHeight="1">
      <c r="A961" s="44"/>
      <c r="B961" s="80"/>
      <c r="C961" s="81"/>
      <c r="D961" s="81"/>
      <c r="E961" s="82"/>
      <c r="F961" s="82"/>
      <c r="G961" s="94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150"/>
      <c r="S961" s="82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</row>
    <row r="962" ht="9.75" customHeight="1">
      <c r="A962" s="44"/>
      <c r="B962" s="80"/>
      <c r="C962" s="81"/>
      <c r="D962" s="81"/>
      <c r="E962" s="82"/>
      <c r="F962" s="82"/>
      <c r="G962" s="94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150"/>
      <c r="S962" s="82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</row>
    <row r="963" ht="9.75" customHeight="1">
      <c r="A963" s="44"/>
      <c r="B963" s="80"/>
      <c r="C963" s="81"/>
      <c r="D963" s="81"/>
      <c r="E963" s="82"/>
      <c r="F963" s="82"/>
      <c r="G963" s="94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150"/>
      <c r="S963" s="82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</row>
    <row r="964" ht="9.75" customHeight="1">
      <c r="A964" s="44"/>
      <c r="B964" s="80"/>
      <c r="C964" s="81"/>
      <c r="D964" s="81"/>
      <c r="E964" s="82"/>
      <c r="F964" s="82"/>
      <c r="G964" s="94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150"/>
      <c r="S964" s="82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</row>
    <row r="965" ht="9.75" customHeight="1">
      <c r="A965" s="44"/>
      <c r="B965" s="80"/>
      <c r="C965" s="81"/>
      <c r="D965" s="81"/>
      <c r="E965" s="82"/>
      <c r="F965" s="82"/>
      <c r="G965" s="94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150"/>
      <c r="S965" s="82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</row>
    <row r="966" ht="9.75" customHeight="1">
      <c r="A966" s="44"/>
      <c r="B966" s="80"/>
      <c r="C966" s="81"/>
      <c r="D966" s="81"/>
      <c r="E966" s="82"/>
      <c r="F966" s="82"/>
      <c r="G966" s="94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150"/>
      <c r="S966" s="82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</row>
    <row r="967" ht="9.75" customHeight="1">
      <c r="A967" s="44"/>
      <c r="B967" s="80"/>
      <c r="C967" s="81"/>
      <c r="D967" s="81"/>
      <c r="E967" s="82"/>
      <c r="F967" s="82"/>
      <c r="G967" s="94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150"/>
      <c r="S967" s="82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</row>
    <row r="968" ht="9.75" customHeight="1">
      <c r="A968" s="44"/>
      <c r="B968" s="80"/>
      <c r="C968" s="81"/>
      <c r="D968" s="81"/>
      <c r="E968" s="82"/>
      <c r="F968" s="82"/>
      <c r="G968" s="94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150"/>
      <c r="S968" s="82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</row>
    <row r="969" ht="9.75" customHeight="1">
      <c r="A969" s="44"/>
      <c r="B969" s="80"/>
      <c r="C969" s="81"/>
      <c r="D969" s="81"/>
      <c r="E969" s="82"/>
      <c r="F969" s="82"/>
      <c r="G969" s="94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150"/>
      <c r="S969" s="82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</row>
    <row r="970" ht="9.75" customHeight="1">
      <c r="A970" s="44"/>
      <c r="B970" s="80"/>
      <c r="C970" s="81"/>
      <c r="D970" s="81"/>
      <c r="E970" s="82"/>
      <c r="F970" s="82"/>
      <c r="G970" s="94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150"/>
      <c r="S970" s="82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</row>
    <row r="971" ht="9.75" customHeight="1">
      <c r="A971" s="44"/>
      <c r="B971" s="80"/>
      <c r="C971" s="81"/>
      <c r="D971" s="81"/>
      <c r="E971" s="82"/>
      <c r="F971" s="82"/>
      <c r="G971" s="94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150"/>
      <c r="S971" s="82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</row>
    <row r="972" ht="9.75" customHeight="1">
      <c r="A972" s="44"/>
      <c r="B972" s="80"/>
      <c r="C972" s="81"/>
      <c r="D972" s="81"/>
      <c r="E972" s="82"/>
      <c r="F972" s="82"/>
      <c r="G972" s="94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150"/>
      <c r="S972" s="82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</row>
    <row r="973" ht="9.75" customHeight="1">
      <c r="A973" s="44"/>
      <c r="B973" s="80"/>
      <c r="C973" s="81"/>
      <c r="D973" s="81"/>
      <c r="E973" s="82"/>
      <c r="F973" s="82"/>
      <c r="G973" s="94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150"/>
      <c r="S973" s="82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</row>
    <row r="974" ht="9.75" customHeight="1">
      <c r="A974" s="44"/>
      <c r="B974" s="80"/>
      <c r="C974" s="81"/>
      <c r="D974" s="81"/>
      <c r="E974" s="82"/>
      <c r="F974" s="82"/>
      <c r="G974" s="94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150"/>
      <c r="S974" s="82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</row>
    <row r="975" ht="9.75" customHeight="1">
      <c r="A975" s="44"/>
      <c r="B975" s="80"/>
      <c r="C975" s="81"/>
      <c r="D975" s="81"/>
      <c r="E975" s="82"/>
      <c r="F975" s="82"/>
      <c r="G975" s="94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150"/>
      <c r="S975" s="82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</row>
    <row r="976" ht="9.75" customHeight="1">
      <c r="A976" s="44"/>
      <c r="B976" s="80"/>
      <c r="C976" s="81"/>
      <c r="D976" s="81"/>
      <c r="E976" s="82"/>
      <c r="F976" s="82"/>
      <c r="G976" s="94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150"/>
      <c r="S976" s="82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</row>
    <row r="977" ht="9.75" customHeight="1">
      <c r="A977" s="44"/>
      <c r="B977" s="80"/>
      <c r="C977" s="81"/>
      <c r="D977" s="81"/>
      <c r="E977" s="82"/>
      <c r="F977" s="82"/>
      <c r="G977" s="94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150"/>
      <c r="S977" s="82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</row>
    <row r="978" ht="9.75" customHeight="1">
      <c r="A978" s="44"/>
      <c r="B978" s="80"/>
      <c r="C978" s="81"/>
      <c r="D978" s="81"/>
      <c r="E978" s="82"/>
      <c r="F978" s="82"/>
      <c r="G978" s="94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150"/>
      <c r="S978" s="82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</row>
    <row r="979" ht="9.75" customHeight="1">
      <c r="A979" s="44"/>
      <c r="B979" s="80"/>
      <c r="C979" s="81"/>
      <c r="D979" s="81"/>
      <c r="E979" s="82"/>
      <c r="F979" s="82"/>
      <c r="G979" s="94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150"/>
      <c r="S979" s="82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</row>
    <row r="980" ht="9.75" customHeight="1">
      <c r="A980" s="44"/>
      <c r="B980" s="80"/>
      <c r="C980" s="81"/>
      <c r="D980" s="81"/>
      <c r="E980" s="82"/>
      <c r="F980" s="82"/>
      <c r="G980" s="94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150"/>
      <c r="S980" s="82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</row>
    <row r="981" ht="9.75" customHeight="1">
      <c r="A981" s="44"/>
      <c r="B981" s="80"/>
      <c r="C981" s="81"/>
      <c r="D981" s="81"/>
      <c r="E981" s="82"/>
      <c r="F981" s="82"/>
      <c r="G981" s="94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150"/>
      <c r="S981" s="82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</row>
    <row r="982" ht="9.75" customHeight="1">
      <c r="A982" s="44"/>
      <c r="B982" s="80"/>
      <c r="C982" s="81"/>
      <c r="D982" s="81"/>
      <c r="E982" s="82"/>
      <c r="F982" s="82"/>
      <c r="G982" s="94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150"/>
      <c r="S982" s="82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</row>
    <row r="983" ht="9.75" customHeight="1">
      <c r="A983" s="44"/>
      <c r="B983" s="80"/>
      <c r="C983" s="81"/>
      <c r="D983" s="81"/>
      <c r="E983" s="82"/>
      <c r="F983" s="82"/>
      <c r="G983" s="94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150"/>
      <c r="S983" s="82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</row>
    <row r="984" ht="9.75" customHeight="1">
      <c r="A984" s="44"/>
      <c r="B984" s="80"/>
      <c r="C984" s="81"/>
      <c r="D984" s="81"/>
      <c r="E984" s="82"/>
      <c r="F984" s="82"/>
      <c r="G984" s="94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150"/>
      <c r="S984" s="82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</row>
    <row r="985" ht="9.75" customHeight="1">
      <c r="A985" s="44"/>
      <c r="B985" s="80"/>
      <c r="C985" s="81"/>
      <c r="D985" s="81"/>
      <c r="E985" s="82"/>
      <c r="F985" s="82"/>
      <c r="G985" s="94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150"/>
      <c r="S985" s="82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</row>
    <row r="986" ht="9.75" customHeight="1">
      <c r="A986" s="44"/>
      <c r="B986" s="80"/>
      <c r="C986" s="81"/>
      <c r="D986" s="81"/>
      <c r="E986" s="82"/>
      <c r="F986" s="82"/>
      <c r="G986" s="94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150"/>
      <c r="S986" s="82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</row>
    <row r="987" ht="9.75" customHeight="1">
      <c r="A987" s="44"/>
      <c r="B987" s="80"/>
      <c r="C987" s="81"/>
      <c r="D987" s="81"/>
      <c r="E987" s="82"/>
      <c r="F987" s="82"/>
      <c r="G987" s="94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150"/>
      <c r="S987" s="82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</row>
    <row r="988" ht="9.75" customHeight="1">
      <c r="A988" s="44"/>
      <c r="B988" s="80"/>
      <c r="C988" s="81"/>
      <c r="D988" s="81"/>
      <c r="E988" s="82"/>
      <c r="F988" s="82"/>
      <c r="G988" s="94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150"/>
      <c r="S988" s="82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</row>
    <row r="989" ht="9.75" customHeight="1">
      <c r="A989" s="44"/>
      <c r="B989" s="80"/>
      <c r="C989" s="81"/>
      <c r="D989" s="81"/>
      <c r="E989" s="82"/>
      <c r="F989" s="82"/>
      <c r="G989" s="94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150"/>
      <c r="S989" s="82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</row>
    <row r="990" ht="9.75" customHeight="1">
      <c r="A990" s="44"/>
      <c r="B990" s="80"/>
      <c r="C990" s="81"/>
      <c r="D990" s="81"/>
      <c r="E990" s="82"/>
      <c r="F990" s="82"/>
      <c r="G990" s="94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150"/>
      <c r="S990" s="82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</row>
    <row r="991" ht="9.75" customHeight="1">
      <c r="A991" s="44"/>
      <c r="B991" s="80"/>
      <c r="C991" s="81"/>
      <c r="D991" s="81"/>
      <c r="E991" s="82"/>
      <c r="F991" s="82"/>
      <c r="G991" s="94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150"/>
      <c r="S991" s="82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</row>
    <row r="992" ht="9.75" customHeight="1">
      <c r="A992" s="44"/>
      <c r="B992" s="80"/>
      <c r="C992" s="81"/>
      <c r="D992" s="81"/>
      <c r="E992" s="82"/>
      <c r="F992" s="82"/>
      <c r="G992" s="94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150"/>
      <c r="S992" s="82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</row>
    <row r="993" ht="9.75" customHeight="1">
      <c r="A993" s="44"/>
      <c r="B993" s="80"/>
      <c r="C993" s="81"/>
      <c r="D993" s="81"/>
      <c r="E993" s="82"/>
      <c r="F993" s="82"/>
      <c r="G993" s="94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150"/>
      <c r="S993" s="82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</row>
    <row r="994" ht="9.75" customHeight="1">
      <c r="A994" s="44"/>
      <c r="B994" s="80"/>
      <c r="C994" s="81"/>
      <c r="D994" s="81"/>
      <c r="E994" s="82"/>
      <c r="F994" s="82"/>
      <c r="G994" s="94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150"/>
      <c r="S994" s="82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</row>
    <row r="995" ht="9.75" customHeight="1">
      <c r="A995" s="44"/>
      <c r="B995" s="80"/>
      <c r="C995" s="81"/>
      <c r="D995" s="81"/>
      <c r="E995" s="82"/>
      <c r="F995" s="82"/>
      <c r="G995" s="94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150"/>
      <c r="S995" s="82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</row>
    <row r="996" ht="9.75" customHeight="1">
      <c r="A996" s="44"/>
      <c r="B996" s="80"/>
      <c r="C996" s="81"/>
      <c r="D996" s="81"/>
      <c r="E996" s="82"/>
      <c r="F996" s="82"/>
      <c r="G996" s="94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150"/>
      <c r="S996" s="82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</row>
    <row r="997" ht="9.75" customHeight="1">
      <c r="A997" s="44"/>
      <c r="B997" s="151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</row>
    <row r="998" ht="9.75" customHeight="1">
      <c r="A998" s="44"/>
      <c r="B998" s="151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</row>
    <row r="999" ht="9.75" customHeight="1">
      <c r="A999" s="44"/>
      <c r="B999" s="151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</row>
    <row r="1000" ht="9.75" customHeight="1">
      <c r="A1000" s="44"/>
      <c r="B1000" s="151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</row>
  </sheetData>
  <printOptions/>
  <pageMargins bottom="0.984251968503937" footer="0.0" header="0.0" left="0.7874015748031497" right="0.7874015748031497" top="0.5511811023622047"/>
  <pageSetup fitToHeight="0" paperSize="9" orientation="landscape"/>
  <headerFooter>
    <oddFooter>&amp;C800000&amp;F&amp;R800000&amp;P</oddFooter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/>
    <row r="2" ht="12.75" customHeight="1">
      <c r="A2" s="162" t="s">
        <v>355</v>
      </c>
      <c r="I2" s="163" t="s">
        <v>356</v>
      </c>
      <c r="J2" s="164">
        <v>1.0</v>
      </c>
    </row>
    <row r="3" ht="12.75" customHeight="1"/>
    <row r="4" ht="12.75" customHeight="1">
      <c r="F4" s="165" t="s">
        <v>357</v>
      </c>
    </row>
    <row r="5" ht="12.75" customHeight="1"/>
    <row r="6" ht="12.75" customHeight="1">
      <c r="A6" s="163" t="s">
        <v>357</v>
      </c>
      <c r="D6" s="166" t="s">
        <v>358</v>
      </c>
      <c r="E6" s="167" t="s">
        <v>359</v>
      </c>
    </row>
    <row r="7" ht="12.75" customHeight="1"/>
    <row r="8" ht="12.75" customHeight="1"/>
    <row r="9" ht="12.75" customHeight="1">
      <c r="A9" s="163" t="s">
        <v>360</v>
      </c>
      <c r="C9" s="167" t="s">
        <v>361</v>
      </c>
      <c r="H9" s="163" t="s">
        <v>362</v>
      </c>
      <c r="J9" s="166" t="s">
        <v>363</v>
      </c>
    </row>
    <row r="10" ht="12.75" customHeight="1">
      <c r="A10" s="163" t="s">
        <v>364</v>
      </c>
      <c r="C10" s="167" t="s">
        <v>365</v>
      </c>
    </row>
    <row r="11" ht="12.75" customHeight="1"/>
    <row r="12" ht="12.75" customHeight="1">
      <c r="A12" s="167" t="s">
        <v>12</v>
      </c>
      <c r="C12" s="167" t="s">
        <v>366</v>
      </c>
      <c r="G12" s="167" t="s">
        <v>367</v>
      </c>
      <c r="H12" s="168" t="s">
        <v>368</v>
      </c>
      <c r="I12" s="168" t="s">
        <v>369</v>
      </c>
      <c r="J12" s="168" t="s">
        <v>370</v>
      </c>
    </row>
    <row r="13" ht="12.75" customHeight="1"/>
    <row r="14" ht="12.75" customHeight="1">
      <c r="A14" s="169" t="s">
        <v>16</v>
      </c>
      <c r="E14" s="170" t="s">
        <v>33</v>
      </c>
      <c r="R14" s="171">
        <v>23651.77</v>
      </c>
    </row>
    <row r="15" ht="12.75" customHeight="1"/>
    <row r="16" ht="12.75" customHeight="1">
      <c r="A16" s="169" t="s">
        <v>18</v>
      </c>
      <c r="C16" s="169" t="s">
        <v>371</v>
      </c>
      <c r="H16" s="169" t="s">
        <v>372</v>
      </c>
      <c r="I16" s="172">
        <v>18.0</v>
      </c>
      <c r="K16" s="172">
        <v>126.58</v>
      </c>
      <c r="O16" s="172">
        <v>2278.44</v>
      </c>
    </row>
    <row r="17" ht="12.75" customHeight="1"/>
    <row r="18" ht="12.75" customHeight="1">
      <c r="A18" s="169" t="s">
        <v>32</v>
      </c>
      <c r="C18" s="169" t="s">
        <v>373</v>
      </c>
      <c r="H18" s="169" t="s">
        <v>198</v>
      </c>
      <c r="I18" s="172">
        <v>1.0</v>
      </c>
      <c r="K18" s="172">
        <v>548.21</v>
      </c>
      <c r="O18" s="172">
        <v>548.21</v>
      </c>
    </row>
    <row r="19" ht="12.75" customHeight="1"/>
    <row r="20" ht="12.75" customHeight="1">
      <c r="A20" s="169" t="s">
        <v>41</v>
      </c>
      <c r="C20" s="169" t="s">
        <v>374</v>
      </c>
      <c r="H20" s="169" t="s">
        <v>375</v>
      </c>
      <c r="K20" s="172">
        <v>150.0</v>
      </c>
    </row>
    <row r="21" ht="12.75" customHeight="1"/>
    <row r="22" ht="12.75" customHeight="1">
      <c r="A22" s="169" t="s">
        <v>41</v>
      </c>
      <c r="C22" s="169" t="s">
        <v>376</v>
      </c>
      <c r="H22" s="169" t="s">
        <v>375</v>
      </c>
      <c r="K22" s="172">
        <v>350.0</v>
      </c>
    </row>
    <row r="23" ht="12.75" customHeight="1"/>
    <row r="24" ht="12.75" customHeight="1">
      <c r="A24" s="169" t="s">
        <v>377</v>
      </c>
      <c r="C24" s="169" t="s">
        <v>378</v>
      </c>
      <c r="H24" s="169" t="s">
        <v>379</v>
      </c>
      <c r="K24" s="172">
        <v>5140.74</v>
      </c>
    </row>
    <row r="25" ht="12.75" customHeight="1"/>
    <row r="26" ht="12.75" customHeight="1">
      <c r="A26" s="169" t="s">
        <v>380</v>
      </c>
      <c r="C26" s="169" t="s">
        <v>381</v>
      </c>
      <c r="H26" s="169" t="s">
        <v>372</v>
      </c>
      <c r="K26" s="172">
        <v>1.8</v>
      </c>
    </row>
    <row r="27" ht="12.75" customHeight="1"/>
    <row r="28" ht="12.75" customHeight="1">
      <c r="A28" s="169" t="s">
        <v>36</v>
      </c>
      <c r="C28" s="169" t="s">
        <v>382</v>
      </c>
      <c r="H28" s="169" t="s">
        <v>372</v>
      </c>
      <c r="I28" s="172">
        <v>576.0</v>
      </c>
      <c r="K28" s="172">
        <v>4.63</v>
      </c>
      <c r="O28" s="172">
        <v>2666.88</v>
      </c>
    </row>
    <row r="29" ht="12.75" customHeight="1"/>
    <row r="30" ht="12.75" customHeight="1">
      <c r="A30" s="169" t="s">
        <v>383</v>
      </c>
      <c r="C30" s="169" t="s">
        <v>384</v>
      </c>
      <c r="H30" s="169" t="s">
        <v>375</v>
      </c>
      <c r="I30" s="172">
        <v>6.0</v>
      </c>
      <c r="K30" s="172">
        <v>4598.63</v>
      </c>
      <c r="O30" s="172">
        <v>27591.78</v>
      </c>
    </row>
    <row r="31" ht="12.75" customHeight="1"/>
    <row r="32" ht="12.75" customHeight="1">
      <c r="A32" s="169" t="s">
        <v>51</v>
      </c>
      <c r="E32" s="170" t="s">
        <v>385</v>
      </c>
      <c r="R32" s="171">
        <v>159927.96</v>
      </c>
    </row>
    <row r="33" ht="12.75" customHeight="1"/>
    <row r="34" ht="12.75" customHeight="1">
      <c r="A34" s="169" t="s">
        <v>53</v>
      </c>
      <c r="C34" s="169" t="s">
        <v>386</v>
      </c>
      <c r="H34" s="169" t="s">
        <v>387</v>
      </c>
      <c r="I34" s="172">
        <v>378.0</v>
      </c>
      <c r="K34" s="172">
        <v>17.01</v>
      </c>
      <c r="O34" s="172">
        <v>6429.78</v>
      </c>
    </row>
    <row r="35" ht="12.75" customHeight="1"/>
    <row r="36" ht="12.75" customHeight="1">
      <c r="A36" s="169" t="s">
        <v>66</v>
      </c>
      <c r="C36" s="169" t="s">
        <v>388</v>
      </c>
      <c r="H36" s="169" t="s">
        <v>387</v>
      </c>
      <c r="K36" s="172">
        <v>32.26</v>
      </c>
    </row>
    <row r="37" ht="12.75" customHeight="1"/>
    <row r="38" ht="12.75" customHeight="1">
      <c r="A38" s="169" t="s">
        <v>80</v>
      </c>
      <c r="C38" s="169" t="s">
        <v>389</v>
      </c>
      <c r="H38" s="169" t="s">
        <v>387</v>
      </c>
      <c r="I38" s="172">
        <v>252.5</v>
      </c>
      <c r="K38" s="172">
        <v>33.18</v>
      </c>
      <c r="O38" s="172">
        <v>8377.95</v>
      </c>
    </row>
    <row r="39" ht="12.75" customHeight="1"/>
    <row r="40" ht="12.75" customHeight="1">
      <c r="A40" s="169" t="s">
        <v>145</v>
      </c>
      <c r="C40" s="169" t="s">
        <v>390</v>
      </c>
      <c r="H40" s="169" t="s">
        <v>372</v>
      </c>
      <c r="K40" s="172">
        <v>62.01</v>
      </c>
    </row>
    <row r="41" ht="12.75" customHeight="1"/>
    <row r="42" ht="12.75" customHeight="1">
      <c r="A42" s="169" t="s">
        <v>145</v>
      </c>
      <c r="C42" s="169" t="s">
        <v>391</v>
      </c>
      <c r="H42" s="169" t="s">
        <v>387</v>
      </c>
      <c r="I42" s="172">
        <v>176.0</v>
      </c>
      <c r="K42" s="172">
        <v>19.85</v>
      </c>
      <c r="O42" s="172">
        <v>3493.6</v>
      </c>
    </row>
    <row r="43" ht="12.75" customHeight="1"/>
    <row r="44" ht="12.75" customHeight="1">
      <c r="A44" s="169" t="s">
        <v>392</v>
      </c>
      <c r="C44" s="169" t="s">
        <v>393</v>
      </c>
      <c r="H44" s="169" t="s">
        <v>372</v>
      </c>
      <c r="K44" s="172">
        <v>28.03</v>
      </c>
    </row>
    <row r="45" ht="12.75" customHeight="1"/>
    <row r="46" ht="12.75" customHeight="1">
      <c r="A46" s="169" t="s">
        <v>394</v>
      </c>
      <c r="C46" s="169" t="s">
        <v>395</v>
      </c>
      <c r="H46" s="169" t="s">
        <v>372</v>
      </c>
      <c r="I46" s="172">
        <v>302.8</v>
      </c>
      <c r="K46" s="172">
        <v>56.64</v>
      </c>
      <c r="O46" s="172">
        <v>17150.59</v>
      </c>
    </row>
    <row r="47" ht="12.75" customHeight="1"/>
    <row r="48" ht="12.75" customHeight="1">
      <c r="A48" s="169" t="s">
        <v>396</v>
      </c>
      <c r="C48" s="169" t="s">
        <v>397</v>
      </c>
      <c r="H48" s="169" t="s">
        <v>398</v>
      </c>
      <c r="I48" s="172">
        <v>7724.37</v>
      </c>
      <c r="K48" s="172">
        <v>5.27</v>
      </c>
      <c r="O48" s="172">
        <v>40707.43</v>
      </c>
    </row>
    <row r="49" ht="12.75" customHeight="1"/>
    <row r="50" ht="12.75" customHeight="1">
      <c r="A50" s="169" t="s">
        <v>399</v>
      </c>
      <c r="C50" s="169" t="s">
        <v>400</v>
      </c>
      <c r="H50" s="169" t="s">
        <v>387</v>
      </c>
      <c r="K50" s="172">
        <v>389.41</v>
      </c>
    </row>
    <row r="51" ht="12.75" customHeight="1"/>
    <row r="52" ht="12.75" customHeight="1">
      <c r="A52" s="169" t="s">
        <v>401</v>
      </c>
      <c r="E52" s="170" t="s">
        <v>402</v>
      </c>
      <c r="R52" s="171">
        <v>27798.75</v>
      </c>
    </row>
    <row r="53" ht="12.75" customHeight="1"/>
    <row r="54" ht="12.75" customHeight="1">
      <c r="A54" s="169" t="s">
        <v>403</v>
      </c>
      <c r="C54" s="169" t="s">
        <v>404</v>
      </c>
      <c r="H54" s="169" t="s">
        <v>387</v>
      </c>
      <c r="K54" s="172">
        <v>480.33</v>
      </c>
    </row>
    <row r="55" ht="12.75" customHeight="1"/>
    <row r="56" ht="12.75" customHeight="1">
      <c r="A56" s="169" t="s">
        <v>405</v>
      </c>
      <c r="C56" s="169" t="s">
        <v>406</v>
      </c>
      <c r="H56" s="169" t="s">
        <v>198</v>
      </c>
      <c r="K56" s="172">
        <v>1563.11</v>
      </c>
    </row>
    <row r="57" ht="12.75" customHeight="1"/>
    <row r="58" ht="12.75" customHeight="1">
      <c r="A58" s="169" t="s">
        <v>407</v>
      </c>
      <c r="C58" s="169" t="s">
        <v>408</v>
      </c>
      <c r="H58" s="169" t="s">
        <v>198</v>
      </c>
      <c r="K58" s="172">
        <v>1022.97</v>
      </c>
    </row>
    <row r="59" ht="12.75" customHeight="1"/>
    <row r="60" ht="12.75" customHeight="1">
      <c r="A60" s="169" t="s">
        <v>409</v>
      </c>
      <c r="C60" s="169" t="s">
        <v>410</v>
      </c>
      <c r="H60" s="169" t="s">
        <v>198</v>
      </c>
      <c r="K60" s="172">
        <v>58.57</v>
      </c>
    </row>
    <row r="61" ht="12.75" customHeight="1"/>
    <row r="62" ht="12.75" customHeight="1">
      <c r="A62" s="169" t="s">
        <v>411</v>
      </c>
      <c r="C62" s="169" t="s">
        <v>412</v>
      </c>
      <c r="H62" s="169" t="s">
        <v>372</v>
      </c>
      <c r="K62" s="172">
        <v>61.92</v>
      </c>
    </row>
    <row r="63" ht="12.75" customHeight="1"/>
    <row r="64" ht="12.75" customHeight="1">
      <c r="A64" s="169" t="s">
        <v>413</v>
      </c>
      <c r="C64" s="169" t="s">
        <v>414</v>
      </c>
      <c r="H64" s="169" t="s">
        <v>387</v>
      </c>
      <c r="K64" s="172">
        <v>75.78</v>
      </c>
    </row>
    <row r="65" ht="12.75" customHeight="1"/>
    <row r="66" ht="12.75" customHeight="1">
      <c r="A66" s="169" t="s">
        <v>415</v>
      </c>
      <c r="E66" s="170" t="s">
        <v>416</v>
      </c>
    </row>
    <row r="67" ht="12.75" customHeight="1"/>
    <row r="68" ht="12.75" customHeight="1">
      <c r="A68" s="169" t="s">
        <v>417</v>
      </c>
      <c r="C68" s="169" t="s">
        <v>418</v>
      </c>
      <c r="H68" s="169" t="s">
        <v>372</v>
      </c>
      <c r="I68" s="172">
        <v>240.95</v>
      </c>
      <c r="K68" s="172">
        <v>68.25</v>
      </c>
      <c r="O68" s="172">
        <v>16444.84</v>
      </c>
    </row>
    <row r="69" ht="12.75" customHeight="1"/>
    <row r="70" ht="12.75" customHeight="1">
      <c r="A70" s="169" t="s">
        <v>419</v>
      </c>
      <c r="C70" s="169" t="s">
        <v>397</v>
      </c>
      <c r="H70" s="169" t="s">
        <v>398</v>
      </c>
      <c r="I70" s="172">
        <v>8027.14</v>
      </c>
      <c r="K70" s="172">
        <v>5.27</v>
      </c>
      <c r="O70" s="172">
        <v>42303.03</v>
      </c>
    </row>
    <row r="71" ht="12.75" customHeight="1"/>
    <row r="72" ht="12.75" customHeight="1">
      <c r="A72" s="169" t="s">
        <v>420</v>
      </c>
      <c r="C72" s="169" t="s">
        <v>421</v>
      </c>
      <c r="H72" s="169" t="s">
        <v>422</v>
      </c>
      <c r="K72" s="172">
        <v>9.31</v>
      </c>
    </row>
    <row r="73" ht="12.75" customHeight="1"/>
    <row r="74" ht="12.75" customHeight="1">
      <c r="A74" s="169" t="s">
        <v>423</v>
      </c>
      <c r="C74" s="169" t="s">
        <v>424</v>
      </c>
      <c r="H74" s="169" t="s">
        <v>387</v>
      </c>
      <c r="K74" s="172">
        <v>427.5</v>
      </c>
    </row>
    <row r="75" ht="12.75" customHeight="1"/>
    <row r="76" ht="12.75" customHeight="1">
      <c r="A76" s="169" t="s">
        <v>425</v>
      </c>
      <c r="E76" s="170" t="s">
        <v>426</v>
      </c>
    </row>
    <row r="77" ht="12.75" customHeight="1"/>
    <row r="78" ht="12.75" customHeight="1">
      <c r="A78" s="169" t="s">
        <v>427</v>
      </c>
      <c r="C78" s="169" t="s">
        <v>418</v>
      </c>
      <c r="H78" s="169" t="s">
        <v>372</v>
      </c>
      <c r="I78" s="172">
        <v>90.0</v>
      </c>
      <c r="K78" s="172">
        <v>68.25</v>
      </c>
      <c r="O78" s="172">
        <v>6142.5</v>
      </c>
    </row>
    <row r="79" ht="12.75" customHeight="1"/>
    <row r="80" ht="12.75" customHeight="1">
      <c r="A80" s="169" t="s">
        <v>428</v>
      </c>
      <c r="C80" s="169" t="s">
        <v>397</v>
      </c>
      <c r="H80" s="169" t="s">
        <v>398</v>
      </c>
      <c r="I80" s="172">
        <v>3291.79</v>
      </c>
      <c r="K80" s="172">
        <v>5.27</v>
      </c>
      <c r="O80" s="172">
        <v>17347.73</v>
      </c>
    </row>
    <row r="81" ht="12.75" customHeight="1"/>
    <row r="82" ht="12.75" customHeight="1">
      <c r="A82" s="169" t="s">
        <v>429</v>
      </c>
      <c r="C82" s="169" t="s">
        <v>430</v>
      </c>
      <c r="H82" s="169" t="s">
        <v>387</v>
      </c>
      <c r="K82" s="172">
        <v>431.4</v>
      </c>
    </row>
    <row r="83" ht="12.75" customHeight="1"/>
    <row r="84" ht="12.75" customHeight="1">
      <c r="A84" s="169" t="s">
        <v>431</v>
      </c>
      <c r="E84" s="170" t="s">
        <v>432</v>
      </c>
    </row>
    <row r="85" ht="12.75" customHeight="1"/>
    <row r="86" ht="12.75" customHeight="1">
      <c r="A86" s="169" t="s">
        <v>433</v>
      </c>
      <c r="C86" s="169" t="s">
        <v>418</v>
      </c>
      <c r="H86" s="169" t="s">
        <v>372</v>
      </c>
      <c r="I86" s="172">
        <v>35.0</v>
      </c>
      <c r="K86" s="172">
        <v>68.25</v>
      </c>
      <c r="O86" s="172">
        <v>2388.75</v>
      </c>
    </row>
    <row r="87" ht="12.75" customHeight="1"/>
    <row r="88" ht="12.75" customHeight="1">
      <c r="A88" s="169" t="s">
        <v>434</v>
      </c>
      <c r="C88" s="169" t="s">
        <v>397</v>
      </c>
      <c r="H88" s="169" t="s">
        <v>398</v>
      </c>
      <c r="I88" s="172">
        <v>943.35</v>
      </c>
      <c r="K88" s="172">
        <v>5.27</v>
      </c>
      <c r="O88" s="172">
        <v>4971.45</v>
      </c>
    </row>
    <row r="89" ht="12.75" customHeight="1"/>
    <row r="90" ht="12.75" customHeight="1">
      <c r="A90" s="169" t="s">
        <v>435</v>
      </c>
      <c r="C90" s="169" t="s">
        <v>430</v>
      </c>
      <c r="H90" s="169" t="s">
        <v>387</v>
      </c>
      <c r="K90" s="172">
        <v>431.4</v>
      </c>
    </row>
    <row r="91" ht="12.75" customHeight="1"/>
    <row r="92" ht="12.75" customHeight="1">
      <c r="A92" s="169" t="s">
        <v>436</v>
      </c>
      <c r="E92" s="170" t="s">
        <v>437</v>
      </c>
    </row>
    <row r="93" ht="12.75" customHeight="1"/>
    <row r="94" ht="12.75" customHeight="1">
      <c r="A94" s="169" t="s">
        <v>438</v>
      </c>
      <c r="E94" s="170" t="s">
        <v>33</v>
      </c>
    </row>
    <row r="95" ht="12.75" customHeight="1"/>
    <row r="96" ht="12.75" customHeight="1">
      <c r="A96" s="169" t="s">
        <v>439</v>
      </c>
      <c r="C96" s="169" t="s">
        <v>382</v>
      </c>
      <c r="H96" s="169" t="s">
        <v>372</v>
      </c>
      <c r="I96" s="172">
        <v>576.0</v>
      </c>
      <c r="K96" s="172">
        <v>4.63</v>
      </c>
      <c r="O96" s="172">
        <v>2666.88</v>
      </c>
    </row>
    <row r="97" ht="12.75" customHeight="1"/>
    <row r="98" ht="12.75" customHeight="1">
      <c r="A98" s="169" t="s">
        <v>440</v>
      </c>
      <c r="E98" s="170" t="s">
        <v>54</v>
      </c>
    </row>
    <row r="99" ht="12.75" customHeight="1"/>
    <row r="100" ht="12.75" customHeight="1">
      <c r="A100" s="169" t="s">
        <v>441</v>
      </c>
      <c r="C100" s="169" t="s">
        <v>442</v>
      </c>
      <c r="H100" s="169" t="s">
        <v>387</v>
      </c>
      <c r="I100" s="172">
        <v>502.8</v>
      </c>
      <c r="K100" s="172">
        <v>8.85</v>
      </c>
      <c r="O100" s="172">
        <v>4449.78</v>
      </c>
    </row>
    <row r="101" ht="12.75" customHeight="1"/>
    <row r="102" ht="12.75" customHeight="1">
      <c r="A102" s="169" t="s">
        <v>443</v>
      </c>
      <c r="C102" s="169" t="s">
        <v>444</v>
      </c>
      <c r="H102" s="169" t="s">
        <v>387</v>
      </c>
      <c r="I102" s="172">
        <v>502.8</v>
      </c>
      <c r="K102" s="172">
        <v>8.85</v>
      </c>
      <c r="O102" s="172">
        <v>4449.78</v>
      </c>
    </row>
    <row r="103" ht="12.75" customHeight="1"/>
    <row r="104" ht="12.75" customHeight="1">
      <c r="A104" s="169" t="s">
        <v>445</v>
      </c>
      <c r="C104" s="169" t="s">
        <v>446</v>
      </c>
      <c r="H104" s="169" t="s">
        <v>387</v>
      </c>
      <c r="I104" s="172">
        <v>502.8</v>
      </c>
      <c r="K104" s="172">
        <v>4.31</v>
      </c>
      <c r="O104" s="172">
        <v>2167.07</v>
      </c>
    </row>
    <row r="105" ht="12.75" customHeight="1"/>
    <row r="106" ht="12.75" customHeight="1">
      <c r="A106" s="169" t="s">
        <v>447</v>
      </c>
      <c r="C106" s="169" t="s">
        <v>448</v>
      </c>
      <c r="H106" s="169" t="s">
        <v>387</v>
      </c>
      <c r="I106" s="172">
        <v>502.8</v>
      </c>
      <c r="K106" s="172">
        <v>22.44</v>
      </c>
      <c r="O106" s="172">
        <v>11282.83</v>
      </c>
    </row>
    <row r="107" ht="12.75" customHeight="1"/>
    <row r="108" ht="12.75" customHeight="1">
      <c r="A108" s="169" t="s">
        <v>447</v>
      </c>
      <c r="C108" s="169" t="s">
        <v>449</v>
      </c>
      <c r="H108" s="169" t="s">
        <v>387</v>
      </c>
      <c r="K108" s="172">
        <v>7.81</v>
      </c>
    </row>
    <row r="109" ht="12.75" customHeight="1"/>
    <row r="110" ht="12.75" customHeight="1">
      <c r="A110" s="169" t="s">
        <v>450</v>
      </c>
      <c r="C110" s="169" t="s">
        <v>451</v>
      </c>
      <c r="H110" s="169" t="s">
        <v>387</v>
      </c>
      <c r="K110" s="172">
        <v>6.95</v>
      </c>
    </row>
    <row r="111" ht="12.75" customHeight="1"/>
    <row r="112" ht="12.75" customHeight="1">
      <c r="A112" s="169" t="s">
        <v>452</v>
      </c>
      <c r="C112" s="169" t="s">
        <v>453</v>
      </c>
      <c r="H112" s="169" t="s">
        <v>372</v>
      </c>
      <c r="K112" s="172">
        <v>32.41</v>
      </c>
    </row>
    <row r="113" ht="12.75" customHeight="1"/>
    <row r="114" ht="12.75" customHeight="1">
      <c r="A114" s="169" t="s">
        <v>454</v>
      </c>
      <c r="E114" s="170" t="s">
        <v>455</v>
      </c>
    </row>
    <row r="115" ht="12.75" customHeight="1"/>
    <row r="116" ht="12.75" customHeight="1">
      <c r="A116" s="169" t="s">
        <v>456</v>
      </c>
      <c r="E116" s="170" t="s">
        <v>33</v>
      </c>
    </row>
    <row r="117" ht="12.75" customHeight="1"/>
    <row r="118" ht="12.75" customHeight="1">
      <c r="A118" s="169" t="s">
        <v>457</v>
      </c>
      <c r="C118" s="169" t="s">
        <v>381</v>
      </c>
      <c r="H118" s="169" t="s">
        <v>372</v>
      </c>
      <c r="K118" s="172">
        <v>1.8</v>
      </c>
    </row>
    <row r="119" ht="12.75" customHeight="1"/>
    <row r="120" ht="12.75" customHeight="1">
      <c r="A120" s="169" t="s">
        <v>458</v>
      </c>
      <c r="C120" s="169" t="s">
        <v>382</v>
      </c>
      <c r="H120" s="169" t="s">
        <v>372</v>
      </c>
      <c r="I120" s="172">
        <v>576.0</v>
      </c>
      <c r="K120" s="172">
        <v>4.63</v>
      </c>
      <c r="O120" s="172">
        <v>2666.88</v>
      </c>
    </row>
    <row r="121" ht="12.75" customHeight="1"/>
    <row r="122" ht="12.75" customHeight="1">
      <c r="A122" s="169" t="s">
        <v>459</v>
      </c>
      <c r="E122" s="170" t="s">
        <v>54</v>
      </c>
    </row>
    <row r="123" ht="12.75" customHeight="1"/>
    <row r="124" ht="12.75" customHeight="1">
      <c r="A124" s="169" t="s">
        <v>460</v>
      </c>
      <c r="C124" s="169" t="s">
        <v>386</v>
      </c>
      <c r="H124" s="169" t="s">
        <v>387</v>
      </c>
      <c r="I124" s="172">
        <v>378.0</v>
      </c>
      <c r="K124" s="172">
        <v>17.01</v>
      </c>
      <c r="O124" s="172">
        <v>6429.78</v>
      </c>
    </row>
    <row r="125" ht="12.75" customHeight="1"/>
    <row r="126" ht="12.75" customHeight="1">
      <c r="A126" s="169" t="s">
        <v>461</v>
      </c>
      <c r="C126" s="169" t="s">
        <v>389</v>
      </c>
      <c r="H126" s="169" t="s">
        <v>387</v>
      </c>
      <c r="I126" s="172">
        <v>252.5</v>
      </c>
      <c r="K126" s="172">
        <v>33.18</v>
      </c>
      <c r="O126" s="172">
        <v>8377.95</v>
      </c>
    </row>
    <row r="127" ht="12.75" customHeight="1"/>
    <row r="128" ht="12.75" customHeight="1">
      <c r="A128" s="169" t="s">
        <v>462</v>
      </c>
      <c r="C128" s="169" t="s">
        <v>390</v>
      </c>
      <c r="H128" s="169" t="s">
        <v>372</v>
      </c>
      <c r="K128" s="172">
        <v>62.01</v>
      </c>
    </row>
    <row r="129" ht="12.75" customHeight="1"/>
    <row r="130" ht="12.75" customHeight="1">
      <c r="A130" s="169" t="s">
        <v>463</v>
      </c>
      <c r="C130" s="169" t="s">
        <v>391</v>
      </c>
      <c r="H130" s="169" t="s">
        <v>387</v>
      </c>
      <c r="I130" s="172">
        <v>176.0</v>
      </c>
      <c r="K130" s="172">
        <v>22.07</v>
      </c>
      <c r="O130" s="172">
        <v>3884.32</v>
      </c>
    </row>
    <row r="131" ht="12.75" customHeight="1"/>
    <row r="132" ht="12.75" customHeight="1">
      <c r="A132" s="169" t="s">
        <v>464</v>
      </c>
      <c r="E132" s="170" t="s">
        <v>465</v>
      </c>
    </row>
    <row r="133" ht="12.75" customHeight="1"/>
    <row r="134" ht="12.75" customHeight="1">
      <c r="A134" s="169" t="s">
        <v>466</v>
      </c>
      <c r="C134" s="169" t="s">
        <v>467</v>
      </c>
      <c r="H134" s="169" t="s">
        <v>387</v>
      </c>
      <c r="K134" s="172">
        <v>207.31</v>
      </c>
    </row>
    <row r="135" ht="12.75" customHeight="1"/>
    <row r="136" ht="12.75" customHeight="1">
      <c r="A136" s="169" t="s">
        <v>468</v>
      </c>
      <c r="C136" s="169" t="s">
        <v>469</v>
      </c>
      <c r="H136" s="169" t="s">
        <v>372</v>
      </c>
      <c r="K136" s="172">
        <v>74.14</v>
      </c>
    </row>
    <row r="137" ht="12.75" customHeight="1"/>
    <row r="138" ht="12.75" customHeight="1">
      <c r="A138" s="169" t="s">
        <v>470</v>
      </c>
      <c r="E138" s="170" t="s">
        <v>471</v>
      </c>
      <c r="R138" s="171">
        <v>22667.6</v>
      </c>
    </row>
    <row r="139" ht="12.75" customHeight="1"/>
    <row r="140" ht="12.75" customHeight="1">
      <c r="A140" s="169" t="s">
        <v>472</v>
      </c>
      <c r="C140" s="169" t="s">
        <v>473</v>
      </c>
      <c r="H140" s="169" t="s">
        <v>198</v>
      </c>
      <c r="I140" s="172">
        <v>2.0</v>
      </c>
      <c r="K140" s="172">
        <v>3106.52</v>
      </c>
      <c r="O140" s="172">
        <v>6213.04</v>
      </c>
    </row>
    <row r="141" ht="12.75" customHeight="1"/>
    <row r="142" ht="12.75" customHeight="1">
      <c r="A142" s="169" t="s">
        <v>474</v>
      </c>
      <c r="C142" s="169" t="s">
        <v>475</v>
      </c>
      <c r="H142" s="169" t="s">
        <v>198</v>
      </c>
      <c r="I142" s="172">
        <v>2.0</v>
      </c>
      <c r="K142" s="172">
        <v>4606.52</v>
      </c>
      <c r="O142" s="172">
        <v>9213.04</v>
      </c>
    </row>
    <row r="143" ht="12.75" customHeight="1"/>
    <row r="144" ht="12.75" customHeight="1">
      <c r="A144" s="169" t="s">
        <v>476</v>
      </c>
      <c r="C144" s="169" t="s">
        <v>477</v>
      </c>
      <c r="H144" s="169" t="s">
        <v>208</v>
      </c>
      <c r="I144" s="172">
        <v>19.2</v>
      </c>
      <c r="K144" s="172">
        <v>8.7</v>
      </c>
      <c r="O144" s="172">
        <v>167.04</v>
      </c>
    </row>
    <row r="145" ht="12.75" customHeight="1"/>
    <row r="146" ht="12.75" customHeight="1">
      <c r="A146" s="169" t="s">
        <v>478</v>
      </c>
      <c r="C146" s="169" t="s">
        <v>479</v>
      </c>
      <c r="H146" s="169" t="s">
        <v>208</v>
      </c>
      <c r="I146" s="172">
        <v>7.2</v>
      </c>
      <c r="K146" s="172">
        <v>166.09</v>
      </c>
      <c r="O146" s="172">
        <v>1195.85</v>
      </c>
    </row>
    <row r="147" ht="12.75" customHeight="1"/>
    <row r="148" ht="12.75" customHeight="1">
      <c r="A148" s="169" t="s">
        <v>480</v>
      </c>
      <c r="C148" s="169" t="s">
        <v>481</v>
      </c>
      <c r="H148" s="169" t="s">
        <v>208</v>
      </c>
      <c r="I148" s="172">
        <v>50.0</v>
      </c>
      <c r="K148" s="172">
        <v>798.3</v>
      </c>
      <c r="O148" s="172">
        <v>39915.0</v>
      </c>
    </row>
    <row r="149" ht="12.75" customHeight="1"/>
    <row r="150" ht="12.75" customHeight="1">
      <c r="A150" s="169" t="s">
        <v>482</v>
      </c>
      <c r="C150" s="169" t="s">
        <v>483</v>
      </c>
      <c r="H150" s="169" t="s">
        <v>372</v>
      </c>
      <c r="I150" s="172">
        <v>81.6</v>
      </c>
      <c r="K150" s="172">
        <v>8.57</v>
      </c>
      <c r="O150" s="172">
        <v>699.31</v>
      </c>
    </row>
    <row r="151" ht="12.75" customHeight="1"/>
    <row r="152" ht="12.75" customHeight="1">
      <c r="A152" s="169" t="s">
        <v>484</v>
      </c>
      <c r="C152" s="169" t="s">
        <v>485</v>
      </c>
      <c r="H152" s="169" t="s">
        <v>208</v>
      </c>
      <c r="I152" s="172">
        <v>6.0</v>
      </c>
      <c r="K152" s="172">
        <v>13.27</v>
      </c>
      <c r="O152" s="172">
        <v>79.62</v>
      </c>
    </row>
    <row r="153" ht="12.75" customHeight="1"/>
    <row r="154" ht="12.75" customHeight="1">
      <c r="A154" s="169" t="s">
        <v>486</v>
      </c>
      <c r="C154" s="169" t="s">
        <v>487</v>
      </c>
      <c r="H154" s="169" t="s">
        <v>198</v>
      </c>
      <c r="I154" s="172">
        <v>1.0</v>
      </c>
      <c r="K154" s="172">
        <v>700.0</v>
      </c>
      <c r="O154" s="172">
        <v>700.0</v>
      </c>
    </row>
    <row r="155" ht="12.75" customHeight="1"/>
    <row r="156" ht="12.75" customHeight="1">
      <c r="A156" s="169" t="s">
        <v>488</v>
      </c>
      <c r="E156" s="170" t="s">
        <v>489</v>
      </c>
    </row>
    <row r="157" ht="12.75" customHeight="1"/>
    <row r="158" ht="12.75" customHeight="1">
      <c r="A158" s="169" t="s">
        <v>490</v>
      </c>
      <c r="C158" s="169" t="s">
        <v>491</v>
      </c>
      <c r="H158" s="169" t="s">
        <v>198</v>
      </c>
      <c r="K158" s="172">
        <v>486.46</v>
      </c>
    </row>
    <row r="159" ht="12.75" customHeight="1"/>
    <row r="160" ht="12.75" customHeight="1">
      <c r="A160" s="169" t="s">
        <v>492</v>
      </c>
      <c r="C160" s="169" t="s">
        <v>493</v>
      </c>
      <c r="H160" s="169" t="s">
        <v>198</v>
      </c>
      <c r="K160" s="172">
        <v>636.46</v>
      </c>
    </row>
    <row r="161" ht="12.75" customHeight="1"/>
    <row r="162" ht="12.75" customHeight="1">
      <c r="A162" s="169" t="s">
        <v>494</v>
      </c>
      <c r="C162" s="169" t="s">
        <v>495</v>
      </c>
      <c r="H162" s="169" t="s">
        <v>198</v>
      </c>
      <c r="K162" s="172">
        <v>536.46</v>
      </c>
    </row>
    <row r="163" ht="12.75" customHeight="1"/>
    <row r="164" ht="12.75" customHeight="1">
      <c r="A164" s="169" t="s">
        <v>496</v>
      </c>
      <c r="C164" s="169" t="s">
        <v>497</v>
      </c>
      <c r="H164" s="169" t="s">
        <v>208</v>
      </c>
      <c r="K164" s="172">
        <v>10.16</v>
      </c>
    </row>
    <row r="165" ht="12.75" customHeight="1"/>
    <row r="166" ht="12.75" customHeight="1">
      <c r="A166" s="169" t="s">
        <v>498</v>
      </c>
      <c r="C166" s="169" t="s">
        <v>499</v>
      </c>
      <c r="H166" s="169" t="s">
        <v>372</v>
      </c>
      <c r="I166" s="172">
        <v>12.5</v>
      </c>
      <c r="K166" s="172">
        <v>16.48</v>
      </c>
      <c r="O166" s="172">
        <v>206.0</v>
      </c>
    </row>
    <row r="167" ht="12.75" customHeight="1"/>
    <row r="168" ht="12.75" customHeight="1">
      <c r="A168" s="169" t="s">
        <v>500</v>
      </c>
      <c r="E168" s="170" t="s">
        <v>501</v>
      </c>
      <c r="R168" s="171">
        <v>2800.59</v>
      </c>
    </row>
    <row r="169" ht="12.75" customHeight="1"/>
    <row r="170" ht="12.75" customHeight="1">
      <c r="A170" s="169" t="s">
        <v>502</v>
      </c>
      <c r="C170" s="169" t="s">
        <v>503</v>
      </c>
      <c r="H170" s="169" t="s">
        <v>372</v>
      </c>
      <c r="I170" s="172">
        <v>600.0</v>
      </c>
      <c r="K170" s="172">
        <v>4.2</v>
      </c>
      <c r="O170" s="172">
        <v>2520.0</v>
      </c>
    </row>
    <row r="171" ht="12.75" customHeight="1"/>
    <row r="172" ht="12.75" customHeight="1">
      <c r="A172" s="169" t="s">
        <v>504</v>
      </c>
      <c r="C172" s="169" t="s">
        <v>505</v>
      </c>
      <c r="H172" s="169" t="s">
        <v>372</v>
      </c>
      <c r="I172" s="172">
        <v>18.0</v>
      </c>
      <c r="K172" s="172">
        <v>2.01</v>
      </c>
      <c r="O172" s="172">
        <v>36.18</v>
      </c>
    </row>
    <row r="173" ht="12.75" customHeight="1"/>
    <row r="174" ht="12.75" customHeight="1">
      <c r="A174" s="169" t="s">
        <v>506</v>
      </c>
      <c r="E174" s="170" t="s">
        <v>507</v>
      </c>
      <c r="R174" s="171">
        <v>5000.0</v>
      </c>
    </row>
    <row r="175" ht="12.75" customHeight="1"/>
    <row r="176" ht="12.75" customHeight="1">
      <c r="A176" s="169" t="s">
        <v>508</v>
      </c>
      <c r="C176" s="169" t="s">
        <v>509</v>
      </c>
      <c r="H176" s="169" t="s">
        <v>198</v>
      </c>
      <c r="I176" s="172">
        <v>3.0</v>
      </c>
      <c r="K176" s="172">
        <v>1200.0</v>
      </c>
      <c r="O176" s="172">
        <v>3600.0</v>
      </c>
    </row>
    <row r="177" ht="12.75" customHeight="1"/>
    <row r="178" ht="12.75" customHeight="1">
      <c r="A178" s="169" t="s">
        <v>510</v>
      </c>
      <c r="C178" s="169" t="s">
        <v>511</v>
      </c>
      <c r="H178" s="169" t="s">
        <v>198</v>
      </c>
      <c r="I178" s="172">
        <v>1.0</v>
      </c>
      <c r="K178" s="172">
        <v>400.0</v>
      </c>
      <c r="O178" s="172">
        <v>400.0</v>
      </c>
    </row>
    <row r="179" ht="12.75" customHeight="1"/>
    <row r="180" ht="12.75" customHeight="1">
      <c r="A180" s="169" t="s">
        <v>512</v>
      </c>
      <c r="C180" s="169" t="s">
        <v>513</v>
      </c>
      <c r="H180" s="169" t="s">
        <v>198</v>
      </c>
      <c r="I180" s="172">
        <v>2.0</v>
      </c>
      <c r="K180" s="172">
        <v>500.0</v>
      </c>
      <c r="O180" s="172">
        <v>1000.0</v>
      </c>
    </row>
    <row r="181" ht="12.75" customHeight="1"/>
    <row r="182" ht="12.75" customHeight="1">
      <c r="A182" s="169" t="s">
        <v>514</v>
      </c>
      <c r="E182" s="170" t="s">
        <v>515</v>
      </c>
      <c r="R182" s="171">
        <v>26167.2</v>
      </c>
    </row>
    <row r="183" ht="12.75" customHeight="1"/>
    <row r="184" ht="12.75" customHeight="1">
      <c r="A184" s="169" t="s">
        <v>516</v>
      </c>
      <c r="C184" s="169" t="s">
        <v>517</v>
      </c>
      <c r="H184" s="169" t="s">
        <v>518</v>
      </c>
      <c r="I184" s="172">
        <v>218.06</v>
      </c>
      <c r="K184" s="172">
        <v>120.0</v>
      </c>
      <c r="O184" s="172">
        <v>26167.2</v>
      </c>
    </row>
    <row r="185" ht="12.75" customHeight="1"/>
    <row r="186" ht="12.75" customHeight="1">
      <c r="I186" s="173" t="s">
        <v>519</v>
      </c>
      <c r="J186" s="174">
        <v>41254.838900462964</v>
      </c>
    </row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