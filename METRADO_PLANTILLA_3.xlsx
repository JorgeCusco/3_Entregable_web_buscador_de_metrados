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8_{2CEA23B4-58CB-49AF-BD48-7F2C7A330F2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rado Estructuras" sheetId="2" state="hidden" r:id="rId1"/>
    <sheet name="METRADO" sheetId="3" r:id="rId2"/>
    <sheet name="Hoja1" sheetId="4" state="hidden" r:id="rId3"/>
  </sheets>
  <definedNames>
    <definedName name="_____">#REF!</definedName>
    <definedName name="___________________PAG1">#REF!</definedName>
    <definedName name="__________________PAG1">#REF!</definedName>
    <definedName name="_________________PAG1">#REF!</definedName>
    <definedName name="________________PAG1">#REF!</definedName>
    <definedName name="_______________PAG1">#REF!</definedName>
    <definedName name="______________PAG1">#REF!</definedName>
    <definedName name="_____________PAG1">#REF!</definedName>
    <definedName name="____________PAG1">#REF!</definedName>
    <definedName name="___________PAG1">#REF!</definedName>
    <definedName name="__________PAG1">#REF!</definedName>
    <definedName name="_________HOJ1">#REF!</definedName>
    <definedName name="_________HOJ2">#REF!</definedName>
    <definedName name="_________HOJ3">#REF!</definedName>
    <definedName name="_________PAG1">#REF!</definedName>
    <definedName name="________HOJ1">#REF!</definedName>
    <definedName name="________HOJ2">#REF!</definedName>
    <definedName name="________HOJ3">#REF!</definedName>
    <definedName name="________HOJ4">#REF!</definedName>
    <definedName name="________PAG1">#REF!</definedName>
    <definedName name="_______HOJ4">#REF!</definedName>
    <definedName name="_______PAG1">#REF!</definedName>
    <definedName name="______HOJ1">#REF!</definedName>
    <definedName name="______HOJ2">#REF!</definedName>
    <definedName name="______HOJ3">#REF!</definedName>
    <definedName name="______HOJ4">#REF!</definedName>
    <definedName name="______PAG1">#REF!</definedName>
    <definedName name="_____A1">#REF!</definedName>
    <definedName name="_____A2">#REF!</definedName>
    <definedName name="_____A3">#REF!</definedName>
    <definedName name="_____A5">#REF!</definedName>
    <definedName name="_____HOJ1">#REF!</definedName>
    <definedName name="_____HOJ2">#REF!</definedName>
    <definedName name="_____HOJ3">#REF!</definedName>
    <definedName name="_____HOJ4">#REF!</definedName>
    <definedName name="_____n1">#REF!</definedName>
    <definedName name="_____n2">#REF!</definedName>
    <definedName name="_____PAG1">#REF!</definedName>
    <definedName name="_____S1">#REF!</definedName>
    <definedName name="____A4">#REF!</definedName>
    <definedName name="____h1">#REF!</definedName>
    <definedName name="____h2">#REF!</definedName>
    <definedName name="____HOJ1">#REF!</definedName>
    <definedName name="____HOJ2">#REF!</definedName>
    <definedName name="____HOJ3">#REF!</definedName>
    <definedName name="____HOJ4">#REF!</definedName>
    <definedName name="____PAG1">#REF!</definedName>
    <definedName name="___h1">#REF!</definedName>
    <definedName name="___h2">#REF!</definedName>
    <definedName name="___HOJ1">#REF!</definedName>
    <definedName name="___HOJ2">#REF!</definedName>
    <definedName name="___HOJ3">#REF!</definedName>
    <definedName name="___HOJ4">#REF!</definedName>
    <definedName name="___PAG1">#REF!</definedName>
    <definedName name="__123Graph_A">#REF!</definedName>
    <definedName name="__123Graph_AGraph10">#REF!</definedName>
    <definedName name="__123Graph_AGraph11">#REF!</definedName>
    <definedName name="__123Graph_AGraph12">#REF!</definedName>
    <definedName name="__123Graph_AGraph13">#REF!</definedName>
    <definedName name="__123Graph_AGraph14">#REF!</definedName>
    <definedName name="__123Graph_AGraph15">#REF!</definedName>
    <definedName name="__123Graph_AGraph16">#REF!</definedName>
    <definedName name="__123Graph_AGraph17">#REF!</definedName>
    <definedName name="__123Graph_AGraph18">#REF!</definedName>
    <definedName name="__123Graph_AGraph2">#REF!</definedName>
    <definedName name="__123Graph_AGraph3">#REF!</definedName>
    <definedName name="__123Graph_AGraph4">#REF!</definedName>
    <definedName name="__123Graph_AGraph5">#REF!</definedName>
    <definedName name="__123Graph_AGraph6">#REF!</definedName>
    <definedName name="__123Graph_AGraph7">#REF!</definedName>
    <definedName name="__123Graph_AGraph8">#REF!</definedName>
    <definedName name="__123Graph_AGraph9">#REF!</definedName>
    <definedName name="__123Graph_X">#REF!</definedName>
    <definedName name="__123Graph_XGRA1">#REF!</definedName>
    <definedName name="__123Graph_XGRA2">#REF!</definedName>
    <definedName name="__123Graph_XGraph10">#REF!</definedName>
    <definedName name="__123Graph_XGraph11">#REF!</definedName>
    <definedName name="__123Graph_XGraph12">#REF!</definedName>
    <definedName name="__123Graph_XGraph13">#REF!</definedName>
    <definedName name="__123Graph_XGraph14">#REF!</definedName>
    <definedName name="__123Graph_XGraph15">#REF!</definedName>
    <definedName name="__123Graph_XGraph16">#REF!</definedName>
    <definedName name="__123Graph_XGraph17">#REF!</definedName>
    <definedName name="__123Graph_XGraph18">#REF!</definedName>
    <definedName name="__123Graph_XGraph3">#REF!</definedName>
    <definedName name="__123Graph_XGraph4">#REF!</definedName>
    <definedName name="__123Graph_XGraph5">#REF!</definedName>
    <definedName name="__123Graph_XGraph6">#REF!</definedName>
    <definedName name="__123Graph_XGraph7">#REF!</definedName>
    <definedName name="__123Graph_XGraph8">#REF!</definedName>
    <definedName name="__123Graph_XGraph9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AO7">#REF!</definedName>
    <definedName name="__CAO8">#REF!</definedName>
    <definedName name="__DAT03">#REF!</definedName>
    <definedName name="__DAT1">#REF!</definedName>
    <definedName name="__DAT2">#REF!</definedName>
    <definedName name="__Del26">#REF!</definedName>
    <definedName name="__del27">#REF!</definedName>
    <definedName name="__del29">#REF!</definedName>
    <definedName name="__del33">#REF!</definedName>
    <definedName name="__Del38">#REF!</definedName>
    <definedName name="__del42">#REF!</definedName>
    <definedName name="__del43">#REF!</definedName>
    <definedName name="__del9">#REF!</definedName>
    <definedName name="__h1">#REF!</definedName>
    <definedName name="__h2">#REF!</definedName>
    <definedName name="__HOJ1">#REF!</definedName>
    <definedName name="__HOJ2">#REF!</definedName>
    <definedName name="__HOJ3">#REF!</definedName>
    <definedName name="__HOJ4">#REF!</definedName>
    <definedName name="__MAY94">#REF!</definedName>
    <definedName name="__MET1">#REF!</definedName>
    <definedName name="__OP1">#REF!</definedName>
    <definedName name="__PA1">#REF!</definedName>
    <definedName name="__PAG1">#REF!</definedName>
    <definedName name="__PAG2">#REF!</definedName>
    <definedName name="_1_3_WEEK_SCHEDULE">#REF!</definedName>
    <definedName name="_2">#REF!</definedName>
    <definedName name="_211">#REF!</definedName>
    <definedName name="_211ProgFFSantoato">#REF!</definedName>
    <definedName name="_21326">#REF!</definedName>
    <definedName name="_2ACTION_REQUIRED">#REF!</definedName>
    <definedName name="_52132">#REF!</definedName>
    <definedName name="_A1">#REF!</definedName>
    <definedName name="_ABANCAY">#REF!</definedName>
    <definedName name="_ACM1">#REF!</definedName>
    <definedName name="_ACM2">#REF!</definedName>
    <definedName name="_ACM3">#REF!</definedName>
    <definedName name="_ACM4">#REF!</definedName>
    <definedName name="_ACOBAMBA">#REF!</definedName>
    <definedName name="_ACOMAYO">#REF!</definedName>
    <definedName name="_Ago1">#REF!</definedName>
    <definedName name="_Ago2">#REF!</definedName>
    <definedName name="_AIJA">#REF!</definedName>
    <definedName name="_ALTO_AMAZONAS">#REF!</definedName>
    <definedName name="_AMAZONAS">#REF!</definedName>
    <definedName name="_AMBO">#REF!</definedName>
    <definedName name="_ANCASH">#REF!</definedName>
    <definedName name="_ANDAHUAYLAS">#REF!</definedName>
    <definedName name="_ANGARAES">#REF!</definedName>
    <definedName name="_ANTA">#REF!</definedName>
    <definedName name="_ANTABAMBA">#REF!</definedName>
    <definedName name="_ANTONIO_RAYMONDI">#REF!</definedName>
    <definedName name="_APURIMAC">#REF!</definedName>
    <definedName name="_AREQUIPA">#REF!</definedName>
    <definedName name="_AREQUIPA_">#REF!</definedName>
    <definedName name="_ASCOPE">#REF!</definedName>
    <definedName name="_ASUNCION">#REF!</definedName>
    <definedName name="_ATALAYA">#REF!</definedName>
    <definedName name="_AYABACA">#REF!</definedName>
    <definedName name="_AYACUCHO">#REF!</definedName>
    <definedName name="_AYMARAES">#REF!</definedName>
    <definedName name="_AZANGARO">#REF!</definedName>
    <definedName name="_BAGUA">#REF!</definedName>
    <definedName name="_BARRANCA">#REF!</definedName>
    <definedName name="_BELLAVISTA">#REF!</definedName>
    <definedName name="_BOLIVAR">#REF!</definedName>
    <definedName name="_BOLOGNESI">#REF!</definedName>
    <definedName name="_BONGARA">#REF!</definedName>
    <definedName name="_C0001">#REF!</definedName>
    <definedName name="_C002">#REF!</definedName>
    <definedName name="_CAJABAMBA">#REF!</definedName>
    <definedName name="_CAJAMARCA">#REF!</definedName>
    <definedName name="_CAJAMARCA_">#REF!</definedName>
    <definedName name="_CAJATAMBO">#REF!</definedName>
    <definedName name="_CALCA">#REF!</definedName>
    <definedName name="_CALLAO">#REF!</definedName>
    <definedName name="_CAMANA">#REF!</definedName>
    <definedName name="_CANAS">#REF!</definedName>
    <definedName name="_CANCHIS">#REF!</definedName>
    <definedName name="_CANDARAVE">#REF!</definedName>
    <definedName name="_CANGALLO">#REF!</definedName>
    <definedName name="_CANTA">#REF!</definedName>
    <definedName name="_CAÑE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O7">#REF!</definedName>
    <definedName name="_CAO8">#REF!</definedName>
    <definedName name="_CARABAYA">#REF!</definedName>
    <definedName name="_CARAVELI">#REF!</definedName>
    <definedName name="_CARHUAZ">#REF!</definedName>
    <definedName name="_CARLOS_FERMIN_FITZCARRALD">#REF!</definedName>
    <definedName name="_CASMA">#REF!</definedName>
    <definedName name="_CASTILLA">#REF!</definedName>
    <definedName name="_CASTROVIRREYNA">#REF!</definedName>
    <definedName name="_CAYLLOMA">#REF!</definedName>
    <definedName name="_CELENDIN">#REF!</definedName>
    <definedName name="_CHACHAPOYAS">#REF!</definedName>
    <definedName name="_CHANCHAMAYO">#REF!</definedName>
    <definedName name="_CHEPEN">#REF!</definedName>
    <definedName name="_CHICLAYO">#REF!</definedName>
    <definedName name="_CHINCHA">#REF!</definedName>
    <definedName name="_CHINCHEROS">#REF!</definedName>
    <definedName name="_CHOTA">#REF!</definedName>
    <definedName name="_CHUCUITO">#REF!</definedName>
    <definedName name="_CHUMBIVILCAS">#REF!</definedName>
    <definedName name="_CHUPACA">#REF!</definedName>
    <definedName name="_CHURCAMPA">#REF!</definedName>
    <definedName name="_CONCEPCION">#REF!</definedName>
    <definedName name="_CONDESUYOS">#REF!</definedName>
    <definedName name="_CONDORCANQUI">#REF!</definedName>
    <definedName name="_CONTRALMIRANTE_VILLAR">#REF!</definedName>
    <definedName name="_CONTUMAZA">#REF!</definedName>
    <definedName name="_CORONEL_PORTILLO">#REF!</definedName>
    <definedName name="_CORONGO">#REF!</definedName>
    <definedName name="_COTABAMBAS">#REF!</definedName>
    <definedName name="_CSC1">#REF!</definedName>
    <definedName name="_CTZ1">#REF!</definedName>
    <definedName name="_CTZ2">#REF!</definedName>
    <definedName name="_CTZ3">#REF!</definedName>
    <definedName name="_CUSCO">#REF!</definedName>
    <definedName name="_CUSCO_">#REF!</definedName>
    <definedName name="_CUTERVO">#REF!</definedName>
    <definedName name="_DANIEL_ALCIDES_CARRION">#REF!</definedName>
    <definedName name="_DATEM_DEL_MARAÑON">#REF!</definedName>
    <definedName name="_Dist_Bin">#REF!</definedName>
    <definedName name="_Dist_Values">#REF!</definedName>
    <definedName name="_DOS_DE_MAYO">#REF!</definedName>
    <definedName name="_e.g">#REF!</definedName>
    <definedName name="_E1">#REF!</definedName>
    <definedName name="_EL_DORADO">#REF!</definedName>
    <definedName name="_ESPINAR">#REF!</definedName>
    <definedName name="_FERREÑAFE">#REF!</definedName>
    <definedName name="_Fill">#REF!</definedName>
    <definedName name="_fjtjdtyj">#REF!</definedName>
    <definedName name="_fs">#REF!</definedName>
    <definedName name="_fsd">#REF!</definedName>
    <definedName name="_Fsdf">#REF!</definedName>
    <definedName name="_GENERAL_SANCHEZ_CARRION">#REF!</definedName>
    <definedName name="_GRAN_CHIMU">#REF!</definedName>
    <definedName name="_GRAU">#REF!</definedName>
    <definedName name="_h1">#REF!</definedName>
    <definedName name="_h2">#REF!</definedName>
    <definedName name="_HOJ1">#REF!</definedName>
    <definedName name="_HOJ2">#REF!</definedName>
    <definedName name="_HOJ3">#REF!</definedName>
    <definedName name="_HOJ32">#REF!</definedName>
    <definedName name="_HOJ4">#REF!</definedName>
    <definedName name="_HOJ5">#REF!</definedName>
    <definedName name="_HUACAYBAMBA">#REF!</definedName>
    <definedName name="_HUALGAYOC">#REF!</definedName>
    <definedName name="_HUALLAGA">#REF!</definedName>
    <definedName name="_HUAMALIES">#REF!</definedName>
    <definedName name="_HUAMANGA">#REF!</definedName>
    <definedName name="_HUANCA_SANCOS">#REF!</definedName>
    <definedName name="_HUANCABAMBA">#REF!</definedName>
    <definedName name="_HUANCANE">#REF!</definedName>
    <definedName name="_HUANCAVELICA">#REF!</definedName>
    <definedName name="_HUANCAVELICA_">#REF!</definedName>
    <definedName name="_HUANCAYO_">#REF!</definedName>
    <definedName name="_HUANTA">#REF!</definedName>
    <definedName name="_HUANUCO">#REF!</definedName>
    <definedName name="_HUANUCO_">#REF!</definedName>
    <definedName name="_HUARAL">#REF!</definedName>
    <definedName name="_HUARAZ">#REF!</definedName>
    <definedName name="_HUARI">#REF!</definedName>
    <definedName name="_HUARMEY">#REF!</definedName>
    <definedName name="_HUAROCHIRI">#REF!</definedName>
    <definedName name="_HUAURA">#REF!</definedName>
    <definedName name="_HUAYLAS">#REF!</definedName>
    <definedName name="_HUAYTARA">#REF!</definedName>
    <definedName name="_ICA">#REF!</definedName>
    <definedName name="_ICA_">#REF!</definedName>
    <definedName name="_ILO">#REF!</definedName>
    <definedName name="_INS05">#REF!</definedName>
    <definedName name="_INS06">#REF!</definedName>
    <definedName name="_INS07">#REF!</definedName>
    <definedName name="_INS1">#REF!</definedName>
    <definedName name="_INS2">#REF!</definedName>
    <definedName name="_ISLAY">#REF!</definedName>
    <definedName name="_JAEN">#REF!</definedName>
    <definedName name="_JAUJA">#REF!</definedName>
    <definedName name="_jkfdsnf">#REF!</definedName>
    <definedName name="_JORGE_BASADRE">#REF!</definedName>
    <definedName name="_JULCAN">#REF!</definedName>
    <definedName name="_JUNIN">#REF!</definedName>
    <definedName name="_JUNIN_">#REF!</definedName>
    <definedName name="_Key1">#REF!</definedName>
    <definedName name="_Key2">#REF!</definedName>
    <definedName name="_kjdkw7">#REF!</definedName>
    <definedName name="_LA_CONVENCION">#REF!</definedName>
    <definedName name="_LA_LIBERTAD">#REF!</definedName>
    <definedName name="_LA_MAR">#REF!</definedName>
    <definedName name="_LA_UNION">#REF!</definedName>
    <definedName name="_LAMAS">#REF!</definedName>
    <definedName name="_LAMBAYEQUE">#REF!</definedName>
    <definedName name="_LAMBAYEQUE_">#REF!</definedName>
    <definedName name="_LAMPA">#REF!</definedName>
    <definedName name="_LAURICOCHA">#REF!</definedName>
    <definedName name="_LEONCIO_PRADO">#REF!</definedName>
    <definedName name="_LIMA">#REF!</definedName>
    <definedName name="_LIMA_">#REF!</definedName>
    <definedName name="_LORETO">#REF!</definedName>
    <definedName name="_LORETO_">#REF!</definedName>
    <definedName name="_LP01">#REF!</definedName>
    <definedName name="_LP02">#REF!</definedName>
    <definedName name="_LUCANAS">#REF!</definedName>
    <definedName name="_LUYA">#REF!</definedName>
    <definedName name="_MADRE_DE_DIOS">#REF!</definedName>
    <definedName name="_MANU">#REF!</definedName>
    <definedName name="_MARAÑON">#REF!</definedName>
    <definedName name="_MARISCAL_CACERES">#REF!</definedName>
    <definedName name="_MARISCAL_LUZURIAGA">#REF!</definedName>
    <definedName name="_MARISCAL_NIETO">#REF!</definedName>
    <definedName name="_MARISCAL_RAMON_CASTILLA">#REF!</definedName>
    <definedName name="_MAY94">#REF!</definedName>
    <definedName name="_MAYNAS">#REF!</definedName>
    <definedName name="_MELGAR">#REF!</definedName>
    <definedName name="_MET1">#REF!</definedName>
    <definedName name="_MET2">#REF!</definedName>
    <definedName name="_MOHO">#REF!</definedName>
    <definedName name="_MOQUEGUA">#REF!</definedName>
    <definedName name="_MORROPON">#REF!</definedName>
    <definedName name="_MOYOBAMBA">#REF!</definedName>
    <definedName name="_MULTIDEPARTAMENTAL">#REF!</definedName>
    <definedName name="_NASCA">#REF!</definedName>
    <definedName name="_OCROS">#REF!</definedName>
    <definedName name="_OP1">#REF!</definedName>
    <definedName name="_OTUZCO">#REF!</definedName>
    <definedName name="_OXAPAMPA">#REF!</definedName>
    <definedName name="_OYON">#REF!</definedName>
    <definedName name="_PA1">#REF!</definedName>
    <definedName name="_PACASMAYO">#REF!</definedName>
    <definedName name="_PACHITEA">#REF!</definedName>
    <definedName name="_PADRE_ABAD">#REF!</definedName>
    <definedName name="_PAG1">#REF!</definedName>
    <definedName name="_PAG2">#REF!</definedName>
    <definedName name="_PAITA">#REF!</definedName>
    <definedName name="_PALLASCA">#REF!</definedName>
    <definedName name="_PALPA">#REF!</definedName>
    <definedName name="_PARINACOCHAS">#REF!</definedName>
    <definedName name="_Parse_In">#REF!</definedName>
    <definedName name="_Parse_Out">#REF!</definedName>
    <definedName name="_PARURO">#REF!</definedName>
    <definedName name="_PASCO">#REF!</definedName>
    <definedName name="_PASCO_">#REF!</definedName>
    <definedName name="_PATAZ">#REF!</definedName>
    <definedName name="_PAUCAR_DEL_SARA_SARA">#REF!</definedName>
    <definedName name="_PAUCARTAMBO">#REF!</definedName>
    <definedName name="_PICOTA">#REF!</definedName>
    <definedName name="_PISCO">#REF!</definedName>
    <definedName name="_PIURA">#REF!</definedName>
    <definedName name="_PIURA_">#REF!</definedName>
    <definedName name="_plpk">#REF!</definedName>
    <definedName name="_POMABAMBA">#REF!</definedName>
    <definedName name="_pre03">#REF!</definedName>
    <definedName name="_PROVINCIA_CONSTITUCIONAL_DEL_CALLAO">#REF!</definedName>
    <definedName name="_PUERTO_INCA">#REF!</definedName>
    <definedName name="_PUNO">#REF!</definedName>
    <definedName name="_PUNO_">#REF!</definedName>
    <definedName name="_PURUS">#REF!</definedName>
    <definedName name="_PUTUMAYO">#REF!</definedName>
    <definedName name="_QUISPICANCHI">#REF!</definedName>
    <definedName name="_rc">#REF!</definedName>
    <definedName name="_RECUAY">#REF!</definedName>
    <definedName name="_Regression_Out">#REF!</definedName>
    <definedName name="_Regression_X">#REF!</definedName>
    <definedName name="_Regression_Y">#REF!</definedName>
    <definedName name="_REQUENA">#REF!</definedName>
    <definedName name="_reyryr">#REF!</definedName>
    <definedName name="_RIOJA">#REF!</definedName>
    <definedName name="_RODRIGUEZ_DE_MENDOZA">#REF!</definedName>
    <definedName name="_RP01">#REF!</definedName>
    <definedName name="_RP02">#REF!</definedName>
    <definedName name="_SAN_ANTONIO_DE_PUTINA">#REF!</definedName>
    <definedName name="_SAN_IGNACIO">#REF!</definedName>
    <definedName name="_SAN_MARCOS">#REF!</definedName>
    <definedName name="_SAN_MARTIN">#REF!</definedName>
    <definedName name="_SAN_MARTIN_">#REF!</definedName>
    <definedName name="_SAN_MIGUEL">#REF!</definedName>
    <definedName name="_SAN_PABLO">#REF!</definedName>
    <definedName name="_SAN_ROMAN">#REF!</definedName>
    <definedName name="_SANCHEZ_CARRION">#REF!</definedName>
    <definedName name="_SANDIA">#REF!</definedName>
    <definedName name="_SANTA">#REF!</definedName>
    <definedName name="_SANTA_CRUZ">#REF!</definedName>
    <definedName name="_SANTIAGO_DE_CHUCO">#REF!</definedName>
    <definedName name="_SATIPO">#REF!</definedName>
    <definedName name="_SD_F">#REF!</definedName>
    <definedName name="_SECHURA">#REF!</definedName>
    <definedName name="_Sep1">#REF!</definedName>
    <definedName name="_Sep11">#REF!</definedName>
    <definedName name="_Sep2">#REF!</definedName>
    <definedName name="_SIHUAS">#REF!</definedName>
    <definedName name="_Sort">#REF!</definedName>
    <definedName name="_SUCRE">#REF!</definedName>
    <definedName name="_SULLANA">#REF!</definedName>
    <definedName name="_TACNA">#REF!</definedName>
    <definedName name="_TACNA_">#REF!</definedName>
    <definedName name="_TAHUAMANU">#REF!</definedName>
    <definedName name="_TALARA">#REF!</definedName>
    <definedName name="_TAMBOPATA">#REF!</definedName>
    <definedName name="_TARATA">#REF!</definedName>
    <definedName name="_TARMA">#REF!</definedName>
    <definedName name="_TAYACAJA">#REF!</definedName>
    <definedName name="_TOCACHE">#REF!</definedName>
    <definedName name="_TODOS">#REF!</definedName>
    <definedName name="_TRUJILLO">#REF!</definedName>
    <definedName name="_TUMBES">#REF!</definedName>
    <definedName name="_TUMBES_">#REF!</definedName>
    <definedName name="_UCAYALI">#REF!</definedName>
    <definedName name="_UCAYALI_">#REF!</definedName>
    <definedName name="_URUBAMBA">#REF!</definedName>
    <definedName name="_UTCUBAMBA">#REF!</definedName>
    <definedName name="_VICTOR_FAJARDO">#REF!</definedName>
    <definedName name="_VILCAS_HUAMAN">#REF!</definedName>
    <definedName name="_VIRU">#REF!</definedName>
    <definedName name="_YAROWILCA">#REF!</definedName>
    <definedName name="_YAULI">#REF!</definedName>
    <definedName name="_YAUYOS">#REF!</definedName>
    <definedName name="_YUNGAY">#REF!</definedName>
    <definedName name="_YUNGUYO">#REF!</definedName>
    <definedName name="_ZARUMILLA">#REF!</definedName>
    <definedName name="A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ENC">#REF!</definedName>
    <definedName name="A_IMPRESI_N_IM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aaa">#REF!</definedName>
    <definedName name="aaaaaaaaaaaaaaaaaaa">#REF!</definedName>
    <definedName name="aaaaasdxs341">#REF!</definedName>
    <definedName name="AAAASSS">#REF!</definedName>
    <definedName name="aaab">#REF!</definedName>
    <definedName name="aas">#REF!</definedName>
    <definedName name="AASASAS">#REF!</definedName>
    <definedName name="AASDFASDFASD">#REF!</definedName>
    <definedName name="aB">#REF!</definedName>
    <definedName name="abc">#REF!</definedName>
    <definedName name="ABCD">#REF!</definedName>
    <definedName name="abcdef">#REF!</definedName>
    <definedName name="ABR">#REF!</definedName>
    <definedName name="ABRIEL">#REF!</definedName>
    <definedName name="abril">#REF!</definedName>
    <definedName name="ABRILL">#REF!</definedName>
    <definedName name="abrilllll">#REF!</definedName>
    <definedName name="aC">#REF!</definedName>
    <definedName name="Acarreo">#REF!</definedName>
    <definedName name="ACE">#REF!</definedName>
    <definedName name="ACERO">#REF!</definedName>
    <definedName name="ACM">#REF!</definedName>
    <definedName name="ACOM_CC">#REF!</definedName>
    <definedName name="ACOM_SC">#REF!</definedName>
    <definedName name="acosta">#REF!</definedName>
    <definedName name="ACT">#REF!</definedName>
    <definedName name="Acumul03">#REF!</definedName>
    <definedName name="aD">#REF!</definedName>
    <definedName name="ADAD">#REF!</definedName>
    <definedName name="ADDDDDDDDDD">#REF!</definedName>
    <definedName name="adelanto">#REF!</definedName>
    <definedName name="adelanto_con_igv">#REF!</definedName>
    <definedName name="adg">#REF!</definedName>
    <definedName name="ADS">#REF!</definedName>
    <definedName name="adsAAAAA">#REF!</definedName>
    <definedName name="adsdfas">#REF!</definedName>
    <definedName name="adswaerae">#REF!</definedName>
    <definedName name="adwdasd">#REF!</definedName>
    <definedName name="adyt">#REF!</definedName>
    <definedName name="aeyfgbiwa">#REF!</definedName>
    <definedName name="AFA">#REF!</definedName>
    <definedName name="AFASDFASD">#REF!</definedName>
    <definedName name="afasdfasf">#REF!</definedName>
    <definedName name="AFP">#REF!</definedName>
    <definedName name="AG">#REF!</definedName>
    <definedName name="ago">#REF!</definedName>
    <definedName name="AGREGADO">#REF!</definedName>
    <definedName name="AGUA">#REF!</definedName>
    <definedName name="ahahahah">#REF!</definedName>
    <definedName name="ajk">#REF!</definedName>
    <definedName name="al22calle4">#REF!</definedName>
    <definedName name="al24izq">#REF!</definedName>
    <definedName name="al24pje6">#REF!</definedName>
    <definedName name="ALBER">#REF!</definedName>
    <definedName name="alc">#REF!</definedName>
    <definedName name="alCATORCE">#REF!</definedName>
    <definedName name="alCINCO">#REF!</definedName>
    <definedName name="alCINCUENTA">#REF!</definedName>
    <definedName name="alCuarentaiuno">#REF!</definedName>
    <definedName name="alCUATRO">#REF!</definedName>
    <definedName name="ALDICECINUEVEDEABRIL">#REF!</definedName>
    <definedName name="alDIECIOCHO">#REF!</definedName>
    <definedName name="almacen">#REF!</definedName>
    <definedName name="almcen">#REF!</definedName>
    <definedName name="ALMUERZO_FAENA">#REF!</definedName>
    <definedName name="alOCHO">#REF!</definedName>
    <definedName name="alONCE">#REF!</definedName>
    <definedName name="AlQuince">#REF!</definedName>
    <definedName name="alSEIS">#REF!</definedName>
    <definedName name="ALTO2">#REF!</definedName>
    <definedName name="alTRECE">#REF!</definedName>
    <definedName name="alTREINTA">#REF!</definedName>
    <definedName name="Altreintaicuatro">#REF!</definedName>
    <definedName name="altreintaitres">#REF!</definedName>
    <definedName name="alTREINTIDOS">#REF!</definedName>
    <definedName name="alTREINTITRES">#REF!</definedName>
    <definedName name="alTREITICINCO">#REF!</definedName>
    <definedName name="alturamuro">#REF!</definedName>
    <definedName name="alVEINTICINCO">#REF!</definedName>
    <definedName name="alVEINTICUATRO">#REF!</definedName>
    <definedName name="alVEINTIDOS">#REF!</definedName>
    <definedName name="alVEINTIOCHO">#REF!</definedName>
    <definedName name="alVEINTITRES">#REF!</definedName>
    <definedName name="AMBIENTE">#REF!</definedName>
    <definedName name="AMBIENTEANT">#REF!</definedName>
    <definedName name="amer">#REF!</definedName>
    <definedName name="An">#REF!</definedName>
    <definedName name="An_puen">#REF!</definedName>
    <definedName name="an_sar">#REF!</definedName>
    <definedName name="ana">#REF!</definedName>
    <definedName name="ANC_CAJA_ALC">#REF!</definedName>
    <definedName name="ANCHO2">#REF!</definedName>
    <definedName name="anchomuro">#REF!</definedName>
    <definedName name="ANCHOS">#REF!</definedName>
    <definedName name="ANEXO">#REF!</definedName>
    <definedName name="anexo2">#REF!</definedName>
    <definedName name="ANEXO31">#REF!</definedName>
    <definedName name="ANGH">#REF!</definedName>
    <definedName name="Anticipo">#REF!</definedName>
    <definedName name="año">#REF!</definedName>
    <definedName name="AporComu">#REF!</definedName>
    <definedName name="aportes">#REF!</definedName>
    <definedName name="AQAQAQAQAQ">#REF!</definedName>
    <definedName name="AQWEDS">#REF!</definedName>
    <definedName name="AR">#REF!</definedName>
    <definedName name="ARASCELLY">#REF!</definedName>
    <definedName name="AREA">#REF!</definedName>
    <definedName name="AREAS">#REF!</definedName>
    <definedName name="ARENA">#REF!</definedName>
    <definedName name="ARLI">#REF!</definedName>
    <definedName name="ARMADO">#REF!</definedName>
    <definedName name="ARMADOS">#REF!</definedName>
    <definedName name="arreglo">#REF!</definedName>
    <definedName name="art">#REF!</definedName>
    <definedName name="ARTE">#REF!</definedName>
    <definedName name="ARTEANT">#REF!</definedName>
    <definedName name="AS">#REF!</definedName>
    <definedName name="AS142HJNDR">#REF!</definedName>
    <definedName name="ASA">#REF!</definedName>
    <definedName name="asadsfdgfhgjhkl">#REF!</definedName>
    <definedName name="asadsfsdfs">#REF!</definedName>
    <definedName name="ASAS">#REF!</definedName>
    <definedName name="asasa">#REF!</definedName>
    <definedName name="ASASAS">#REF!</definedName>
    <definedName name="ASASASD">#REF!</definedName>
    <definedName name="ASBFHAS">#REF!</definedName>
    <definedName name="ASD">#REF!</definedName>
    <definedName name="asdads">#REF!</definedName>
    <definedName name="ASDAFAS">#REF!</definedName>
    <definedName name="ASDAS">#REF!</definedName>
    <definedName name="ASDASD">#REF!</definedName>
    <definedName name="ASDASDAS">#REF!</definedName>
    <definedName name="ASDASDASDA">#REF!</definedName>
    <definedName name="ASDDDD">#REF!</definedName>
    <definedName name="ASDDSD">#REF!</definedName>
    <definedName name="asdecsdrfed">#REF!</definedName>
    <definedName name="ASDFASDFDS">#REF!</definedName>
    <definedName name="ASDFGHHJUBJKLLPOI">#REF!</definedName>
    <definedName name="ASDSD">#REF!</definedName>
    <definedName name="ased">#REF!</definedName>
    <definedName name="ASFA">#REF!</definedName>
    <definedName name="ASIST.PERSONALS4">#REF!</definedName>
    <definedName name="ASS">#REF!</definedName>
    <definedName name="AssC_A">#REF!</definedName>
    <definedName name="AssC_B">#REF!</definedName>
    <definedName name="AssZ_A">#REF!</definedName>
    <definedName name="AssZ_B">#REF!</definedName>
    <definedName name="AssZAPATA">#REF!</definedName>
    <definedName name="ASUS">#REF!</definedName>
    <definedName name="ASXASX">#REF!</definedName>
    <definedName name="ATEC">#REF!</definedName>
    <definedName name="AUX">#REF!</definedName>
    <definedName name="AvFiMes">#REF!</definedName>
    <definedName name="AXEL">#REF!</definedName>
    <definedName name="Ayudante_Montaje">#REF!</definedName>
    <definedName name="Ayudante_Obras_Civiles">#REF!</definedName>
    <definedName name="AZAZAZAZ">#REF!</definedName>
    <definedName name="AZU">#REF!</definedName>
    <definedName name="azxsdc">#REF!</definedName>
    <definedName name="B">#REF!</definedName>
    <definedName name="BAJO_URUBAMBA">#REF!</definedName>
    <definedName name="BASE">#REF!</definedName>
    <definedName name="Base_datos_IM">#REF!</definedName>
    <definedName name="BASE03">#REF!</definedName>
    <definedName name="BBB">#REF!</definedName>
    <definedName name="bbbbb">#REF!</definedName>
    <definedName name="bbbbbbb">#REF!</definedName>
    <definedName name="bbcbchh">#REF!</definedName>
    <definedName name="bbvcbvcbc">#REF!</definedName>
    <definedName name="bcv">#REF!</definedName>
    <definedName name="bcvb">#REF!</definedName>
    <definedName name="bebe">#REF!</definedName>
    <definedName name="BFBF">#REF!</definedName>
    <definedName name="BGBB">#REF!</definedName>
    <definedName name="BGFDBDF">#REF!</definedName>
    <definedName name="BJ">#REF!</definedName>
    <definedName name="bloq1">#REF!</definedName>
    <definedName name="bloq2">#REF!</definedName>
    <definedName name="bloque1">#REF!</definedName>
    <definedName name="bloque2">#REF!</definedName>
    <definedName name="bloque3">#REF!</definedName>
    <definedName name="bloque4">#REF!</definedName>
    <definedName name="bnmnbm">#REF!</definedName>
    <definedName name="bnvbchdgftrudmjfhgtt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TADERO">#REF!</definedName>
    <definedName name="Botaderos1">#REF!</definedName>
    <definedName name="BQ">#REF!</definedName>
    <definedName name="BUILDINGS">#REF!</definedName>
    <definedName name="BuiltIn_Print_Area">#REF!</definedName>
    <definedName name="BuiltIn_Print_Area___0">#REF!</definedName>
    <definedName name="BuiltIn_Print_Area___0___0">#REF!</definedName>
    <definedName name="BuiltIn_Print_Titles">#REF!</definedName>
    <definedName name="BuiltIn_Print_Titles___0">#REF!</definedName>
    <definedName name="bvb">#REF!</definedName>
    <definedName name="BVBCVBVC">#REF!</definedName>
    <definedName name="bvbvbvbvbv">#REF!</definedName>
    <definedName name="BVBVVBV">#REF!</definedName>
    <definedName name="bvc">#REF!</definedName>
    <definedName name="bvcb">#REF!</definedName>
    <definedName name="bvcvcxvcc">#REF!</definedName>
    <definedName name="bxfsd">#REF!</definedName>
    <definedName name="C_">#REF!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BEC_1">#REF!</definedName>
    <definedName name="CABEC_2">#REF!</definedName>
    <definedName name="cabezalentrada">#REF!</definedName>
    <definedName name="cabezalsalida">#REF!</definedName>
    <definedName name="CACHORRO">#REF!</definedName>
    <definedName name="CALEN">#REF!</definedName>
    <definedName name="CALENDARIO">#REF!</definedName>
    <definedName name="cALS">#REF!</definedName>
    <definedName name="cam">#REF!</definedName>
    <definedName name="Cambio">#REF!</definedName>
    <definedName name="Canales1">#REF!</definedName>
    <definedName name="CANCURP">#REF!</definedName>
    <definedName name="CANCURS">#REF!</definedName>
    <definedName name="CANMONCRP">#REF!</definedName>
    <definedName name="CANMONCRS">#REF!</definedName>
    <definedName name="CANMRP">#REF!</definedName>
    <definedName name="CANMRS">#REF!</definedName>
    <definedName name="CANNRP">#REF!</definedName>
    <definedName name="CANNRS">#REF!</definedName>
    <definedName name="CANRP">#REF!</definedName>
    <definedName name="CANRS">#REF!</definedName>
    <definedName name="CANTIDADES">#REF!</definedName>
    <definedName name="CAP">#REF!</definedName>
    <definedName name="capa">#REF!</definedName>
    <definedName name="Capataz_Montaje">#REF!</definedName>
    <definedName name="Capataz_Obras_Civiles">#REF!</definedName>
    <definedName name="Capt">#REF!</definedName>
    <definedName name="CAR">#REF!</definedName>
    <definedName name="cara">#REF!</definedName>
    <definedName name="carajo">#REF!</definedName>
    <definedName name="CARGO">#REF!</definedName>
    <definedName name="CARGO1">#REF!</definedName>
    <definedName name="Carlosalvarez">#REF!</definedName>
    <definedName name="cba">#REF!</definedName>
    <definedName name="CC">#REF!</definedName>
    <definedName name="ccc">#REF!</definedName>
    <definedName name="CCCC">#REF!</definedName>
    <definedName name="ccccc">#REF!</definedName>
    <definedName name="cccccc">#REF!</definedName>
    <definedName name="CCCCCCCCC">#REF!</definedName>
    <definedName name="CCH">#REF!</definedName>
    <definedName name="ccxcxxcxcxcx">#REF!</definedName>
    <definedName name="CD">#REF!</definedName>
    <definedName name="CD_03">#REF!</definedName>
    <definedName name="CDATE">#REF!</definedName>
    <definedName name="cdevfrbgtyhnmjyukjlaq">#REF!</definedName>
    <definedName name="CDIRECTO">#REF!</definedName>
    <definedName name="CDO_03">#REF!</definedName>
    <definedName name="CEMENTO">#REF!</definedName>
    <definedName name="CERCE">#REF!</definedName>
    <definedName name="CERCO_AES">#REF!</definedName>
    <definedName name="CERCO_EST">#REF!</definedName>
    <definedName name="cesar">#REF!</definedName>
    <definedName name="cf">#REF!</definedName>
    <definedName name="Choca">#REF!</definedName>
    <definedName name="CIMENT">#REF!</definedName>
    <definedName name="CIRO">#REF!</definedName>
    <definedName name="CIVIL">#REF!</definedName>
    <definedName name="Clase">#REF!</definedName>
    <definedName name="Clasificación">#REF!</definedName>
    <definedName name="clial">#REF!</definedName>
    <definedName name="clicu">#REF!</definedName>
    <definedName name="clige">#REF!</definedName>
    <definedName name="Cmd">#REF!</definedName>
    <definedName name="cmh">#REF!</definedName>
    <definedName name="cmuse">#REF!</definedName>
    <definedName name="cndhfbfgctrpb21654cvvv">#REF!</definedName>
    <definedName name="cndhfgvnlfpwbsjvkv12584665122">#REF!</definedName>
    <definedName name="CNFBVGSRED4567VJFHRTYDNVLPF">#REF!</definedName>
    <definedName name="cnfgcbetsrdhfkevpofv4416868">#REF!</definedName>
    <definedName name="cnfiedformginswplasdeicndfghrplkhdgfjgkh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LEGIO">#REF!</definedName>
    <definedName name="COLUM">#REF!</definedName>
    <definedName name="COM">#REF!</definedName>
    <definedName name="componentes">#REF!</definedName>
    <definedName name="COMPROVANTES">#REF!</definedName>
    <definedName name="con">#REF!</definedName>
    <definedName name="CON_D2">#REF!</definedName>
    <definedName name="CONCHAN">#REF!</definedName>
    <definedName name="CONCL">#REF!</definedName>
    <definedName name="CONCLD">#REF!</definedName>
    <definedName name="CONCLU">#REF!</definedName>
    <definedName name="CONCLUSI">#REF!</definedName>
    <definedName name="CONCLUSIONES">#REF!</definedName>
    <definedName name="CONCQTY">#REF!</definedName>
    <definedName name="CONCRETE">#REF!</definedName>
    <definedName name="Concretero">#REF!</definedName>
    <definedName name="COND">#REF!</definedName>
    <definedName name="CONDICION">#REF!</definedName>
    <definedName name="CONDUC">#REF!</definedName>
    <definedName name="CONNY">#REF!</definedName>
    <definedName name="connyyyyy">#REF!</definedName>
    <definedName name="CONSOLIDADOF3">#REF!</definedName>
    <definedName name="CONSTRUCTOR">#REF!</definedName>
    <definedName name="CONSTRUCTORA_GARDILCIC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TINUIDAD">#REF!</definedName>
    <definedName name="CONTRATISTA">#REF!</definedName>
    <definedName name="CONTRO">#REF!</definedName>
    <definedName name="control">#REF!</definedName>
    <definedName name="copia">#REF!</definedName>
    <definedName name="CORONA">#REF!</definedName>
    <definedName name="Corte">#REF!</definedName>
    <definedName name="COST1">#REF!</definedName>
    <definedName name="COSTO_COMBUSTIBLE_STEP_02">#REF!</definedName>
    <definedName name="costo_directo">#REF!</definedName>
    <definedName name="costo_directo_contratado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OP_H">#REF!</definedName>
    <definedName name="COSTO_POSESION">#REF!</definedName>
    <definedName name="COSTO_POSESION1">#REF!</definedName>
    <definedName name="COSTO_SUBCONTRATOS_STEP_02">#REF!</definedName>
    <definedName name="Costos">#REF!</definedName>
    <definedName name="costx">#REF!</definedName>
    <definedName name="COSUMO_D2_2">#REF!</definedName>
    <definedName name="COTI">#REF!</definedName>
    <definedName name="CP">#REF!</definedName>
    <definedName name="Cr">#REF!</definedName>
    <definedName name="CREW">#REF!</definedName>
    <definedName name="Criteria">#REF!</definedName>
    <definedName name="Criterio">#REF!</definedName>
    <definedName name="Criterios_IM">#REF!</definedName>
    <definedName name="Cro">#REF!</definedName>
    <definedName name="crono">#REF!</definedName>
    <definedName name="CRONOGRAMA">#REF!</definedName>
    <definedName name="CRONOGRAMALINEAL">#REF!</definedName>
    <definedName name="cronoin">#REF!</definedName>
    <definedName name="crooooo">#REF!</definedName>
    <definedName name="CST">#REF!</definedName>
    <definedName name="CT">#REF!</definedName>
    <definedName name="CT_CAM">#REF!</definedName>
    <definedName name="cu_agr">#REF!</definedName>
    <definedName name="cu_fam">#REF!</definedName>
    <definedName name="cu_pec">#REF!</definedName>
    <definedName name="cu_pilet">#REF!</definedName>
    <definedName name="CUADERNO">#REF!</definedName>
    <definedName name="CUADRILLAS">#REF!</definedName>
    <definedName name="CUADRO">#REF!</definedName>
    <definedName name="CUADRO_RESUMEN_DEL_MOVIMIENTO_DE_ALMACEN">#REF!</definedName>
    <definedName name="cuadro01">#REF!</definedName>
    <definedName name="cuadro02">#REF!</definedName>
    <definedName name="Cucharón">#REF!</definedName>
    <definedName name="CUCHILLAS">#REF!</definedName>
    <definedName name="CUI">#REF!</definedName>
    <definedName name="CURVA">#REF!</definedName>
    <definedName name="CURVAS">#REF!</definedName>
    <definedName name="CURVASSSSXX">#REF!</definedName>
    <definedName name="cv">#REF!</definedName>
    <definedName name="cvb">#REF!</definedName>
    <definedName name="cvcxvxcv">#REF!</definedName>
    <definedName name="CVCXVXVC">#REF!</definedName>
    <definedName name="CVHE">#REF!</definedName>
    <definedName name="CVO">#REF!</definedName>
    <definedName name="CVXVC">#REF!</definedName>
    <definedName name="cx">#REF!</definedName>
    <definedName name="CXCVXCX">#REF!</definedName>
    <definedName name="CXCX">#REF!</definedName>
    <definedName name="cxcxc">#REF!</definedName>
    <definedName name="cxcxcxc">#REF!</definedName>
    <definedName name="cxcxcxcxccxcx">#REF!</definedName>
    <definedName name="cxcxcxcxcxcxcxxxx">#REF!</definedName>
    <definedName name="cxcxvcvc">#REF!</definedName>
    <definedName name="cxcxzczczzzzzz">#REF!</definedName>
    <definedName name="cxcxzczxczc">#REF!</definedName>
    <definedName name="cxv">#REF!</definedName>
    <definedName name="cxxcxcx">#REF!</definedName>
    <definedName name="cxxczxczxc">#REF!</definedName>
    <definedName name="CXZCCXCXCZCZX">#REF!</definedName>
    <definedName name="CXZCXZCCZC">#REF!</definedName>
    <definedName name="CXZCXZCXZC">#REF!</definedName>
    <definedName name="cxzczxcz">#REF!</definedName>
    <definedName name="czcxczc">#REF!</definedName>
    <definedName name="czczzc">#REF!</definedName>
    <definedName name="czx">#REF!</definedName>
    <definedName name="CZXCXZCZCZX">#REF!</definedName>
    <definedName name="czxczxczxcz">#REF!</definedName>
    <definedName name="czxv">#REF!</definedName>
    <definedName name="D">#REF!</definedName>
    <definedName name="DA">#REF!</definedName>
    <definedName name="DADA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n">#REF!</definedName>
    <definedName name="DAS">#REF!</definedName>
    <definedName name="dasd">#REF!</definedName>
    <definedName name="dasdafdas">#REF!</definedName>
    <definedName name="dasdasass">#REF!</definedName>
    <definedName name="dasdfef">#REF!</definedName>
    <definedName name="DATA">#REF!</definedName>
    <definedName name="Database">#REF!</definedName>
    <definedName name="DATE">#REF!</definedName>
    <definedName name="DATO">#REF!</definedName>
    <definedName name="DATOS">#REF!</definedName>
    <definedName name="DAVID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vgbhnjutykop">#REF!</definedName>
    <definedName name="DCV">#REF!</definedName>
    <definedName name="ddcdz">#REF!</definedName>
    <definedName name="DDD">#REF!</definedName>
    <definedName name="dddd">#REF!</definedName>
    <definedName name="DDDDDDD">#REF!</definedName>
    <definedName name="DDDDDDDD">#REF!</definedName>
    <definedName name="DDDDDDDDDDDD">#REF!</definedName>
    <definedName name="ddf">#REF!</definedName>
    <definedName name="ddgf">#REF!</definedName>
    <definedName name="ddsdsdsds">#REF!</definedName>
    <definedName name="de">#REF!</definedName>
    <definedName name="dedewdew">#REF!</definedName>
    <definedName name="dedsdedd">#REF!</definedName>
    <definedName name="delCINCO">#REF!</definedName>
    <definedName name="delDIEZ">#REF!</definedName>
    <definedName name="delDOCE">#REF!</definedName>
    <definedName name="delUNO">#REF!</definedName>
    <definedName name="der">#REF!</definedName>
    <definedName name="Descuento_Especial">#REF!</definedName>
    <definedName name="Descuento_Especial_Anticipo">#REF!</definedName>
    <definedName name="Descuento_Movim.Tierras">#REF!</definedName>
    <definedName name="DESGGHUKKOPLKJHH">#REF!</definedName>
    <definedName name="DETALLE">#REF!</definedName>
    <definedName name="Detalle_de_la__Obra">#REF!</definedName>
    <definedName name="df">#REF!</definedName>
    <definedName name="DFCS">#REF!</definedName>
    <definedName name="DFD">#REF!</definedName>
    <definedName name="DFDFD">#REF!</definedName>
    <definedName name="DFDFDDF">#REF!</definedName>
    <definedName name="DFDFDFDFDF">#REF!</definedName>
    <definedName name="dfdfdfdfdfdfdfdfd">#REF!</definedName>
    <definedName name="dfdfdfdsfds">#REF!</definedName>
    <definedName name="DFDGFGF">#REF!</definedName>
    <definedName name="dfdsfdsfds">#REF!</definedName>
    <definedName name="dfdsfdsfsdfsdfsd">#REF!</definedName>
    <definedName name="dfgfdg">#REF!</definedName>
    <definedName name="DFGG">#REF!</definedName>
    <definedName name="dfggf">#REF!</definedName>
    <definedName name="dfghjklpoiuyybnm">#REF!</definedName>
    <definedName name="DFGTRTRETRETERT">#REF!</definedName>
    <definedName name="dfhryftgnvmcndhfgsklljhhgdf">#REF!</definedName>
    <definedName name="dfsadfasd">#REF!</definedName>
    <definedName name="DFSD">#REF!</definedName>
    <definedName name="DFSDF">#REF!</definedName>
    <definedName name="DFSDFDSFDSFDFDS">#REF!</definedName>
    <definedName name="DFSDS">#REF!</definedName>
    <definedName name="DGDFGDDDD">#REF!</definedName>
    <definedName name="dgdfgdfgdfgdfg">#REF!</definedName>
    <definedName name="dgfrtsreawlku4561">#REF!</definedName>
    <definedName name="DIAMETROS">#REF!</definedName>
    <definedName name="DIANA">#REF!</definedName>
    <definedName name="DIAS_EN_FAENA">#REF!</definedName>
    <definedName name="DIRECTO">#REF!</definedName>
    <definedName name="DIS">#REF!</definedName>
    <definedName name="DISTRITO">#REF!</definedName>
    <definedName name="djfhrgtsferdkvlfvmnbkjf">#REF!</definedName>
    <definedName name="DMC">#REF!</definedName>
    <definedName name="DMS">#REF!</definedName>
    <definedName name="DOCUMENTO">#REF!</definedName>
    <definedName name="dolar">#REF!</definedName>
    <definedName name="DP">#REF!</definedName>
    <definedName name="DQWDQ">#REF!</definedName>
    <definedName name="dr">#REF!</definedName>
    <definedName name="DRA_PIURA___2">#REF!</definedName>
    <definedName name="DRA_PIURA___3">#REF!</definedName>
    <definedName name="DRA_PIURA___4">#REF!</definedName>
    <definedName name="DRA_PIURA___5">#REF!</definedName>
    <definedName name="DRA_PIURA__2">#REF!</definedName>
    <definedName name="DRA_PIURA__5">#REF!</definedName>
    <definedName name="DRA_PIURA1">#REF!</definedName>
    <definedName name="ds">#REF!</definedName>
    <definedName name="DS_2">#REF!</definedName>
    <definedName name="DS_3">#REF!</definedName>
    <definedName name="dsa">#REF!</definedName>
    <definedName name="DSAD">#REF!</definedName>
    <definedName name="DSADA">#REF!</definedName>
    <definedName name="dsadas">#REF!</definedName>
    <definedName name="dsadasdasd">#REF!</definedName>
    <definedName name="dsadasdsada">#REF!</definedName>
    <definedName name="dsadsads">#REF!</definedName>
    <definedName name="DSC">#REF!</definedName>
    <definedName name="DSD">#REF!</definedName>
    <definedName name="DSDS">#REF!</definedName>
    <definedName name="dsdsadsdsa">#REF!</definedName>
    <definedName name="dsdsds">#REF!</definedName>
    <definedName name="dsdsdsadsaxzxs">#REF!</definedName>
    <definedName name="dsdsdsds">#REF!</definedName>
    <definedName name="dsdsdsdsd">#REF!</definedName>
    <definedName name="DSDSDSDSDS">#REF!</definedName>
    <definedName name="dsdsdsdsdsd">#REF!</definedName>
    <definedName name="dsdsdsdsdsds">#REF!</definedName>
    <definedName name="dsdsdss">#REF!</definedName>
    <definedName name="dsdss">#REF!</definedName>
    <definedName name="dsdssssssssss">#REF!</definedName>
    <definedName name="dsf">#REF!</definedName>
    <definedName name="DSFSDF">#REF!</definedName>
    <definedName name="dsfsdffsdf">#REF!</definedName>
    <definedName name="dssd">#REF!</definedName>
    <definedName name="dssdfsdc">#REF!</definedName>
    <definedName name="DT_0">#REF!</definedName>
    <definedName name="DT_2">#REF!</definedName>
    <definedName name="DTO">#REF!</definedName>
    <definedName name="DUDA">#REF!</definedName>
    <definedName name="DUDAS">#REF!</definedName>
    <definedName name="DWDW">#REF!</definedName>
    <definedName name="dxp">#REF!</definedName>
    <definedName name="dxscdxfcdvfcgbcvh">#REF!</definedName>
    <definedName name="DZ">#REF!</definedName>
    <definedName name="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A">#REF!</definedName>
    <definedName name="ECHARATI">#REF!</definedName>
    <definedName name="ed">#REF!</definedName>
    <definedName name="EDADCDZFFE">#REF!</definedName>
    <definedName name="EDGAR">#REF!</definedName>
    <definedName name="EDGAR1">#REF!</definedName>
    <definedName name="EDSESAXZ234212222222222222222">#REF!</definedName>
    <definedName name="EDW">#REF!</definedName>
    <definedName name="EE">#REF!</definedName>
    <definedName name="eedsfervfr">#REF!</definedName>
    <definedName name="EEE">#REF!</definedName>
    <definedName name="eeee345">#REF!</definedName>
    <definedName name="eeeeee">#REF!</definedName>
    <definedName name="eeeeeeeeeeee">#REF!</definedName>
    <definedName name="eeeeeeeeeeeee">#REF!</definedName>
    <definedName name="EEEEEEEEEEEEEEEEEEEEEEEEE">#REF!</definedName>
    <definedName name="eeerrrrrrrwww">#REF!</definedName>
    <definedName name="EF">#REF!</definedName>
    <definedName name="EFA">#REF!</definedName>
    <definedName name="EFADF">#REF!</definedName>
    <definedName name="EFDFDFDFD">#REF!</definedName>
    <definedName name="EFRG">#REF!</definedName>
    <definedName name="EFWEF">#REF!</definedName>
    <definedName name="EGV">#REF!</definedName>
    <definedName name="EL_COLLAO">#REF!</definedName>
    <definedName name="ELECTRICAL">#REF!</definedName>
    <definedName name="Elementos_de_Seguridad">#REF!</definedName>
    <definedName name="ELEMENTS">#REF!</definedName>
    <definedName name="Elgar01">#REF!</definedName>
    <definedName name="EMILIO">#REF!</definedName>
    <definedName name="ENTIDAD">#REF!</definedName>
    <definedName name="EQ">#REF!</definedName>
    <definedName name="EQQ">#REF!</definedName>
    <definedName name="Equipo">#REF!</definedName>
    <definedName name="Equipos">#REF!</definedName>
    <definedName name="ere">#REF!</definedName>
    <definedName name="ererer">#REF!</definedName>
    <definedName name="erererererere">#REF!</definedName>
    <definedName name="ERET">#REF!</definedName>
    <definedName name="es">#REF!</definedName>
    <definedName name="ESA">#REF!</definedName>
    <definedName name="escaleras">#REF!</definedName>
    <definedName name="escaleras2">#REF!</definedName>
    <definedName name="ESE">#REF!</definedName>
    <definedName name="ESEST">#REF!</definedName>
    <definedName name="ESPECIALIDAD">#REF!</definedName>
    <definedName name="EST">#REF!</definedName>
    <definedName name="ESTAADO">#REF!</definedName>
    <definedName name="ETE">#REF!</definedName>
    <definedName name="ETW">#REF!</definedName>
    <definedName name="EVALUADOR_______________Ing__Juan_B._Sota_Huaman">#REF!</definedName>
    <definedName name="EW">#REF!</definedName>
    <definedName name="EWQ">#REF!</definedName>
    <definedName name="EX">#REF!</definedName>
    <definedName name="EX_UNI_CAB">#REF!</definedName>
    <definedName name="EXC">#REF!</definedName>
    <definedName name="exca">#REF!</definedName>
    <definedName name="excavacio">#REF!</definedName>
    <definedName name="EXCAVACION">#REF!</definedName>
    <definedName name="EXCAVACION.">#REF!</definedName>
    <definedName name="EXCAVACIONANT">#REF!</definedName>
    <definedName name="EXCAVACIONNANT1">#REF!</definedName>
    <definedName name="EXCEL">#REF!</definedName>
    <definedName name="Excel_BuiltIn__FilterDatabase_1">#REF!</definedName>
    <definedName name="Excel_BuiltIn_Print_Area_1">#REF!</definedName>
    <definedName name="exped">#REF!</definedName>
    <definedName name="EXPORT">#REF!</definedName>
    <definedName name="Extracción_IM">#REF!</definedName>
    <definedName name="Extract">#REF!</definedName>
    <definedName name="FAAAA">#REF!</definedName>
    <definedName name="FAAAAA">#REF!</definedName>
    <definedName name="FAASFAFA">#REF!</definedName>
    <definedName name="fac">#REF!</definedName>
    <definedName name="Factor">#REF!</definedName>
    <definedName name="FACTRELACION">#REF!</definedName>
    <definedName name="FACTURACIONES_SALDO_DE_OBRA_IPC_Lista">#REF!</definedName>
    <definedName name="fafdas">#REF!</definedName>
    <definedName name="fasdfasaw">#REF!</definedName>
    <definedName name="FASDFSA">#REF!</definedName>
    <definedName name="fasdfsadfsd">#REF!</definedName>
    <definedName name="FASFAS_CCV">#REF!</definedName>
    <definedName name="FCXCXCXCX">#REF!</definedName>
    <definedName name="fczxcz">#REF!</definedName>
    <definedName name="fd">#REF!</definedName>
    <definedName name="FDB">#REF!</definedName>
    <definedName name="fddsfdsfsd">#REF!</definedName>
    <definedName name="FDFDFDFDF">#REF!</definedName>
    <definedName name="fdfdfdfdfdffff">#REF!</definedName>
    <definedName name="fdfdsfds">#REF!</definedName>
    <definedName name="fdfdsfdsfdsfd">#REF!</definedName>
    <definedName name="fdg">#REF!</definedName>
    <definedName name="FDGDFGDFGFG">#REF!</definedName>
    <definedName name="fdgdfgfdd">#REF!</definedName>
    <definedName name="FDGDFGFDGFDG">#REF!</definedName>
    <definedName name="fdgfdgfgfd">#REF!</definedName>
    <definedName name="fdsfdsf">#REF!</definedName>
    <definedName name="FDSFDSFDS">#REF!</definedName>
    <definedName name="FDSFSDFDSFDSFDS">#REF!</definedName>
    <definedName name="fdsfsfsd">#REF!</definedName>
    <definedName name="FDSGS">#REF!</definedName>
    <definedName name="fdzg">#REF!</definedName>
    <definedName name="FE">#REF!</definedName>
    <definedName name="FECHA">#REF!</definedName>
    <definedName name="FEF">#REF!</definedName>
    <definedName name="FEFE">#REF!</definedName>
    <definedName name="FEGRG">#REF!</definedName>
    <definedName name="FER">#REF!</definedName>
    <definedName name="ferrrrrrr">#REF!</definedName>
    <definedName name="FEWFEWF">#REF!</definedName>
    <definedName name="FF">#REF!</definedName>
    <definedName name="FFDFDFD">#REF!</definedName>
    <definedName name="FFDFDFDF">#REF!</definedName>
    <definedName name="FFF">#REF!</definedName>
    <definedName name="FFFD">#REF!</definedName>
    <definedName name="FFFDFDF">#REF!</definedName>
    <definedName name="FFFF">#REF!</definedName>
    <definedName name="FFFFF">#REF!</definedName>
    <definedName name="FFFFFF">#REF!</definedName>
    <definedName name="FFFFFFF">#REF!</definedName>
    <definedName name="ffffffff">#REF!</definedName>
    <definedName name="fffffffffff">#REF!</definedName>
    <definedName name="ffffffffffff">#REF!</definedName>
    <definedName name="FFFFFFFFFFFFFFFFF">#REF!</definedName>
    <definedName name="FFFFFFFFFFFFFFFFFFFFF">#REF!</definedName>
    <definedName name="fffghfjkjhkjk">#REF!</definedName>
    <definedName name="FFinal">#REF!</definedName>
    <definedName name="FFRF">#REF!</definedName>
    <definedName name="ffv">#REF!</definedName>
    <definedName name="fg">#REF!</definedName>
    <definedName name="fg.10">#REF!</definedName>
    <definedName name="fg.5">#REF!</definedName>
    <definedName name="FGD">#REF!</definedName>
    <definedName name="FGDGFDGDFGDFGFD">#REF!</definedName>
    <definedName name="FGF">#REF!</definedName>
    <definedName name="FGFBFB">#REF!</definedName>
    <definedName name="fgfdgdfd">#REF!</definedName>
    <definedName name="FGFDGFD">#REF!</definedName>
    <definedName name="fgfdgrfdg">#REF!</definedName>
    <definedName name="fgfgfgfg">#REF!</definedName>
    <definedName name="fggdf">#REF!</definedName>
    <definedName name="FGHGF">#REF!</definedName>
    <definedName name="fgrgf">#REF!</definedName>
    <definedName name="FGYGYH">#REF!</definedName>
    <definedName name="FH">#REF!</definedName>
    <definedName name="FHGH">#REF!</definedName>
    <definedName name="FICHA">#REF!</definedName>
    <definedName name="Ficha_15">#REF!</definedName>
    <definedName name="FICHAAAA">#REF!</definedName>
    <definedName name="FIELD_STAFF">#REF!</definedName>
    <definedName name="FIERRO">#REF!</definedName>
    <definedName name="FINAL">#REF!</definedName>
    <definedName name="FINANCIERO">#REF!</definedName>
    <definedName name="FInicio">#REF!</definedName>
    <definedName name="fisico">#REF!</definedName>
    <definedName name="fnvkdnklgtrmtrlñ">#REF!</definedName>
    <definedName name="fondo_de_garantia">#REF!</definedName>
    <definedName name="for_2">#REF!</definedName>
    <definedName name="Forma_Pago">#REF!</definedName>
    <definedName name="FORMALETA">#REF!</definedName>
    <definedName name="formato_1">#REF!</definedName>
    <definedName name="formato01">#REF!</definedName>
    <definedName name="formato03">#REF!</definedName>
    <definedName name="formato04">#REF!</definedName>
    <definedName name="formato05">#REF!</definedName>
    <definedName name="formato06">#REF!</definedName>
    <definedName name="formato07">#REF!</definedName>
    <definedName name="formato08">#REF!</definedName>
    <definedName name="formato10">#REF!</definedName>
    <definedName name="formato11">#REF!</definedName>
    <definedName name="formato12">#REF!</definedName>
    <definedName name="formato12A">#REF!</definedName>
    <definedName name="formato13">#REF!</definedName>
    <definedName name="formato14">#REF!</definedName>
    <definedName name="formato15">#REF!</definedName>
    <definedName name="formato16">#REF!</definedName>
    <definedName name="formato17">#REF!</definedName>
    <definedName name="formato18">#REF!</definedName>
    <definedName name="formato201">#REF!</definedName>
    <definedName name="formato202">#REF!</definedName>
    <definedName name="formato21">#REF!</definedName>
    <definedName name="formato23">#REF!</definedName>
    <definedName name="formato26">#REF!</definedName>
    <definedName name="formato28">#REF!</definedName>
    <definedName name="formato29">#REF!</definedName>
    <definedName name="formato30">#REF!</definedName>
    <definedName name="formato31">#REF!</definedName>
    <definedName name="FORMULA">#REF!</definedName>
    <definedName name="fotos">#REF!</definedName>
    <definedName name="FOTOSS">#REF!</definedName>
    <definedName name="fotosssss">#REF!</definedName>
    <definedName name="FR">#REF!</definedName>
    <definedName name="freddy">#REF!</definedName>
    <definedName name="FREIGHT">#REF!</definedName>
    <definedName name="FRF">#REF!</definedName>
    <definedName name="FRFR">#REF!</definedName>
    <definedName name="FRGR">#REF!</definedName>
    <definedName name="frodo">#REF!</definedName>
    <definedName name="FRR">#REF!</definedName>
    <definedName name="FSDF">#REF!</definedName>
    <definedName name="FSDFASDFS">#REF!</definedName>
    <definedName name="fsdfd">#REF!</definedName>
    <definedName name="fsdfsdsd">#REF!</definedName>
    <definedName name="fsdfsgsgs">#REF!</definedName>
    <definedName name="FSFASFD">#REF!</definedName>
    <definedName name="fsfdfdsfsdfdsfdsfdfdf">#REF!</definedName>
    <definedName name="fsfsfwf">#REF!</definedName>
    <definedName name="FT">#REF!</definedName>
    <definedName name="fvfrvbgtbt">#REF!</definedName>
    <definedName name="FWEF">#REF!</definedName>
    <definedName name="FWEFEW">#REF!</definedName>
    <definedName name="FWEFW">#REF!</definedName>
    <definedName name="FXCXCDD">#REF!</definedName>
    <definedName name="G">#REF!</definedName>
    <definedName name="GABINETE">#REF!</definedName>
    <definedName name="GAM">#REF!</definedName>
    <definedName name="GAMK">#REF!</definedName>
    <definedName name="GAMM">#REF!</definedName>
    <definedName name="GAN">#REF!</definedName>
    <definedName name="GANADAS">#REF!</definedName>
    <definedName name="GANSEM">#REF!</definedName>
    <definedName name="GASSEM">#REF!</definedName>
    <definedName name="GASTADAS">#REF!</definedName>
    <definedName name="gbgbgbgbg">#REF!</definedName>
    <definedName name="gcvbb">#REF!</definedName>
    <definedName name="gdf">#REF!</definedName>
    <definedName name="gdfgfd">#REF!</definedName>
    <definedName name="gdfgfdgd">#REF!</definedName>
    <definedName name="gdfgfdgdf">#REF!</definedName>
    <definedName name="GDFGFDGDFFDGFDGFD">#REF!</definedName>
    <definedName name="GDFGFDGDFGGGG">#REF!</definedName>
    <definedName name="gdfgfdgfd">#REF!</definedName>
    <definedName name="GDGFDGFDGFGFGFDGF">#REF!</definedName>
    <definedName name="ge">#REF!</definedName>
    <definedName name="GenDetail">#REF!</definedName>
    <definedName name="GESTION">#REF!</definedName>
    <definedName name="gfcgc">#REF!</definedName>
    <definedName name="GFDFDDFGFGDFGDFGDFGFDGF">#REF!</definedName>
    <definedName name="gfdg">#REF!</definedName>
    <definedName name="gfdgdfgdfdd">#REF!</definedName>
    <definedName name="gfdgfd">#REF!</definedName>
    <definedName name="GFDGFDDDDDFGDFGDFGDFGFD">#REF!</definedName>
    <definedName name="GFDGFDGDGFGFGFGFGFG">#REF!</definedName>
    <definedName name="gfdgfdgfdg">#REF!</definedName>
    <definedName name="GFG">#REF!</definedName>
    <definedName name="gfgfdgfdgdfgf">#REF!</definedName>
    <definedName name="GFGFDGFDGFD">#REF!</definedName>
    <definedName name="GFGFG">#REF!</definedName>
    <definedName name="gfgfgf">#REF!</definedName>
    <definedName name="gfgfgff">#REF!</definedName>
    <definedName name="gfh">#REF!</definedName>
    <definedName name="gfhfghgh">#REF!</definedName>
    <definedName name="GFHGFH">#REF!</definedName>
    <definedName name="GG">#REF!</definedName>
    <definedName name="GGD">#REF!</definedName>
    <definedName name="GGF">#REF!</definedName>
    <definedName name="GGG">#REF!</definedName>
    <definedName name="gggg">#REF!</definedName>
    <definedName name="GGGGGGG">#REF!</definedName>
    <definedName name="gggggggg">#REF!</definedName>
    <definedName name="GGGGR">#REF!</definedName>
    <definedName name="GGHGGGGGG">#REF!</definedName>
    <definedName name="GGM">#REF!</definedName>
    <definedName name="GGR">#REF!</definedName>
    <definedName name="GGSFSF">#REF!</definedName>
    <definedName name="GGT">#REF!</definedName>
    <definedName name="GGV">#REF!</definedName>
    <definedName name="gh">#REF!</definedName>
    <definedName name="GHFGBDF">#REF!</definedName>
    <definedName name="ghh">#REF!</definedName>
    <definedName name="GHHGHGHG">#REF!</definedName>
    <definedName name="ghjk">#REF!</definedName>
    <definedName name="ghy">#REF!</definedName>
    <definedName name="GHYJYUKGWEGERH">#REF!</definedName>
    <definedName name="GJunio">#REF!</definedName>
    <definedName name="GL">#REF!</definedName>
    <definedName name="GLIQ">#REF!</definedName>
    <definedName name="GPP">#REF!</definedName>
    <definedName name="Graf">#REF!</definedName>
    <definedName name="grafico">#REF!</definedName>
    <definedName name="Graficos">#REF!</definedName>
    <definedName name="graph0">#REF!</definedName>
    <definedName name="Graph1">#REF!</definedName>
    <definedName name="GRAVA">#REF!</definedName>
    <definedName name="GRG">#REF!</definedName>
    <definedName name="GRGR">#REF!</definedName>
    <definedName name="GRGRG">#REF!</definedName>
    <definedName name="grtret">#REF!</definedName>
    <definedName name="GS">#REF!</definedName>
    <definedName name="GTG">#REF!</definedName>
    <definedName name="gtt">#REF!</definedName>
    <definedName name="GTTJU">#REF!</definedName>
    <definedName name="GTTY">#REF!</definedName>
    <definedName name="GUAR">#REF!</definedName>
    <definedName name="GUIAAG">#REF!</definedName>
    <definedName name="GUIAMAT">#REF!</definedName>
    <definedName name="guido">#REF!</definedName>
    <definedName name="GVEFEW">#REF!</definedName>
    <definedName name="H">#REF!</definedName>
    <definedName name="hbokoklkl">#REF!</definedName>
    <definedName name="hbvbvbvbvbv">#REF!</definedName>
    <definedName name="hcsjdhibhv">#REF!</definedName>
    <definedName name="he">#REF!</definedName>
    <definedName name="HERNAN">#REF!</definedName>
    <definedName name="hgfhf">#REF!</definedName>
    <definedName name="HGFHFGHGF">#REF!</definedName>
    <definedName name="hgfhgfhfgh">#REF!</definedName>
    <definedName name="HGGHGGGGGG">#REF!</definedName>
    <definedName name="HGGHGHG">#REF!</definedName>
    <definedName name="hgh">#REF!</definedName>
    <definedName name="hghfghgfhgf">#REF!</definedName>
    <definedName name="hghggggggggggg">#REF!</definedName>
    <definedName name="hghgggggggggggggggggggggggg">#REF!</definedName>
    <definedName name="HGHGHG">#REF!</definedName>
    <definedName name="hghghghghg">#REF!</definedName>
    <definedName name="hghghghghgh">#REF!</definedName>
    <definedName name="hghghghghghghg">#REF!</definedName>
    <definedName name="hghghhhhhhhhhhhh">#REF!</definedName>
    <definedName name="hghhhhhhh">#REF!</definedName>
    <definedName name="hgjhg">#REF!</definedName>
    <definedName name="hgjhgjhg">#REF!</definedName>
    <definedName name="hh">#REF!</definedName>
    <definedName name="HHC">#REF!</definedName>
    <definedName name="hhghghghgggggg">#REF!</definedName>
    <definedName name="HHH">#REF!</definedName>
    <definedName name="HHHHH">#REF!</definedName>
    <definedName name="HHHHHH">#REF!</definedName>
    <definedName name="hhhhhhhhhh">#REF!</definedName>
    <definedName name="hhhhhhhhhhh">#REF!</definedName>
    <definedName name="hhhhhhhhhhhhhhhh">#REF!</definedName>
    <definedName name="HHHHHHHHHHHHHHHHHHH">#REF!</definedName>
    <definedName name="HHME">#REF!</definedName>
    <definedName name="HHT">#REF!</definedName>
    <definedName name="HJ">#REF!</definedName>
    <definedName name="hjgfhjfghf">#REF!</definedName>
    <definedName name="hjghj">#REF!</definedName>
    <definedName name="hjh">#REF!</definedName>
    <definedName name="hjhh">#REF!</definedName>
    <definedName name="hjhj">#REF!</definedName>
    <definedName name="hjhjhg">#REF!</definedName>
    <definedName name="HJHJHJHJH">#REF!</definedName>
    <definedName name="HJUJUJUJU">#REF!</definedName>
    <definedName name="HJUYYYYY">#REF!</definedName>
    <definedName name="hmhmhgmgh">#REF!</definedName>
    <definedName name="hn">#REF!</definedName>
    <definedName name="Hoja">#REF!</definedName>
    <definedName name="HOJA1">#REF!</definedName>
    <definedName name="hoja2">#REF!</definedName>
    <definedName name="Hoja3">#REF!</definedName>
    <definedName name="hoja4">#REF!</definedName>
    <definedName name="HOKZA">#REF!</definedName>
    <definedName name="hola">#REF!</definedName>
    <definedName name="HOLYDAYS">#REF!</definedName>
    <definedName name="holydays1">#REF!</definedName>
    <definedName name="HOME_OFFICE">#REF!</definedName>
    <definedName name="HOR">#REF!</definedName>
    <definedName name="HORAS_MES">#REF!</definedName>
    <definedName name="Horas_Semana">#REF!</definedName>
    <definedName name="HORAS1">#REF!</definedName>
    <definedName name="hshfdhdhhdf">#REF!</definedName>
    <definedName name="HTHT">#REF!</definedName>
    <definedName name="HTHTT">#REF!</definedName>
    <definedName name="hty76878uyth">#REF!</definedName>
    <definedName name="hvf">#REF!</definedName>
    <definedName name="HVGJF">#REF!</definedName>
    <definedName name="HYH">#REF!</definedName>
    <definedName name="HYHT">#REF!</definedName>
    <definedName name="I">#REF!</definedName>
    <definedName name="igv">#REF!</definedName>
    <definedName name="II">#REF!</definedName>
    <definedName name="IIII">#REF!</definedName>
    <definedName name="IIIO">#REF!</definedName>
    <definedName name="iiuiuiuiuiuiu">#REF!</definedName>
    <definedName name="IKIKIKIKI">#REF!</definedName>
    <definedName name="Imprimir_área_IM">#REF!</definedName>
    <definedName name="impuestos">#REF!</definedName>
    <definedName name="INCID">#REF!</definedName>
    <definedName name="INFmes">#REF!</definedName>
    <definedName name="INFnro">#REF!</definedName>
    <definedName name="INFRA">#REF!</definedName>
    <definedName name="INFSOSEM">#REF!</definedName>
    <definedName name="inftredgfcbvfgtrde">#REF!</definedName>
    <definedName name="INGENIERO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AL">#REF!</definedName>
    <definedName name="INICIO">#REF!</definedName>
    <definedName name="Inicio21">#REF!</definedName>
    <definedName name="Inicio25">#REF!</definedName>
    <definedName name="Inicio39">#REF!</definedName>
    <definedName name="Inicio40">#REF!</definedName>
    <definedName name="Inicio56">#REF!</definedName>
    <definedName name="Inicio57">#REF!</definedName>
    <definedName name="Inicio58">#REF!</definedName>
    <definedName name="Inicio59">#REF!</definedName>
    <definedName name="Inicio60">#REF!</definedName>
    <definedName name="Inicio61">#REF!</definedName>
    <definedName name="Inicio62">#REF!</definedName>
    <definedName name="Inicio63">#REF!</definedName>
    <definedName name="INS">#REF!</definedName>
    <definedName name="INSET">#REF!</definedName>
    <definedName name="INSPECTOR">#REF!</definedName>
    <definedName name="INSTRUMENTATION">#REF!</definedName>
    <definedName name="INSU">#REF!</definedName>
    <definedName name="INSULATION">#REF!</definedName>
    <definedName name="INSUMOS">#REF!</definedName>
    <definedName name="INTERRUPTORES">#REF!</definedName>
    <definedName name="InvInc_Equ">#REF!</definedName>
    <definedName name="InvInc_Mat">#REF!</definedName>
    <definedName name="IÑOÑIOÑ">#REF!</definedName>
    <definedName name="IOIIOÑ">#REF!</definedName>
    <definedName name="IOÑIOÑ">#REF!</definedName>
    <definedName name="iopoiop">#REF!</definedName>
    <definedName name="IP_EQUIPOS_STEP_01">#REF!</definedName>
    <definedName name="IP_EQUIPOS_STEP_01B">#REF!</definedName>
    <definedName name="IP_EQUIPOS_STEP_01C">#REF!</definedName>
    <definedName name="IP_MANO_DE_OBRA_STEP_02">#REF!</definedName>
    <definedName name="IP_MANO_DE_OBRA_STEP_02B">#REF!</definedName>
    <definedName name="IPC">#REF!</definedName>
    <definedName name="IS">#REF!</definedName>
    <definedName name="ITEM">#REF!</definedName>
    <definedName name="ITEMS">#REF!</definedName>
    <definedName name="IU">#REF!</definedName>
    <definedName name="IUIUI">#REF!</definedName>
    <definedName name="iuiuiuiuiuiu">#REF!</definedName>
    <definedName name="IUJKHNMJTGFLPO90">#REF!</definedName>
    <definedName name="IUN">#REF!</definedName>
    <definedName name="IUUUU">#REF!</definedName>
    <definedName name="J">#REF!</definedName>
    <definedName name="jghj">#REF!</definedName>
    <definedName name="JGHJGHJ">#REF!</definedName>
    <definedName name="JGHJHGJGHJHGJHGJHG">#REF!</definedName>
    <definedName name="JGHJHGJHGJGHJGHHGJGH">#REF!</definedName>
    <definedName name="JGHJHGJHGJHGJHGJGHJGHJHG">#REF!</definedName>
    <definedName name="JGYUGKHUKGYU">#REF!</definedName>
    <definedName name="JH">#REF!</definedName>
    <definedName name="jhg">#REF!</definedName>
    <definedName name="JHGHJHGHGHGJGHJHG">#REF!</definedName>
    <definedName name="jhgj">#REF!</definedName>
    <definedName name="JHGJGHJHGJHGJHGJ">#REF!</definedName>
    <definedName name="jhgjhg">#REF!</definedName>
    <definedName name="jhgjhgj">#REF!</definedName>
    <definedName name="jhgk">#REF!</definedName>
    <definedName name="jhhjghjhg">#REF!</definedName>
    <definedName name="jhjhgjhg">#REF!</definedName>
    <definedName name="jhjhhjj">#REF!</definedName>
    <definedName name="jhjhj">#REF!</definedName>
    <definedName name="JHJHJHJHHHHHHH">#REF!</definedName>
    <definedName name="JHJHJHJHJHH">#REF!</definedName>
    <definedName name="JHJHJHJHJHJ">#REF!</definedName>
    <definedName name="jhjhjhjhjhjhj">#REF!</definedName>
    <definedName name="JHJJHJH">#REF!</definedName>
    <definedName name="jhjujkjkkkk">#REF!</definedName>
    <definedName name="JHYUHY">#REF!</definedName>
    <definedName name="JJ">#REF!</definedName>
    <definedName name="JJHFDSD">#REF!</definedName>
    <definedName name="JJJ">#REF!</definedName>
    <definedName name="jjjjhjhjh">#REF!</definedName>
    <definedName name="jjjjjjjjjjj">#REF!</definedName>
    <definedName name="JJJJJJJJJJJJJJJJJJJ">#REF!</definedName>
    <definedName name="JK">#REF!</definedName>
    <definedName name="JKBCJEH">#REF!</definedName>
    <definedName name="jkhgjhgjg">#REF!</definedName>
    <definedName name="jkhjkhj">#REF!</definedName>
    <definedName name="JKJHKJHKH">#REF!</definedName>
    <definedName name="JKJKJKJKJKJ">#REF!</definedName>
    <definedName name="Jornalero">#REF!</definedName>
    <definedName name="JTJGHJGHJHGJGHJHGJHGHJGHJ">#REF!</definedName>
    <definedName name="JUAN">#REF!</definedName>
    <definedName name="JUAN1">#REF!</definedName>
    <definedName name="jui">#REF!</definedName>
    <definedName name="JUJ">#REF!</definedName>
    <definedName name="JUJU">#REF!</definedName>
    <definedName name="JUK">#REF!</definedName>
    <definedName name="jul">#REF!</definedName>
    <definedName name="JUNIO">#REF!</definedName>
    <definedName name="JUNIP">#REF!</definedName>
    <definedName name="JVYFLLGJ">#REF!</definedName>
    <definedName name="JY">#REF!</definedName>
    <definedName name="jytuhyjg">#REF!</definedName>
    <definedName name="K">#REF!</definedName>
    <definedName name="K01_0103">#REF!</definedName>
    <definedName name="k01_0104">#REF!</definedName>
    <definedName name="K01_0199">#REF!</definedName>
    <definedName name="K01_0203">#REF!</definedName>
    <definedName name="k01_0204">#REF!</definedName>
    <definedName name="K01_0299">#REF!</definedName>
    <definedName name="K01_0303">#REF!</definedName>
    <definedName name="k01_0304">#REF!</definedName>
    <definedName name="K01_0399">#REF!</definedName>
    <definedName name="K01_0403">#REF!</definedName>
    <definedName name="K01_0499">#REF!</definedName>
    <definedName name="K01_0503">#REF!</definedName>
    <definedName name="K01_0599">#REF!</definedName>
    <definedName name="K01_0603">#REF!</definedName>
    <definedName name="k01_0703">#REF!</definedName>
    <definedName name="k01_0803">#REF!</definedName>
    <definedName name="k01_0903">#REF!</definedName>
    <definedName name="K01_0998">#REF!</definedName>
    <definedName name="k01_1003">#REF!</definedName>
    <definedName name="K01_1098">#REF!</definedName>
    <definedName name="K01_1103">#REF!</definedName>
    <definedName name="K01_1198">#REF!</definedName>
    <definedName name="k01_1202">#REF!</definedName>
    <definedName name="K01_1203">#REF!</definedName>
    <definedName name="K01_1298">#REF!</definedName>
    <definedName name="K02_0103">#REF!</definedName>
    <definedName name="k02_0104">#REF!</definedName>
    <definedName name="K02_0199">#REF!</definedName>
    <definedName name="K02_0203">#REF!</definedName>
    <definedName name="k02_0204">#REF!</definedName>
    <definedName name="K02_0299">#REF!</definedName>
    <definedName name="K02_0303">#REF!</definedName>
    <definedName name="k02_0304">#REF!</definedName>
    <definedName name="K02_0399">#REF!</definedName>
    <definedName name="K02_0403">#REF!</definedName>
    <definedName name="K02_0499">#REF!</definedName>
    <definedName name="K02_0503">#REF!</definedName>
    <definedName name="K02_0599">#REF!</definedName>
    <definedName name="k02_0603">#REF!</definedName>
    <definedName name="k02_0703">#REF!</definedName>
    <definedName name="k02_0803">#REF!</definedName>
    <definedName name="k02_0903">#REF!</definedName>
    <definedName name="K02_0998">#REF!</definedName>
    <definedName name="k02_1003">#REF!</definedName>
    <definedName name="K02_1098">#REF!</definedName>
    <definedName name="k02_1103">#REF!</definedName>
    <definedName name="K02_1198">#REF!</definedName>
    <definedName name="k02_1202">#REF!</definedName>
    <definedName name="k02_1203">#REF!</definedName>
    <definedName name="K02_1298">#REF!</definedName>
    <definedName name="K03_0199">#REF!</definedName>
    <definedName name="K03_0299">#REF!</definedName>
    <definedName name="K03_0399">#REF!</definedName>
    <definedName name="K03_0499">#REF!</definedName>
    <definedName name="K03_0599">#REF!</definedName>
    <definedName name="K03_0998">#REF!</definedName>
    <definedName name="K03_1098">#REF!</definedName>
    <definedName name="K03_1198">#REF!</definedName>
    <definedName name="K03_1298">#REF!</definedName>
    <definedName name="KARLA">#REF!</definedName>
    <definedName name="KES">#REF!</definedName>
    <definedName name="KHBK">#REF!</definedName>
    <definedName name="KHIKHIKIKIKIK">#REF!</definedName>
    <definedName name="KI">#REF!</definedName>
    <definedName name="KIK">#REF!</definedName>
    <definedName name="KIKI">#REF!</definedName>
    <definedName name="KITENI">#REF!</definedName>
    <definedName name="kj">#REF!</definedName>
    <definedName name="kjghjhgjhg">#REF!</definedName>
    <definedName name="KJHJH">#REF!</definedName>
    <definedName name="kjj">#REF!</definedName>
    <definedName name="kjkjh">#REF!</definedName>
    <definedName name="KJKJKJKJ">#REF!</definedName>
    <definedName name="KJKJKJKJKJ">#REF!</definedName>
    <definedName name="kjkjkjkjkjkjk">#REF!</definedName>
    <definedName name="kjkjkjkjkjkjkjkjk">#REF!</definedName>
    <definedName name="kjkjkjkjkjkjkkkkkk">#REF!</definedName>
    <definedName name="KJKKJKJ">#REF!</definedName>
    <definedName name="kjnvfjkc">#REF!</definedName>
    <definedName name="kjp">#REF!</definedName>
    <definedName name="kjtrt">#REF!</definedName>
    <definedName name="kk">#REF!</definedName>
    <definedName name="KKIIKH">#REF!</definedName>
    <definedName name="KKK">#REF!</definedName>
    <definedName name="KKKK">#REF!</definedName>
    <definedName name="KKKKKK">#REF!</definedName>
    <definedName name="KKKKKKKKKKKKKKKK">#REF!</definedName>
    <definedName name="kkkkksdsdsds">#REF!</definedName>
    <definedName name="KL">#REF!</definedName>
    <definedName name="kljkjkjkjkjkjkjjjj">#REF!</definedName>
    <definedName name="KLK">#REF!</definedName>
    <definedName name="KLKLK">#REF!</definedName>
    <definedName name="KR">Hoja1!$AV$35:$BN$36</definedName>
    <definedName name="KUKUK">#REF!</definedName>
    <definedName name="l">#REF!</definedName>
    <definedName name="L.Sociales">#REF!</definedName>
    <definedName name="lalalala">#REF!</definedName>
    <definedName name="LANTAS_C_H">#REF!</definedName>
    <definedName name="lecassda">#REF!</definedName>
    <definedName name="lega16">#REF!</definedName>
    <definedName name="LEVEL">#REF!</definedName>
    <definedName name="LEVELS">#REF!</definedName>
    <definedName name="Leyes_Sociales">#REF!</definedName>
    <definedName name="li">#REF!</definedName>
    <definedName name="LILI">#REF!</definedName>
    <definedName name="LILIL">#REF!</definedName>
    <definedName name="LILILIL">#REF!</definedName>
    <definedName name="LIMA">#REF!</definedName>
    <definedName name="LINEA23">#REF!</definedName>
    <definedName name="LineaInversion">#REF!</definedName>
    <definedName name="LIQU">#REF!</definedName>
    <definedName name="LISTA">#REF!</definedName>
    <definedName name="LISTA01">#REF!</definedName>
    <definedName name="LISTA02">#REF!</definedName>
    <definedName name="LISTA03">#REF!</definedName>
    <definedName name="lista2">#REF!</definedName>
    <definedName name="LISTADO">#REF!</definedName>
    <definedName name="ljaBO">#REF!</definedName>
    <definedName name="lk">#REF!</definedName>
    <definedName name="LKILK">#REF!</definedName>
    <definedName name="LKJLKLKLK">#REF!</definedName>
    <definedName name="LKL">#REF!</definedName>
    <definedName name="LKLK">#REF!</definedName>
    <definedName name="lklkjlj">#REF!</definedName>
    <definedName name="LKLKKKKKKKKK">#REF!</definedName>
    <definedName name="LKLKLKL">#REF!</definedName>
    <definedName name="lklkllk">#REF!</definedName>
    <definedName name="LL">#REF!</definedName>
    <definedName name="LL_1">#REF!</definedName>
    <definedName name="LL_2">#REF!</definedName>
    <definedName name="Llega11">#REF!</definedName>
    <definedName name="lLEGA13">#REF!</definedName>
    <definedName name="Llega16">#REF!</definedName>
    <definedName name="Llega18">#REF!</definedName>
    <definedName name="Llega21">#REF!</definedName>
    <definedName name="Llega22a21">#REF!</definedName>
    <definedName name="Llega22a23">#REF!</definedName>
    <definedName name="Llega22a24">#REF!</definedName>
    <definedName name="Llega22a30">#REF!</definedName>
    <definedName name="Llega24">#REF!</definedName>
    <definedName name="Llega26">#REF!</definedName>
    <definedName name="Llega28">#REF!</definedName>
    <definedName name="Llega41">#REF!</definedName>
    <definedName name="llega5">#REF!</definedName>
    <definedName name="Llega5150">#REF!</definedName>
    <definedName name="LLEGA8">#REF!</definedName>
    <definedName name="LlegaB2">#REF!</definedName>
    <definedName name="LLegal5">#REF!</definedName>
    <definedName name="llklklklklklk">#REF!</definedName>
    <definedName name="llklklklklklklklk">#REF!</definedName>
    <definedName name="lll">#REF!</definedName>
    <definedName name="llll">#REF!</definedName>
    <definedName name="lnjlk">#REF!</definedName>
    <definedName name="LOCN">#REF!</definedName>
    <definedName name="LOCO">#REF!</definedName>
    <definedName name="LOCT">#REF!</definedName>
    <definedName name="loiñlololio">#REF!</definedName>
    <definedName name="LOLO">#REF!</definedName>
    <definedName name="LOLO2">#REF!</definedName>
    <definedName name="LOLOL">#REF!</definedName>
    <definedName name="LOLOLOL">#REF!</definedName>
    <definedName name="long">#REF!</definedName>
    <definedName name="longitudmuro">#REF!</definedName>
    <definedName name="LOQUE">#REF!</definedName>
    <definedName name="LORI">#REF!</definedName>
    <definedName name="LUG">#REF!</definedName>
    <definedName name="LUGAR">#REF!</definedName>
    <definedName name="LUM_70">#REF!</definedName>
    <definedName name="LUZ">#REF!</definedName>
    <definedName name="m">#REF!</definedName>
    <definedName name="MA">#REF!</definedName>
    <definedName name="MACII">#REF!</definedName>
    <definedName name="MADERA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FG">#REF!</definedName>
    <definedName name="MAmbiente1">#REF!</definedName>
    <definedName name="mantilla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Q">#REF!</definedName>
    <definedName name="MARCA">#REF!</definedName>
    <definedName name="marco">#REF!</definedName>
    <definedName name="MARTES">#REF!</definedName>
    <definedName name="MARZO">#REF!</definedName>
    <definedName name="MATEX">#REF!</definedName>
    <definedName name="MAY">#REF!</definedName>
    <definedName name="mayra">#REF!</definedName>
    <definedName name="mb">#REF!</definedName>
    <definedName name="MC">#REF!</definedName>
    <definedName name="mcjrnfhgipacneki">#REF!</definedName>
    <definedName name="MD">#REF!</definedName>
    <definedName name="MDMARZO">#REF!</definedName>
    <definedName name="MECHANICAL">#REF!</definedName>
    <definedName name="MEDIA">#REF!</definedName>
    <definedName name="MENU">#REF!</definedName>
    <definedName name="mes">#REF!</definedName>
    <definedName name="mesess">#REF!</definedName>
    <definedName name="MET">#REF!</definedName>
    <definedName name="META">#REF!</definedName>
    <definedName name="Metas2013">#REF!</definedName>
    <definedName name="metmes">#REF!</definedName>
    <definedName name="METR">#REF!</definedName>
    <definedName name="METRADO">#REF!</definedName>
    <definedName name="METRADOS">#REF!</definedName>
    <definedName name="metramm">#REF!</definedName>
    <definedName name="METRE">#REF!</definedName>
    <definedName name="MF">#REF!</definedName>
    <definedName name="MHMGHMHJ">#REF!</definedName>
    <definedName name="MI">#REF!</definedName>
    <definedName name="MIERCOLES">#REF!</definedName>
    <definedName name="MILE">#REF!</definedName>
    <definedName name="milestone">#REF!</definedName>
    <definedName name="Milestones">#REF!</definedName>
    <definedName name="Milestones1">#REF!</definedName>
    <definedName name="miriam">#REF!</definedName>
    <definedName name="ML">#REF!</definedName>
    <definedName name="mloljlj">#REF!</definedName>
    <definedName name="mm">#REF!</definedName>
    <definedName name="mmagosto">#REF!</definedName>
    <definedName name="mmdiciembre">#REF!</definedName>
    <definedName name="mmenero">#REF!</definedName>
    <definedName name="mmfebrero">#REF!</definedName>
    <definedName name="mmjulio">#REF!</definedName>
    <definedName name="mmjunio">#REF!</definedName>
    <definedName name="mmm">#REF!</definedName>
    <definedName name="mmmayo">#REF!</definedName>
    <definedName name="mmmdesague">#REF!</definedName>
    <definedName name="mmmm">#REF!</definedName>
    <definedName name="mmmmm">#REF!</definedName>
    <definedName name="MMMMMM">#REF!</definedName>
    <definedName name="mmmmmmmmm">#REF!</definedName>
    <definedName name="mmnoviembre">#REF!</definedName>
    <definedName name="mmnovirmbre">#REF!</definedName>
    <definedName name="mmoctubre">#REF!</definedName>
    <definedName name="mmseptiembre">#REF!</definedName>
    <definedName name="MMUL">#REF!</definedName>
    <definedName name="MN">#REF!</definedName>
    <definedName name="MNBNKM">#REF!</definedName>
    <definedName name="MNMBMBMNM">#REF!</definedName>
    <definedName name="mnmjhmb">#REF!</definedName>
    <definedName name="mnmnbmj">#REF!</definedName>
    <definedName name="mnn">#REF!</definedName>
    <definedName name="MO">#REF!</definedName>
    <definedName name="MO.">#REF!</definedName>
    <definedName name="MOCHE">#REF!</definedName>
    <definedName name="MODELO">#REF!</definedName>
    <definedName name="MODEO">#REF!</definedName>
    <definedName name="modificado">#REF!</definedName>
    <definedName name="Moneda">#REF!</definedName>
    <definedName name="monitor">#REF!</definedName>
    <definedName name="MONTAJE">#REF!</definedName>
    <definedName name="MONTO">#REF!</definedName>
    <definedName name="Monto_Anticipo">#REF!</definedName>
    <definedName name="MOTOB_">#REF!</definedName>
    <definedName name="Mov_Faena">#REF!</definedName>
    <definedName name="msm">#REF!</definedName>
    <definedName name="MT">#REF!</definedName>
    <definedName name="Mu">#REF!</definedName>
    <definedName name="MUNO">#REF!</definedName>
    <definedName name="mvnfghcbdfrtfgyug">#REF!</definedName>
    <definedName name="n">#REF!</definedName>
    <definedName name="nalaitioc">#REF!</definedName>
    <definedName name="nb">#REF!</definedName>
    <definedName name="nbnbnb">#REF!</definedName>
    <definedName name="nbnbnbn">#REF!</definedName>
    <definedName name="nbnbnbnb">#REF!</definedName>
    <definedName name="nbnbnbnbnbnbnbn">#REF!</definedName>
    <definedName name="ncmvnfhgrtsudpgkvmd">#REF!</definedName>
    <definedName name="ncvdgr153">#REF!</definedName>
    <definedName name="NE">#REF!</definedName>
    <definedName name="ngndfjg">#REF!</definedName>
    <definedName name="NGNGHHG">#REF!</definedName>
    <definedName name="NHBNHG">#REF!</definedName>
    <definedName name="NIVEL">#REF!</definedName>
    <definedName name="NJJKJH">#REF!</definedName>
    <definedName name="nmnbmnb">#REF!</definedName>
    <definedName name="NMVHJVJHVJHB">#REF!</definedName>
    <definedName name="nnk">#REF!</definedName>
    <definedName name="nnnn">#REF!</definedName>
    <definedName name="nnnnnnnn">#REF!</definedName>
    <definedName name="NNNNNNNNNN">#REF!</definedName>
    <definedName name="NOMB">#REF!</definedName>
    <definedName name="NOMBRE">#REF!</definedName>
    <definedName name="NOMCURP">#REF!</definedName>
    <definedName name="NOMCURS">#REF!</definedName>
    <definedName name="NOMMRP">#REF!</definedName>
    <definedName name="NOMMRS">#REF!</definedName>
    <definedName name="NOMNRP">#REF!</definedName>
    <definedName name="NOMNRS">#REF!</definedName>
    <definedName name="NOMRP">#REF!</definedName>
    <definedName name="NOMRS">#REF!</definedName>
    <definedName name="NOVI">#REF!</definedName>
    <definedName name="NOVIE">#REF!</definedName>
    <definedName name="NOVIEMBRE">#REF!</definedName>
    <definedName name="NRO">#REF!</definedName>
    <definedName name="nuevasenero">#REF!</definedName>
    <definedName name="nuevasfebrero">#REF!</definedName>
    <definedName name="nuevasjunio">#REF!</definedName>
    <definedName name="nuevasmayo">#REF!</definedName>
    <definedName name="NUEVO">#REF!</definedName>
    <definedName name="nuevo1">#REF!</definedName>
    <definedName name="nvoxcnhyfyve">#REF!</definedName>
    <definedName name="Ñ">#REF!</definedName>
    <definedName name="ñlklj">#REF!</definedName>
    <definedName name="ÑLÑLÑLÑ">#REF!</definedName>
    <definedName name="ÑÑÑAAS">#REF!</definedName>
    <definedName name="ÑP">#REF!</definedName>
    <definedName name="ÑPÑP">#REF!</definedName>
    <definedName name="o">#REF!</definedName>
    <definedName name="OBRA">#REF!</definedName>
    <definedName name="OBRAabreviatura">#REF!</definedName>
    <definedName name="OBRAS">#REF!</definedName>
    <definedName name="OBRASANT">#REF!</definedName>
    <definedName name="OBRASS">#REF!</definedName>
    <definedName name="OBRASSSS">#REF!</definedName>
    <definedName name="OEI_03_GARANTIZAR_LA_CALIDAD_Y_COBERTURA_DE_LOS_SERVICIOS_EDUCATIVOS_CON_ENFOQUE_INCLUSIVO_PARA_LA_FORMACION_INTEGRAL_DE_LOS_ESTUDIANTES_DE_LA_REGION_DEL_CUSCO">#REF!</definedName>
    <definedName name="OF">#REF!</definedName>
    <definedName name="OFICINA_TOPOGRAFIA">#REF!</definedName>
    <definedName name="OIOIOIOI">#REF!</definedName>
    <definedName name="OIOIOIOIOIOIOI">#REF!</definedName>
    <definedName name="OK">#REF!</definedName>
    <definedName name="OLOL">#REF!</definedName>
    <definedName name="ololkl">#REF!</definedName>
    <definedName name="OÑIIY">#REF!</definedName>
    <definedName name="OO">#REF!</definedName>
    <definedName name="OOOOOOOO">#REF!</definedName>
    <definedName name="OP">#REF!</definedName>
    <definedName name="OP_1">#REF!</definedName>
    <definedName name="OP_2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">#REF!</definedName>
    <definedName name="Operador_Maquinaria_Liviana">#REF!</definedName>
    <definedName name="Operador_Maquinaria_Pesada">#REF!</definedName>
    <definedName name="OPERADORES">#REF!</definedName>
    <definedName name="OPOIOI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den_Cemento">#REF!</definedName>
    <definedName name="Orden_Concreto">#REF!</definedName>
    <definedName name="Orden_Fierro">#REF!</definedName>
    <definedName name="Orden_Ladrillo">#REF!</definedName>
    <definedName name="Orden_Perfil">#REF!</definedName>
    <definedName name="OTROS">#REF!</definedName>
    <definedName name="OUIOPOPOPO">#REF!</definedName>
    <definedName name="OUIOUIOIUOIU">#REF!</definedName>
    <definedName name="Oxiginista">#REF!</definedName>
    <definedName name="OZ">#REF!</definedName>
    <definedName name="P">#REF!</definedName>
    <definedName name="P.VENTA">#REF!</definedName>
    <definedName name="P_A">#REF!</definedName>
    <definedName name="P_A_1">#REF!</definedName>
    <definedName name="P_A_2">#REF!</definedName>
    <definedName name="P_EQUIP">#REF!</definedName>
    <definedName name="P_FORPU">#REF!</definedName>
    <definedName name="P_G">#REF!</definedName>
    <definedName name="P_G_1">#REF!</definedName>
    <definedName name="P_G_2">#REF!</definedName>
    <definedName name="P_MACRO">#REF!</definedName>
    <definedName name="P_RESUMEN">#REF!</definedName>
    <definedName name="pa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AN">#REF!</definedName>
    <definedName name="paat_1">#REF!</definedName>
    <definedName name="PAAT_1_M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G">#REF!</definedName>
    <definedName name="PAINTING">#REF!</definedName>
    <definedName name="PAPAPAPPAPA">#REF!</definedName>
    <definedName name="PARET">#REF!</definedName>
    <definedName name="part_101">#REF!</definedName>
    <definedName name="part502">#REF!</definedName>
    <definedName name="part504">#REF!</definedName>
    <definedName name="part505">#REF!</definedName>
    <definedName name="part506">#REF!</definedName>
    <definedName name="part507">#REF!</definedName>
    <definedName name="part508">#REF!</definedName>
    <definedName name="part509">#REF!</definedName>
    <definedName name="part509.A">#REF!</definedName>
    <definedName name="part510">#REF!</definedName>
    <definedName name="part511">#REF!</definedName>
    <definedName name="part512">#REF!</definedName>
    <definedName name="part518">#REF!</definedName>
    <definedName name="part519">#REF!</definedName>
    <definedName name="part520">#REF!</definedName>
    <definedName name="part521">#REF!</definedName>
    <definedName name="part521.A">#REF!</definedName>
    <definedName name="part523.A">#REF!</definedName>
    <definedName name="part525">#REF!</definedName>
    <definedName name="part526">#REF!</definedName>
    <definedName name="part534.A">#REF!</definedName>
    <definedName name="part536">#REF!</definedName>
    <definedName name="part537">#REF!</definedName>
    <definedName name="part539">#REF!</definedName>
    <definedName name="part539.A">#REF!</definedName>
    <definedName name="part540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ah">#REF!</definedName>
    <definedName name="PAVI">#REF!</definedName>
    <definedName name="PAVIMENTOANT1">#REF!</definedName>
    <definedName name="PAVIMENTOS">#REF!</definedName>
    <definedName name="PAVIMENTOSANT">#REF!</definedName>
    <definedName name="PAVV">#REF!</definedName>
    <definedName name="PCV">#REF!</definedName>
    <definedName name="PE">#REF!</definedName>
    <definedName name="PED">#REF!</definedName>
    <definedName name="penetracion">#REF!</definedName>
    <definedName name="peon">#REF!</definedName>
    <definedName name="PERIODO">#REF!</definedName>
    <definedName name="Periodos">#REF!</definedName>
    <definedName name="PERSONAL">#REF!</definedName>
    <definedName name="Peso">#REF!</definedName>
    <definedName name="PESOS">#REF!</definedName>
    <definedName name="PID">#REF!</definedName>
    <definedName name="PIEDRA">#REF!</definedName>
    <definedName name="pileta">#REF!</definedName>
    <definedName name="PIURA">#REF!</definedName>
    <definedName name="pla">#REF!</definedName>
    <definedName name="Plan.met">#REF!</definedName>
    <definedName name="PLANCHA">#REF!</definedName>
    <definedName name="plani">#REF!</definedName>
    <definedName name="planilla">#REF!</definedName>
    <definedName name="plazo">#REF!</definedName>
    <definedName name="podnfgrtevdeovifmchdgftr123546sc">#REF!</definedName>
    <definedName name="polinomica">#REF!</definedName>
    <definedName name="POPO">#REF!</definedName>
    <definedName name="POPOPOPO">#REF!</definedName>
    <definedName name="por">#REF!</definedName>
    <definedName name="PORCC">#REF!</definedName>
    <definedName name="PORTALINEA">#REF!</definedName>
    <definedName name="POSTES">#REF!</definedName>
    <definedName name="POTENCIA">#REF!</definedName>
    <definedName name="PP">#REF!</definedName>
    <definedName name="ppopopopopo">#REF!</definedName>
    <definedName name="ppp">#REF!</definedName>
    <definedName name="pppp">#REF!</definedName>
    <definedName name="PPPP1">#REF!</definedName>
    <definedName name="PPPPP">#REF!</definedName>
    <definedName name="PPTOANAL">#REF!</definedName>
    <definedName name="PR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_COMB_2">#REF!</definedName>
    <definedName name="PRECIO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IOS">#REF!</definedName>
    <definedName name="PRECIOS_A">#REF!</definedName>
    <definedName name="Preminado1">#REF!</definedName>
    <definedName name="PRES">#REF!</definedName>
    <definedName name="PRESU1">#REF!</definedName>
    <definedName name="PRESUP">#REF!</definedName>
    <definedName name="PRESUP1">#REF!</definedName>
    <definedName name="PRESUPESTO">#REF!</definedName>
    <definedName name="presupuestoadicional">#REF!</definedName>
    <definedName name="PRESUPUESTOS">#REF!</definedName>
    <definedName name="Print_Area">#REF!</definedName>
    <definedName name="Print_Titles">#REF!</definedName>
    <definedName name="PRO">#REF!</definedName>
    <definedName name="PROG">#REF!</definedName>
    <definedName name="Prog01_01">#REF!</definedName>
    <definedName name="Prog01_02">#REF!</definedName>
    <definedName name="Prog01_03">#REF!</definedName>
    <definedName name="Prog01_04">#REF!</definedName>
    <definedName name="Prog01_05">#REF!</definedName>
    <definedName name="Prog02_01">#REF!</definedName>
    <definedName name="Prog02_02">#REF!</definedName>
    <definedName name="Prog02_03">#REF!</definedName>
    <definedName name="Prog02_04">#REF!</definedName>
    <definedName name="Prog02_05">#REF!</definedName>
    <definedName name="Prog03_01">#REF!</definedName>
    <definedName name="Prog03_02">#REF!</definedName>
    <definedName name="Prog03_03">#REF!</definedName>
    <definedName name="Prog03_04">#REF!</definedName>
    <definedName name="Prog03_05">#REF!</definedName>
    <definedName name="ProgJulio">#REF!</definedName>
    <definedName name="PROPIETARIO">#REF!</definedName>
    <definedName name="PROPIO">#REF!</definedName>
    <definedName name="PROV">#REF!</definedName>
    <definedName name="PROY">#REF!</definedName>
    <definedName name="PROY_INTERNO">#REF!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m">#REF!</definedName>
    <definedName name="PTO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#REF!</definedName>
    <definedName name="PUAG">#REF!</definedName>
    <definedName name="puente">#REF!</definedName>
    <definedName name="PUERTAS">#REF!</definedName>
    <definedName name="PV">#REF!</definedName>
    <definedName name="Q">#REF!</definedName>
    <definedName name="qa">#REF!</definedName>
    <definedName name="QAAASAQASQW">#REF!</definedName>
    <definedName name="QAQAQA">#REF!</definedName>
    <definedName name="qq">#REF!</definedName>
    <definedName name="qqq">#REF!</definedName>
    <definedName name="qqqq">#REF!</definedName>
    <definedName name="QQQQQ">#REF!</definedName>
    <definedName name="qqqqqq">#REF!</definedName>
    <definedName name="QQQQQQQ">#REF!</definedName>
    <definedName name="QQQQQQQQQQQQ">#REF!</definedName>
    <definedName name="qqqqqqqqqqqqq">#REF!</definedName>
    <definedName name="qqqqqqqqqqqqqq">#REF!</definedName>
    <definedName name="qqqqqqqqqqqqqqqq">#REF!</definedName>
    <definedName name="qqqqqqqqqqqqqqqqqq">#REF!</definedName>
    <definedName name="qqwwqwqwqw">#REF!</definedName>
    <definedName name="qtgfsht">#REF!</definedName>
    <definedName name="QTYBASE">#REF!</definedName>
    <definedName name="QTYFCT">#REF!</definedName>
    <definedName name="qwasewsa">#REF!</definedName>
    <definedName name="qwasewsdrxcdsx">#REF!</definedName>
    <definedName name="qwaww">#REF!</definedName>
    <definedName name="QWD">#REF!</definedName>
    <definedName name="qwe">#REF!</definedName>
    <definedName name="qwer">#REF!</definedName>
    <definedName name="qwertesd">#REF!</definedName>
    <definedName name="QWQSA12SS">#REF!</definedName>
    <definedName name="QWQW">#REF!</definedName>
    <definedName name="QWWESDSFVXV">#REF!</definedName>
    <definedName name="QWWQ">#REF!</definedName>
    <definedName name="raf">#REF!</definedName>
    <definedName name="ram">#REF!</definedName>
    <definedName name="rango">#REF!</definedName>
    <definedName name="rango2">#REF!</definedName>
    <definedName name="rate">#REF!</definedName>
    <definedName name="RATE01">#REF!</definedName>
    <definedName name="RAYADDD">#REF!</definedName>
    <definedName name="REAJUSTE">#REF!</definedName>
    <definedName name="REBECA">#REF!</definedName>
    <definedName name="RECARGO">#REF!</definedName>
    <definedName name="RED">#REF!</definedName>
    <definedName name="REEEEE">#REF!</definedName>
    <definedName name="Reformulado">#REF!</definedName>
    <definedName name="REGRESION">#REF!</definedName>
    <definedName name="RELL_UNI_CAB">#REF!</definedName>
    <definedName name="RELLENO">#REF!</definedName>
    <definedName name="rem">#REF!</definedName>
    <definedName name="ren">#REF!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p">#REF!</definedName>
    <definedName name="REPORTE">#REF!</definedName>
    <definedName name="RES">#REF!</definedName>
    <definedName name="ResExpTec">#REF!</definedName>
    <definedName name="resi">#REF!</definedName>
    <definedName name="RESIDENTE">#REF!</definedName>
    <definedName name="RESP">#REF!</definedName>
    <definedName name="RESUMEN">#REF!</definedName>
    <definedName name="resumen1">#REF!</definedName>
    <definedName name="resumen12">#REF!</definedName>
    <definedName name="ret">#REF!</definedName>
    <definedName name="Retencion">#REF!</definedName>
    <definedName name="reto">#REF!</definedName>
    <definedName name="REY">#REF!</definedName>
    <definedName name="rf">#REF!</definedName>
    <definedName name="RFDG">#REF!</definedName>
    <definedName name="RGR">#REF!</definedName>
    <definedName name="RGRAL">#REF!</definedName>
    <definedName name="rgrg">#REF!</definedName>
    <definedName name="RGRL">#REF!</definedName>
    <definedName name="RI">#REF!</definedName>
    <definedName name="RI_A">#REF!</definedName>
    <definedName name="RI_S">#REF!</definedName>
    <definedName name="rl">#REF!</definedName>
    <definedName name="RMV">#REF!</definedName>
    <definedName name="RO">#REF!</definedName>
    <definedName name="ROCA">#REF!</definedName>
    <definedName name="rocio">#REF!</definedName>
    <definedName name="RR">#REF!</definedName>
    <definedName name="rrr">#REF!</definedName>
    <definedName name="RRRR">#REF!</definedName>
    <definedName name="rrrrr">#REF!</definedName>
    <definedName name="rrrrrr">#REF!</definedName>
    <definedName name="rrrrrrr">#REF!</definedName>
    <definedName name="RRTRTRT">#REF!</definedName>
    <definedName name="RRTT">#REF!</definedName>
    <definedName name="rryrt">#REF!</definedName>
    <definedName name="rt">#REF!</definedName>
    <definedName name="rte">#REF!</definedName>
    <definedName name="RTRETERTDGFDGFDGFD">#REF!</definedName>
    <definedName name="RTRRETERTRETRET">#REF!</definedName>
    <definedName name="rtrte">#REF!</definedName>
    <definedName name="rttt">#REF!</definedName>
    <definedName name="rtyy">#REF!</definedName>
    <definedName name="RV">#REF!</definedName>
    <definedName name="RV_A">#REF!</definedName>
    <definedName name="RV_S">#REF!</definedName>
    <definedName name="RYTHIKTIO">#REF!</definedName>
    <definedName name="s">#REF!</definedName>
    <definedName name="SA">#REF!</definedName>
    <definedName name="SAA">#REF!</definedName>
    <definedName name="SAAas">#REF!</definedName>
    <definedName name="SADASD">#REF!</definedName>
    <definedName name="SADFASEFDSDFSDFSDFSDFSDF">#REF!</definedName>
    <definedName name="sadsaddaaa">#REF!</definedName>
    <definedName name="sadsadsa">#REF!</definedName>
    <definedName name="SAL">#REF!</definedName>
    <definedName name="Saldo_de_ENERO">#REF!</definedName>
    <definedName name="Saldo03">#REF!</definedName>
    <definedName name="Sale14">#REF!</definedName>
    <definedName name="Sale3">#REF!</definedName>
    <definedName name="Sale4">#REF!</definedName>
    <definedName name="SALE8">#REF!</definedName>
    <definedName name="salsa">#REF!</definedName>
    <definedName name="SAS">#REF!</definedName>
    <definedName name="SASAASA">#REF!</definedName>
    <definedName name="sasasa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CAFFOLDING">#REF!</definedName>
    <definedName name="SCERFR">#REF!</definedName>
    <definedName name="SCXADSX1111111111111111111">#REF!</definedName>
    <definedName name="SD">#REF!</definedName>
    <definedName name="SDAS">#REF!</definedName>
    <definedName name="SDASD">#REF!</definedName>
    <definedName name="SDD">#REF!</definedName>
    <definedName name="sddddddddddddddd">#REF!</definedName>
    <definedName name="SDDFASFD">#REF!</definedName>
    <definedName name="sddsds">#REF!</definedName>
    <definedName name="sdeswwwwwwwwwwwwwwwww">#REF!</definedName>
    <definedName name="SDF">#REF!</definedName>
    <definedName name="sdfghjkcvbnrtyusldkfhgj">#REF!</definedName>
    <definedName name="sdfnhgnfgnfgbsdvsdcax">#REF!</definedName>
    <definedName name="SDFSDFDS">#REF!</definedName>
    <definedName name="sdfsdgfgbthgf">#REF!</definedName>
    <definedName name="SDGFSDGDFHTGFNFGNGFHFNH">#REF!</definedName>
    <definedName name="sdscszcz">#REF!</definedName>
    <definedName name="SDSD">#REF!</definedName>
    <definedName name="SDSDS">#REF!</definedName>
    <definedName name="SDSDSD">#REF!</definedName>
    <definedName name="SDSDSDDS">#REF!</definedName>
    <definedName name="sdsdsdsds">#REF!</definedName>
    <definedName name="sdssds">#REF!</definedName>
    <definedName name="SDVSFDVSFD">#REF!</definedName>
    <definedName name="sdzsdzs">#REF!</definedName>
    <definedName name="SE">#REF!</definedName>
    <definedName name="SECTOR">#REF!</definedName>
    <definedName name="sedrfgthyjuki">#REF!</definedName>
    <definedName name="SEF">#REF!</definedName>
    <definedName name="SEGF">#REF!</definedName>
    <definedName name="SEM">#REF!</definedName>
    <definedName name="SENATI">#REF!</definedName>
    <definedName name="SEÑALIZACION">#REF!</definedName>
    <definedName name="SEÑALIZACIONANT">#REF!</definedName>
    <definedName name="señalizavion">#REF!</definedName>
    <definedName name="señora_k">#REF!</definedName>
    <definedName name="SERDEFT45">#REF!</definedName>
    <definedName name="SET">#REF!</definedName>
    <definedName name="SEY">#REF!</definedName>
    <definedName name="sf">#REF!</definedName>
    <definedName name="SFFFFF">#REF!</definedName>
    <definedName name="sfsd">#REF!</definedName>
    <definedName name="sfss">#REF!</definedName>
    <definedName name="SGD">#REF!</definedName>
    <definedName name="SHARED_FORMULA_0">#REF!</definedName>
    <definedName name="SHARED_FORMULA_1">#REF!</definedName>
    <definedName name="SHARED_FORMULA_2">#REF!</definedName>
    <definedName name="SHARED_FORMULA_3">#REF!</definedName>
    <definedName name="SHARED_FORMULA_4">#REF!</definedName>
    <definedName name="SHARED_FORMULA_5">#REF!</definedName>
    <definedName name="SI">#REF!</definedName>
    <definedName name="SINO">#REF!</definedName>
    <definedName name="SL">#REF!</definedName>
    <definedName name="smcndgfritopf23584df4g51h2f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">#REF!</definedName>
    <definedName name="sobremetas">#REF!</definedName>
    <definedName name="Sol">#REF!</definedName>
    <definedName name="Soldador_Calificado_6G">#REF!</definedName>
    <definedName name="Soldador_Plancha">#REF!</definedName>
    <definedName name="SOSEM">#REF!</definedName>
    <definedName name="SOSEMA">#REF!</definedName>
    <definedName name="sqws">#REF!</definedName>
    <definedName name="ss">#REF!</definedName>
    <definedName name="ssasasa">#REF!</definedName>
    <definedName name="ssi_marzo_2019">#REF!</definedName>
    <definedName name="SSS">#REF!</definedName>
    <definedName name="SSSS">#REF!</definedName>
    <definedName name="SSSSS">#REF!</definedName>
    <definedName name="SSSSSS">#REF!</definedName>
    <definedName name="SSSSSSS">#REF!</definedName>
    <definedName name="sssssssssss">#REF!</definedName>
    <definedName name="SSSSSSSSSSSSSS">#REF!</definedName>
    <definedName name="STB">#REF!</definedName>
    <definedName name="STEP">#REF!</definedName>
    <definedName name="STRUCTURAL">#REF!</definedName>
    <definedName name="su">#REF!</definedName>
    <definedName name="SUMINISTRO">#REF!</definedName>
    <definedName name="SUMMARY">#REF!</definedName>
    <definedName name="SUP">#REF!</definedName>
    <definedName name="SUPERVICION">#REF!</definedName>
    <definedName name="SUPERVISION">#REF!</definedName>
    <definedName name="SUSTMETRADOS">#REF!</definedName>
    <definedName name="SW">#REF!</definedName>
    <definedName name="SWASSQSWSSASASASA">#REF!</definedName>
    <definedName name="swaswdefcd">#REF!</definedName>
    <definedName name="SWEDSSWQ12334322">#REF!</definedName>
    <definedName name="SWS">#REF!</definedName>
    <definedName name="SXAS">#REF!</definedName>
    <definedName name="SXASXX">#REF!</definedName>
    <definedName name="sxsxsx">#REF!</definedName>
    <definedName name="T">#REF!</definedName>
    <definedName name="T7879EE">#REF!</definedName>
    <definedName name="TABLA">#REF!</definedName>
    <definedName name="Tabla_asignación">#REF!</definedName>
    <definedName name="Tabla_Recursos">#REF!</definedName>
    <definedName name="Tabla_Tareas">#REF!</definedName>
    <definedName name="Taller_Moderniz.">#REF!</definedName>
    <definedName name="TARAY">#REF!</definedName>
    <definedName name="TAREA">#REF!</definedName>
    <definedName name="TAREO">#REF!</definedName>
    <definedName name="TAREO2">#REF!</definedName>
    <definedName name="TAREOOCTUBRE">#REF!</definedName>
    <definedName name="TAREOZ">#REF!</definedName>
    <definedName name="TAREOZ1">#REF!</definedName>
    <definedName name="TarifasHorarias">#REF!</definedName>
    <definedName name="TAS">#REF!</definedName>
    <definedName name="Tasa">#REF!</definedName>
    <definedName name="TASKS">#REF!</definedName>
    <definedName name="tdfyfjhol">#REF!</definedName>
    <definedName name="TEMPORARY_FACIL">#REF!</definedName>
    <definedName name="TEO">#REF!</definedName>
    <definedName name="terdfg">#REF!</definedName>
    <definedName name="TERMINO">#REF!</definedName>
    <definedName name="TF">#REF!</definedName>
    <definedName name="tfrdefgyuio9l">#REF!</definedName>
    <definedName name="TGH">#REF!</definedName>
    <definedName name="TH">#REF!</definedName>
    <definedName name="THONNY">#REF!</definedName>
    <definedName name="tipoc">#REF!</definedName>
    <definedName name="TITLE">#REF!</definedName>
    <definedName name="TITULO">#REF!</definedName>
    <definedName name="tn">#REF!</definedName>
    <definedName name="to">#REF!</definedName>
    <definedName name="TO_MAT">#REF!</definedName>
    <definedName name="TOMAS">#REF!</definedName>
    <definedName name="ton">#REF!</definedName>
    <definedName name="TONI">#REF!</definedName>
    <definedName name="TOT">#REF!</definedName>
    <definedName name="TOTAL">#REF!</definedName>
    <definedName name="TOTAL_ELEMENTOS_SEGURIDAD">#REF!</definedName>
    <definedName name="TOTAL_EQUIPO_SOLDADOR">#REF!</definedName>
    <definedName name="Total_Scheduled_Jobhours">#REF!</definedName>
    <definedName name="TOTO">#REF!</definedName>
    <definedName name="tox">#REF!</definedName>
    <definedName name="TP">#REF!</definedName>
    <definedName name="Tperdido">#REF!</definedName>
    <definedName name="tpor">#REF!</definedName>
    <definedName name="TProyectos">#REF!</definedName>
    <definedName name="TR">#REF!</definedName>
    <definedName name="TRAMPA">#REF!</definedName>
    <definedName name="TRANSPOR">#REF!</definedName>
    <definedName name="TRANSPORTE">#REF!</definedName>
    <definedName name="TRANSPORTEANT">#REF!</definedName>
    <definedName name="tre">#REF!</definedName>
    <definedName name="TRemuneracion">#REF!</definedName>
    <definedName name="Tri">#REF!</definedName>
    <definedName name="TRTRETERTRTERTRTE">#REF!</definedName>
    <definedName name="trttt">#REF!</definedName>
    <definedName name="TRUYENQUE">#REF!</definedName>
    <definedName name="TS_0">#REF!</definedName>
    <definedName name="TS_2">#REF!</definedName>
    <definedName name="TS_3">#REF!</definedName>
    <definedName name="TT">#REF!</definedName>
    <definedName name="TTH">#REF!</definedName>
    <definedName name="TTT">#REF!</definedName>
    <definedName name="TTTT">#REF!</definedName>
    <definedName name="ttttt">#REF!</definedName>
    <definedName name="TTYRTRTRTR">#REF!</definedName>
    <definedName name="TY">#REF!</definedName>
    <definedName name="u">#REF!</definedName>
    <definedName name="UBI">#REF!</definedName>
    <definedName name="UBICA_ACTUAL">#REF!</definedName>
    <definedName name="UBICACION">#REF!</definedName>
    <definedName name="uf">#REF!</definedName>
    <definedName name="UG">#REF!</definedName>
    <definedName name="UIUOIUOIU">#REF!</definedName>
    <definedName name="UIUUIUIU">#REF!</definedName>
    <definedName name="UJ">#REF!</definedName>
    <definedName name="ULTIMO">#REF!</definedName>
    <definedName name="UÑAS">#REF!</definedName>
    <definedName name="usd">#REF!</definedName>
    <definedName name="UT">#REF!</definedName>
    <definedName name="UTILIDAD">#REF!</definedName>
    <definedName name="UU">#REF!</definedName>
    <definedName name="uyuyuy">#REF!</definedName>
    <definedName name="v">#REF!</definedName>
    <definedName name="V.VENTA">#REF!</definedName>
    <definedName name="V.VENTA_1">#REF!</definedName>
    <definedName name="V.VENTA_2">#REF!</definedName>
    <definedName name="VA">#REF!</definedName>
    <definedName name="VAL">#REF!</definedName>
    <definedName name="Val._01">#REF!</definedName>
    <definedName name="Val.Adic.">#REF!</definedName>
    <definedName name="VAL03_01">#REF!</definedName>
    <definedName name="VAL03_02">#REF!</definedName>
    <definedName name="VAL03_03">#REF!</definedName>
    <definedName name="VAL03_04">#REF!</definedName>
    <definedName name="VAL03_05">#REF!</definedName>
    <definedName name="VAL03_06">#REF!</definedName>
    <definedName name="VAL03_07">#REF!</definedName>
    <definedName name="VALLO">#REF!</definedName>
    <definedName name="valmes">#REF!</definedName>
    <definedName name="VALO">#REF!</definedName>
    <definedName name="Valor_afecto">#REF!</definedName>
    <definedName name="Valor_Contrato">#REF!</definedName>
    <definedName name="Valor_no_Afect.">#REF!</definedName>
    <definedName name="VALOREFERENCIAL">#REF!</definedName>
    <definedName name="VALORI">#REF!</definedName>
    <definedName name="VALORIZACION">#REF!</definedName>
    <definedName name="Valorización">#REF!</definedName>
    <definedName name="VALORIZACION03">#REF!</definedName>
    <definedName name="VALORIZADO">#REF!</definedName>
    <definedName name="VAR">#REF!</definedName>
    <definedName name="VARIOS">#REF!</definedName>
    <definedName name="VARIOSANT">#REF!</definedName>
    <definedName name="VARIOSANT.">#REF!</definedName>
    <definedName name="VB">#REF!</definedName>
    <definedName name="VBB">#REF!</definedName>
    <definedName name="vbbbvv">#REF!</definedName>
    <definedName name="VBNTJHNN">#REF!</definedName>
    <definedName name="vbvbvbvbgbg">#REF!</definedName>
    <definedName name="vbvbvbvbvbvbb">#REF!</definedName>
    <definedName name="vc">#REF!</definedName>
    <definedName name="vcvc">#REF!</definedName>
    <definedName name="vcvcc">#REF!</definedName>
    <definedName name="vcvcvcvccc">#REF!</definedName>
    <definedName name="vcvcvcvcvc">#REF!</definedName>
    <definedName name="vcvcxvcxvcx">#REF!</definedName>
    <definedName name="vcvvcvc">#REF!</definedName>
    <definedName name="VCVXCVCVCXVX">#REF!</definedName>
    <definedName name="vcvxcvcxv">#REF!</definedName>
    <definedName name="vcxvcx">#REF!</definedName>
    <definedName name="VCXVCXVCXV">#REF!</definedName>
    <definedName name="vcxvxcvcx">#REF!</definedName>
    <definedName name="vcxvxcvxc">#REF!</definedName>
    <definedName name="vdsdsvds">#REF!</definedName>
    <definedName name="VENT">#REF!</definedName>
    <definedName name="VFGG">#REF!</definedName>
    <definedName name="vfvfdvd">#REF!</definedName>
    <definedName name="VG">#REF!</definedName>
    <definedName name="VGFGDFSFDSF">#REF!</definedName>
    <definedName name="Vías1">#REF!</definedName>
    <definedName name="VIGAS">#REF!</definedName>
    <definedName name="VINCAR">#REF!</definedName>
    <definedName name="VIO">#REF!</definedName>
    <definedName name="viuda">#REF!</definedName>
    <definedName name="VN">#REF!</definedName>
    <definedName name="VOL_TUB_DESC">#REF!</definedName>
    <definedName name="VOLVO">#REF!</definedName>
    <definedName name="VV">#REF!</definedName>
    <definedName name="vxcvcvcv">#REF!</definedName>
    <definedName name="vxcvxcvxcv">#REF!</definedName>
    <definedName name="vxvcxvcvcvcv">#REF!</definedName>
    <definedName name="vzxczxczxczx">#REF!</definedName>
    <definedName name="w">#REF!</definedName>
    <definedName name="walter">#REF!</definedName>
    <definedName name="walterquispecamona">#REF!</definedName>
    <definedName name="WDQW">#REF!</definedName>
    <definedName name="WDQWD">#REF!</definedName>
    <definedName name="WDWDWDW">#REF!</definedName>
    <definedName name="WEEK">#REF!</definedName>
    <definedName name="week1">#REF!</definedName>
    <definedName name="WEEWEW">#REF!</definedName>
    <definedName name="WEFWFE">#REF!</definedName>
    <definedName name="weqre">#REF!</definedName>
    <definedName name="werwewaer">#REF!</definedName>
    <definedName name="weswedgikolp">#REF!</definedName>
    <definedName name="wew">#REF!</definedName>
    <definedName name="WEWE">#REF!</definedName>
    <definedName name="WFEFW">#REF!</definedName>
    <definedName name="WFEFWE">#REF!</definedName>
    <definedName name="WFWEF">#REF!</definedName>
    <definedName name="WINS">#REF!</definedName>
    <definedName name="WK">#REF!</definedName>
    <definedName name="WQREQWR">#REF!</definedName>
    <definedName name="WQWQWQW">#REF!</definedName>
    <definedName name="WR">#REF!</definedName>
    <definedName name="wra">#REF!</definedName>
    <definedName name="wrwsf">#REF!</definedName>
    <definedName name="WSASW11111111111111111111111">#REF!</definedName>
    <definedName name="WSCDXA12">#REF!</definedName>
    <definedName name="wserdesfgtvd">#REF!</definedName>
    <definedName name="WW">#REF!</definedName>
    <definedName name="WWW">#REF!</definedName>
    <definedName name="WWWW">#REF!</definedName>
    <definedName name="WWWWQ">#REF!</definedName>
    <definedName name="wwwww">#REF!</definedName>
    <definedName name="WWWWWW">#REF!</definedName>
    <definedName name="WWWWWWW">#REF!</definedName>
    <definedName name="WWWWWWWWWWWWWW">#REF!</definedName>
    <definedName name="X">#REF!</definedName>
    <definedName name="XASXAS">#REF!</definedName>
    <definedName name="XASXASX">#REF!</definedName>
    <definedName name="XC">#REF!</definedName>
    <definedName name="XCBCZVWAEDWEWERDCVCXVBCVBNAAAAXX">#REF!</definedName>
    <definedName name="xcc">#REF!</definedName>
    <definedName name="XCCXZC">#REF!</definedName>
    <definedName name="xcvcvc">#REF!</definedName>
    <definedName name="xcvxcvcvcx">#REF!</definedName>
    <definedName name="xcxcxcx">#REF!</definedName>
    <definedName name="xcxcxcxc">#REF!</definedName>
    <definedName name="xcxzcxzczx">#REF!</definedName>
    <definedName name="xczczxczxcxzc">#REF!</definedName>
    <definedName name="xczxczczccc">#REF!</definedName>
    <definedName name="xGraph11">#REF!</definedName>
    <definedName name="XVCVCVVV">#REF!</definedName>
    <definedName name="XVCVCXVC">#REF!</definedName>
    <definedName name="XVCVCXVCX">#REF!</definedName>
    <definedName name="xvvxcfcx">#REF!</definedName>
    <definedName name="XX">#REF!</definedName>
    <definedName name="xxdonmvgfv">#REF!</definedName>
    <definedName name="XXX">#REF!</definedName>
    <definedName name="XXXX">#REF!</definedName>
    <definedName name="xxxxx">#REF!</definedName>
    <definedName name="xxxxxx">#REF!</definedName>
    <definedName name="xxxxxxxxxx">#REF!</definedName>
    <definedName name="xxxxxxxxxxxxxx">#REF!</definedName>
    <definedName name="xxzxzxzxz">#REF!</definedName>
    <definedName name="xzxzx">#REF!</definedName>
    <definedName name="xzxzxzxz">#REF!</definedName>
    <definedName name="xzxzxzxzx">#REF!</definedName>
    <definedName name="xzxzxzxzxzxz">#REF!</definedName>
    <definedName name="y">#REF!</definedName>
    <definedName name="ya">#REF!</definedName>
    <definedName name="YAA">#REF!</definedName>
    <definedName name="YDHH">#REF!</definedName>
    <definedName name="ydulfñiulh">#REF!</definedName>
    <definedName name="YEAT">#REF!</definedName>
    <definedName name="yhyhyhyhyhy">#REF!</definedName>
    <definedName name="yjghjhg">#REF!</definedName>
    <definedName name="YJGJGJ">#REF!</definedName>
    <definedName name="yjuhgj">#REF!</definedName>
    <definedName name="YJYJ">#REF!</definedName>
    <definedName name="YONI">#REF!</definedName>
    <definedName name="YOPPPP">#REF!</definedName>
    <definedName name="YOVAN">#REF!</definedName>
    <definedName name="yryrtytry">#REF!</definedName>
    <definedName name="YT">#REF!</definedName>
    <definedName name="ytryrty">#REF!</definedName>
    <definedName name="YTY">#REF!</definedName>
    <definedName name="ytyt">#REF!</definedName>
    <definedName name="ytytytytyt">#REF!</definedName>
    <definedName name="YUO">#REF!</definedName>
    <definedName name="YUYU">#REF!</definedName>
    <definedName name="YUYUYU">#REF!</definedName>
    <definedName name="yyjj">#REF!</definedName>
    <definedName name="YYY">#REF!</definedName>
    <definedName name="YYYY">#REF!</definedName>
    <definedName name="YYYYY">#REF!</definedName>
    <definedName name="YYYYYYYYYYY">#REF!</definedName>
    <definedName name="Z">#REF!</definedName>
    <definedName name="Z2W">#REF!</definedName>
    <definedName name="za">#REF!</definedName>
    <definedName name="ZAPAT">#REF!</definedName>
    <definedName name="ZCVXXC">#REF!</definedName>
    <definedName name="zcxzcxzc">#REF!</definedName>
    <definedName name="zd">#REF!</definedName>
    <definedName name="zi">#REF!</definedName>
    <definedName name="ZQAXWS">#REF!</definedName>
    <definedName name="ZSXD">#REF!</definedName>
    <definedName name="zxcxzcxzcxz">#REF!</definedName>
    <definedName name="zxczxczxczczxcz">#REF!</definedName>
    <definedName name="zxczxzs">#REF!</definedName>
    <definedName name="zxzxdadsa">#REF!</definedName>
    <definedName name="ZXZXZ">#REF!</definedName>
    <definedName name="zxzxzxz">#REF!</definedName>
    <definedName name="zxzxzxzxzxzx">#REF!</definedName>
    <definedName name="zxzzxxzxzxzxz">#REF!</definedName>
    <definedName name="ZZ">#REF!</definedName>
    <definedName name="ZZZZ">#REF!</definedName>
    <definedName name="zzzzzz">#REF!</definedName>
    <definedName name="zzzzzzz">#REF!</definedName>
    <definedName name="ZZZZZZZZZZZZZZZZZZZZZZ">#REF!</definedName>
    <definedName name="ZZZZZZZZZZZZZZZZZZZZZZZZ">#REF!</definedName>
    <definedName name="ZZZZZZZZZZZZZZZZZZZZZZZZZZZZZZZZZZZZZZZZZZZZZZ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2" i="3" l="1"/>
  <c r="AK138" i="3"/>
  <c r="AF131" i="3"/>
  <c r="AF130" i="3"/>
  <c r="AF129" i="3"/>
  <c r="AF126" i="3"/>
  <c r="AK124" i="3"/>
  <c r="AF122" i="3"/>
  <c r="AK121" i="3"/>
  <c r="AF121" i="3"/>
  <c r="AK120" i="3"/>
  <c r="AF120" i="3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P12" i="2" s="1"/>
  <c r="P11" i="2"/>
  <c r="O11" i="2"/>
  <c r="N11" i="2"/>
  <c r="M11" i="2"/>
  <c r="L11" i="2"/>
  <c r="K11" i="2"/>
  <c r="J11" i="2"/>
  <c r="O10" i="2"/>
  <c r="N10" i="2"/>
  <c r="P10" i="2" s="1"/>
  <c r="M10" i="2"/>
  <c r="L10" i="2"/>
  <c r="K10" i="2"/>
  <c r="J10" i="2"/>
  <c r="R9" i="2"/>
  <c r="R7" i="2"/>
  <c r="Q9" i="2" l="1"/>
  <c r="Q7" i="2"/>
</calcChain>
</file>

<file path=xl/sharedStrings.xml><?xml version="1.0" encoding="utf-8"?>
<sst xmlns="http://schemas.openxmlformats.org/spreadsheetml/2006/main" count="576" uniqueCount="389">
  <si>
    <t>Item</t>
  </si>
  <si>
    <t>DESCRIPCION</t>
  </si>
  <si>
    <t>UND</t>
  </si>
  <si>
    <t>01</t>
  </si>
  <si>
    <t>01.01</t>
  </si>
  <si>
    <t>01.02</t>
  </si>
  <si>
    <t>TRABAJOS PRELIMINARES</t>
  </si>
  <si>
    <t>01.06</t>
  </si>
  <si>
    <t>01.03</t>
  </si>
  <si>
    <t>02</t>
  </si>
  <si>
    <t>02.01</t>
  </si>
  <si>
    <t>MOVIMIENTO DE TIERRAS</t>
  </si>
  <si>
    <t>02.02</t>
  </si>
  <si>
    <t>02.03</t>
  </si>
  <si>
    <t>02.04</t>
  </si>
  <si>
    <t>HOJA DE METRADOS DIARIOS DE PARTIDAS PROGRAMADAS SEGÚN EXPEDIENTE TECNICO</t>
  </si>
  <si>
    <t>OBRA</t>
  </si>
  <si>
    <t>PARTIDA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</si>
  <si>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</si>
  <si>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</si>
  <si>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</si>
  <si>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</si>
  <si>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</si>
  <si>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</si>
  <si>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</si>
  <si>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</si>
  <si>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</si>
  <si>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</si>
  <si>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</si>
  <si>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</si>
  <si>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</si>
  <si>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</si>
  <si>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</si>
  <si>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OE.2.3.7.3</t>
  </si>
  <si>
    <t>Columnas - acero f'y=4200 Kg/cm2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</si>
  <si>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</si>
  <si>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</si>
  <si>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</si>
  <si>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</si>
  <si>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</si>
  <si>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</si>
  <si>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</si>
  <si>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FECHA</t>
  </si>
  <si>
    <t>FRENTE</t>
  </si>
  <si>
    <t>BLOQUE</t>
  </si>
  <si>
    <t>DESCRIPCIÓN</t>
  </si>
  <si>
    <t>ANCHO / EMPAME</t>
  </si>
  <si>
    <t>ALTURA / GANCHO</t>
  </si>
  <si>
    <t>PARCIAL</t>
  </si>
  <si>
    <t>ACERO</t>
  </si>
  <si>
    <t>MOD.</t>
  </si>
  <si>
    <t>OE.6.2.72</t>
  </si>
  <si>
    <t>und</t>
  </si>
  <si>
    <t>Instalación de Abrazadera unistrut de 3/4"</t>
  </si>
  <si>
    <t>Conector PVC SAP NTP 399.006 DE 25 mm</t>
  </si>
  <si>
    <t>Und</t>
  </si>
  <si>
    <t>OE.6.2.73</t>
  </si>
  <si>
    <t>Instalación de Abrazadera unistrut de 1"</t>
  </si>
  <si>
    <t>Conector PVC SAP NTP 399.006 DE 20 mm</t>
  </si>
  <si>
    <t>OE.6.3.28</t>
  </si>
  <si>
    <t>Instalación de salida de datos cat. 7A simple - doble</t>
  </si>
  <si>
    <t>Riel unistrut 41x21x1.5mmx2.4m</t>
  </si>
  <si>
    <t>m</t>
  </si>
  <si>
    <t>OE.6.2.62</t>
  </si>
  <si>
    <t>Instalación de Unión Conduit EMT de 20mm</t>
  </si>
  <si>
    <t>Curva PVC SAP NTP 399.006 de 25 mm</t>
  </si>
  <si>
    <t>OE.6.2.63</t>
  </si>
  <si>
    <t>Instalación de Conector CONDUIT EMT de 25 mm</t>
  </si>
  <si>
    <t>Curva PVC SAP NTP 399.006 DE 20 mm</t>
  </si>
  <si>
    <t>OE.6.2.64</t>
  </si>
  <si>
    <t>Instalación de Conector CONDUIT EMT de 20 mm</t>
  </si>
  <si>
    <t>Unión PVC SAP NTP 399.006 DE 50 mm</t>
  </si>
  <si>
    <t>OE.6.2.37</t>
  </si>
  <si>
    <t>Recubrimiento de tuberia conduit con FILM</t>
  </si>
  <si>
    <t>VI</t>
  </si>
  <si>
    <t>Unión conduit EMT de 20 mm</t>
  </si>
  <si>
    <t>OE.6.2.38</t>
  </si>
  <si>
    <t>Picado y corte de muros para instalación de tubería PVC</t>
  </si>
  <si>
    <t>VII</t>
  </si>
  <si>
    <t>Curva conduit EMT de 20 mm</t>
  </si>
  <si>
    <t>OE.6.2.39</t>
  </si>
  <si>
    <t xml:space="preserve">Trazo y replanteo </t>
  </si>
  <si>
    <t>VIII</t>
  </si>
  <si>
    <t>Tubería conduit EMT de 25 mm</t>
  </si>
  <si>
    <t>OE.6.2.48</t>
  </si>
  <si>
    <t>Instalación de Curva PVC SAP NTP 399.006 DE 20 mm</t>
  </si>
  <si>
    <t>Caja de Paso de F°G° Pesado 15cmx15cmx10cm</t>
  </si>
  <si>
    <t>OE.6.2.49</t>
  </si>
  <si>
    <t>Instalación de Union PVC SAP NTP 399.006 de 100 mm</t>
  </si>
  <si>
    <t>Caja de Paso de F°G° cuadrado 10cmx10cmx7.5cm</t>
  </si>
  <si>
    <t>OE.6.2.50</t>
  </si>
  <si>
    <t>Instalación de Unión PVC SAP NTP 399.006 DE 50 mm</t>
  </si>
  <si>
    <t>Caja de Paso de F°G° Pesado 10cmx10cmx5cm</t>
  </si>
  <si>
    <t>OE.6.2.45</t>
  </si>
  <si>
    <t>Instalación de Curva PVC SAP NTP 399.006 de 100 mm</t>
  </si>
  <si>
    <t>XIV</t>
  </si>
  <si>
    <t>Bandeja tipo malla de 105x100x3000mm electrozincado</t>
  </si>
  <si>
    <t>OE.6.2.46</t>
  </si>
  <si>
    <t>Instalación de Curva PVC SAP NTP 399.006 DE 50 mm</t>
  </si>
  <si>
    <t>Bandeja tipo malla de 105x300x3000mm electrozincado</t>
  </si>
  <si>
    <t>OE.6.2.47</t>
  </si>
  <si>
    <t>Instalación de Curva PVC SAP NTP 399.006 de 25 mm</t>
  </si>
  <si>
    <t xml:space="preserve">Caja de paso de F°G° Pesado 15cmx20cmx20cm  </t>
  </si>
  <si>
    <t>OE.6.2.40</t>
  </si>
  <si>
    <t>Instalación de Riel unistrut 41 X 41 X 1.5mm X 2.4m</t>
  </si>
  <si>
    <t>IX</t>
  </si>
  <si>
    <t>Conector conduit EMT de 25 mm</t>
  </si>
  <si>
    <t>OE.6.2.41</t>
  </si>
  <si>
    <t>Instalación de Tuberia Electrica PVC SAP NTP 399.006 DE 100 mm</t>
  </si>
  <si>
    <t>X</t>
  </si>
  <si>
    <t>Unión conduit EMT de 25 mm</t>
  </si>
  <si>
    <t>OE.6.2.42</t>
  </si>
  <si>
    <t>Instalación de Tuberia Electrica PVC SAP NTP 399.006 DE 50 mm</t>
  </si>
  <si>
    <t>XI</t>
  </si>
  <si>
    <t>Curva conduit EMT de 25 mm</t>
  </si>
  <si>
    <t>OE.6.2.59</t>
  </si>
  <si>
    <t>Instalación de Curva Conduit EMT de 25 mm</t>
  </si>
  <si>
    <t>Tuberia Electrica PVC SAP NTP 399.006 de 25 mm</t>
  </si>
  <si>
    <t>OE.6.2.60</t>
  </si>
  <si>
    <t>Instalación de Curva Conduit EMT de 20 mm</t>
  </si>
  <si>
    <t>Tuberia Electrica PVC SAP NTP 399.006 de 20 mm</t>
  </si>
  <si>
    <t>OE.6.2.61</t>
  </si>
  <si>
    <t>Instalación de Unión Conduit EMT de 25mm</t>
  </si>
  <si>
    <t>Curva PVC SAP NTP 399.006 DE 50 mm</t>
  </si>
  <si>
    <t>OE.6.2.67</t>
  </si>
  <si>
    <t>Instalación de Prensaestopa para tubo PVC flexible de 20 mm</t>
  </si>
  <si>
    <t>Unión PVC SAP NTP 399.006 DE 25 mm</t>
  </si>
  <si>
    <t>OE.6.2.68</t>
  </si>
  <si>
    <t>Instalación de Bandeja tipo malla de 105x100x3000mm electrozincado, aterrado y con accesorios de instalacion.</t>
  </si>
  <si>
    <t>Unión PVC SAP NTP 399.006 DE 20 mm</t>
  </si>
  <si>
    <t>OE.6.2.69</t>
  </si>
  <si>
    <t>Instalación de Riel unistrut 41 X 21 X 1.5mm X 2.4m</t>
  </si>
  <si>
    <t>Conector PVC SAP NTP 399.006 DE 50 mm</t>
  </si>
  <si>
    <t>OE.6.2.56</t>
  </si>
  <si>
    <t>Instalación de Conector PVC SAP NTP 399.006 DE 20 mm</t>
  </si>
  <si>
    <t>Cajas Octogonal de F°G° pesado 10cmx5cm (DACI)</t>
  </si>
  <si>
    <t>OE.6.2.57</t>
  </si>
  <si>
    <t>Instalación de Tubería conduit EMT de 25 mm</t>
  </si>
  <si>
    <t>Tuberia Electrica PVC SAP NTP 399.006 DE 100 mm</t>
  </si>
  <si>
    <t>OE.6.2.58</t>
  </si>
  <si>
    <t>Instalación de Tubería conduit EMT de 20 mm</t>
  </si>
  <si>
    <t>Tuberia Electrica PVC SAP NTP 399.006 DE 50 mm</t>
  </si>
  <si>
    <t>OE.6.2.51</t>
  </si>
  <si>
    <t>Instalación de Unión PVC SAP NTP 399.006 DE 25 mm</t>
  </si>
  <si>
    <t>Caja de Paso de F°G° Pesado 10cmx10cmx5cm(SALIDA DATA)</t>
  </si>
  <si>
    <t>OE.6.2.52</t>
  </si>
  <si>
    <t>Instalación de Unión PVC SAP NTP 399.006 DE 20 mm</t>
  </si>
  <si>
    <t>Cajas Octogonal de F°G° pesado 10cmx5cm</t>
  </si>
  <si>
    <t>OE.6.2.53</t>
  </si>
  <si>
    <t>Instalación de Conector PVC SAP NTP 399.006 de 100 mm</t>
  </si>
  <si>
    <t>Cajas Octogonal de F°G° pesado 10cmx5cm (PERIFORNEO)</t>
  </si>
  <si>
    <t>OE.6.4.7</t>
  </si>
  <si>
    <t>Relleno y compactado con material propio b=0.50 x h=0.70 m</t>
  </si>
  <si>
    <t>OE.6.4.8</t>
  </si>
  <si>
    <t>Construcción de Buzon de Co Ao 0.6x0.6x0.7</t>
  </si>
  <si>
    <t>OE.6.2.65</t>
  </si>
  <si>
    <t>Instalacion de Bandeja tipo malla de 105x300x3000mm electrozincado con accesorios de instalacion.</t>
  </si>
  <si>
    <t>OE.6.4.4</t>
  </si>
  <si>
    <t>m³</t>
  </si>
  <si>
    <t>Excavación para buzon de comunicaciones</t>
  </si>
  <si>
    <t>Abrazadera unistrut de ¾”</t>
  </si>
  <si>
    <t>OE.6.4.5</t>
  </si>
  <si>
    <t>Construcción de tapa de buzón de comunicaciones</t>
  </si>
  <si>
    <t>Abrazadera unistrut de 1”</t>
  </si>
  <si>
    <t>OE.6.4.6</t>
  </si>
  <si>
    <t>Excavacion de zanja para ducto enterrado b=0.50 x h=0.70 m</t>
  </si>
  <si>
    <t>Abrazadera de ¾”</t>
  </si>
  <si>
    <t>OE.6.7.10</t>
  </si>
  <si>
    <t>Pintado y señalización de cajas de pase</t>
  </si>
  <si>
    <t>Riel dentada</t>
  </si>
  <si>
    <t>OE.6.7.11</t>
  </si>
  <si>
    <t>Instalación de Caja de Paso con tapa Biselada de F°G° 300x300x100 mm</t>
  </si>
  <si>
    <t>Tirafones, tarugos y arandelas</t>
  </si>
  <si>
    <t>OE.6.7.12</t>
  </si>
  <si>
    <t>Instalación de Caja de Paso Pesada con tapa Biselada de 200x200x100mm</t>
  </si>
  <si>
    <t>Clavos</t>
  </si>
  <si>
    <t>OE.6.7.7</t>
  </si>
  <si>
    <t>Instalación de Cajas octogonal de F°G° pesado 10cmx5cm</t>
  </si>
  <si>
    <t>Tacos expansivos de 3/8</t>
  </si>
  <si>
    <t>OE.6.7.8</t>
  </si>
  <si>
    <t>Instalación de Caja de Paso de F°G° cuadrado 10cmx10cmx7.5cm</t>
  </si>
  <si>
    <t>Tuercas de 3/8</t>
  </si>
  <si>
    <t>OE.6.7.9</t>
  </si>
  <si>
    <t>Instalación de Caja de Paso de F°G° cuadrado 10cmx10cmx5cm</t>
  </si>
  <si>
    <t>Abrazadera de 1 ”</t>
  </si>
  <si>
    <t>Film</t>
  </si>
  <si>
    <t>OE.6.7.6</t>
  </si>
  <si>
    <t>Instalación de Caja de Paso de F°G° Tipo Pesado 15cmx15cmx10cm</t>
  </si>
  <si>
    <t>Espárragos 3/8</t>
  </si>
  <si>
    <t>OE.6.2.71</t>
  </si>
  <si>
    <t>Instalación de Abrazadera de 1"</t>
  </si>
  <si>
    <t>OE.6.3.29</t>
  </si>
  <si>
    <t>Instalación de punto de datos Cat 7A simple</t>
  </si>
  <si>
    <t>OE.6.3.30</t>
  </si>
  <si>
    <t>Instalación de punto de datos Cat 7A doble</t>
  </si>
  <si>
    <t>OE.6.3.5</t>
  </si>
  <si>
    <t>pto</t>
  </si>
  <si>
    <t>Salida sensor de humo</t>
  </si>
  <si>
    <t>OE.6.3.15</t>
  </si>
  <si>
    <t>Salida parlante</t>
  </si>
  <si>
    <t>OE.6.2.70</t>
  </si>
  <si>
    <t>Instalación de Abrazadera de 3/4"</t>
  </si>
  <si>
    <t>OE.6.7.13</t>
  </si>
  <si>
    <t>Instalación de Caja de paso Pesada con tapa biselada de 150x150x100mm</t>
  </si>
  <si>
    <t>Fulminantes</t>
  </si>
  <si>
    <t>OE.6.7.14</t>
  </si>
  <si>
    <t>Instalación de Caja de pase de fierro galvanizado pesado 15 cm x 20cm x 20cm</t>
  </si>
  <si>
    <t>OE.6.7.15</t>
  </si>
  <si>
    <t>Instalación de Caja de Pase de Fierro Galbanizado Pesado 10cmx25cmx25cm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</si>
  <si>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</si>
  <si>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</si>
  <si>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</si>
  <si>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</si>
  <si>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</si>
  <si>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</si>
  <si>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</si>
  <si>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</si>
  <si>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</si>
  <si>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</si>
  <si>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</si>
  <si>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Descripción</t>
  </si>
  <si>
    <t>Und.</t>
  </si>
  <si>
    <t>Metrado</t>
  </si>
  <si>
    <t>Precio S/.</t>
  </si>
  <si>
    <t>Parcial S/.</t>
  </si>
  <si>
    <t>CAMPAMENTO PROVISIONAL DE LA OBRA</t>
  </si>
  <si>
    <t>m2</t>
  </si>
  <si>
    <t>SUMINISTRO Y COLOCACION DE CARTEL DE OBRA DE 2.40x3.60mts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</si>
  <si>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</si>
  <si>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</si>
  <si>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</si>
  <si>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</si>
  <si>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</si>
  <si>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</si>
  <si>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</si>
  <si>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</si>
  <si>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TRAZO Y REPLANTEO</t>
  </si>
  <si>
    <t>01.07</t>
  </si>
  <si>
    <t>TRAZO Y REPLANTEO DURANTE EL PROCESO</t>
  </si>
  <si>
    <t>ESTRIBOS</t>
  </si>
  <si>
    <t>EXCAVACION CON MAQUINARIA</t>
  </si>
  <si>
    <t>m3</t>
  </si>
  <si>
    <t>EXCAVACION CON MAQUINARIA BAJO AGUA</t>
  </si>
  <si>
    <t>ELIMINACION DE MATERIAL EXCEDENTE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</si>
  <si>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</si>
  <si>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</si>
  <si>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</si>
  <si>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</si>
  <si>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</si>
  <si>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</si>
  <si>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</si>
  <si>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</si>
  <si>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</si>
  <si>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</si>
  <si>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</si>
  <si>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</si>
  <si>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</si>
  <si>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</si>
  <si>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</si>
  <si>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</si>
  <si>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</si>
  <si>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</si>
  <si>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</si>
  <si>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</si>
  <si>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</si>
  <si>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</si>
  <si>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</si>
  <si>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</si>
  <si>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</si>
  <si>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</si>
  <si>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</si>
  <si>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</si>
  <si>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</si>
  <si>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</si>
  <si>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</si>
  <si>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</si>
  <si>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</si>
  <si>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</si>
  <si>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</si>
  <si>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</si>
  <si>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</si>
  <si>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</si>
  <si>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</si>
  <si>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</si>
  <si>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</si>
  <si>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</si>
  <si>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</si>
  <si>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</si>
  <si>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</si>
  <si>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</si>
  <si>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</si>
  <si>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</si>
  <si>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</si>
  <si>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</si>
  <si>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</si>
  <si>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</si>
  <si>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</si>
  <si>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</si>
  <si>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</si>
  <si>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</si>
  <si>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</si>
  <si>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</si>
  <si>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</si>
  <si>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</si>
  <si>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</si>
  <si>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</si>
  <si>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</si>
  <si>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</si>
  <si>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</si>
  <si>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</si>
  <si>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</si>
  <si>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</si>
  <si>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</si>
  <si>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</si>
  <si>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</si>
  <si>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</si>
  <si>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</si>
  <si>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</si>
  <si>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</si>
  <si>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</si>
  <si>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</si>
  <si>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</si>
  <si>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</si>
  <si>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</si>
  <si>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</si>
  <si>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</si>
  <si>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</si>
  <si>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</si>
  <si>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</si>
  <si>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</si>
  <si>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</si>
  <si>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</si>
  <si>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</si>
  <si>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</si>
  <si>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</si>
  <si>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</si>
  <si>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</si>
  <si>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</si>
  <si>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</si>
  <si>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</si>
  <si>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</si>
  <si>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</si>
  <si>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</si>
  <si>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</si>
  <si>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</si>
  <si>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</si>
  <si>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</si>
  <si>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</si>
  <si>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</si>
  <si>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</si>
  <si>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</si>
  <si>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</si>
  <si>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</si>
  <si>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</si>
  <si>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</si>
  <si>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</si>
  <si>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</si>
  <si>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</si>
  <si>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</si>
  <si>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</si>
  <si>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</si>
  <si>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</si>
  <si>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</si>
  <si>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</si>
  <si>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</si>
  <si>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</si>
  <si>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</si>
  <si>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</si>
  <si>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</si>
  <si>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</si>
  <si>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</si>
  <si>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</si>
  <si>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</si>
  <si>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</si>
  <si>
    <t>ESPECIALIDAD</t>
  </si>
  <si>
    <t xml:space="preserve">5.6 ELECTROMECÁNICS </t>
  </si>
  <si>
    <t>HASTA EL</t>
  </si>
  <si>
    <t>5.7 ELECROMECÁNICAS</t>
  </si>
  <si>
    <t>OE 6 Y OE 7 SON ELECTROMECÁNICAS</t>
  </si>
  <si>
    <t>OBRAS PROVISIONALES 1.1</t>
  </si>
  <si>
    <t>SEGURIDAD 1.2</t>
  </si>
  <si>
    <t>MONITOREO ARQUELOGÍCO DESDE EL 1.3, HASTA EL 1.6</t>
  </si>
  <si>
    <t>CUADRILLAS</t>
  </si>
  <si>
    <t>ITEM</t>
  </si>
  <si>
    <t>GRADO</t>
  </si>
  <si>
    <t>ESPECIALIDAD2</t>
  </si>
  <si>
    <t>NIVEL INDIC.</t>
  </si>
  <si>
    <t>TOTAL 2</t>
  </si>
  <si>
    <t>NIVEL (PISO)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</si>
</sst>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F800]dddd\,\ mmmm\ dddd\,\ yyyy"/>
    <numFmt numFmtId="165" formatCode="_ * #,##0.00_ ;_ * \-#,##0.00_ ;_ * &quot;-&quot;??_ ;_ @_ "/>
    <numFmt numFmtId="166" formatCode="dd/mm/yy"/>
    <numFmt numFmtId="167" formatCode="d/m"/>
    <numFmt numFmtId="168" formatCode="#,##0.00_);\-#,##0.00"/>
    <numFmt numFmtId="169" formatCode="dd\/mm\/yyyy&quot;  &quot;hh&quot;:&quot;mm&quot;:&quot;ss\ AM/PM"/>
  </numFmts>
  <fonts count="26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6"/>
      <color theme="1"/>
      <name val="Arial Narrow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rgb="FF339966"/>
      <name val="Arial Narrow"/>
      <family val="2"/>
    </font>
    <font>
      <b/>
      <sz val="18"/>
      <color theme="1"/>
      <name val="Arial Narrow"/>
      <family val="2"/>
    </font>
    <font>
      <sz val="8"/>
      <color rgb="FFFF0000"/>
      <name val="Arial Narrow"/>
      <family val="2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8"/>
      <color rgb="FFFF0D0D"/>
      <name val="Arial Narrow"/>
      <family val="2"/>
    </font>
    <font>
      <sz val="10"/>
      <color rgb="FFFF0D0D"/>
      <name val="Calibri"/>
      <family val="2"/>
    </font>
    <font>
      <sz val="6"/>
      <color rgb="FF000000"/>
      <name val="Arial Narrow"/>
      <family val="2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rgb="FF000000"/>
      <name val="Arial"/>
      <family val="2"/>
    </font>
    <font>
      <b/>
      <sz val="6"/>
      <color rgb="FF000000"/>
      <name val="Arial Narrow"/>
      <family val="2"/>
    </font>
    <font>
      <b/>
      <sz val="18"/>
      <color rgb="FFC00000"/>
      <name val="Arial Narrow"/>
      <family val="2"/>
    </font>
    <font>
      <b/>
      <sz val="8"/>
      <color rgb="FFC00000"/>
      <name val="Arial Narrow"/>
      <family val="2"/>
    </font>
    <font>
      <b/>
      <sz val="11"/>
      <color rgb="FFC00000"/>
      <name val="Calibri"/>
      <family val="2"/>
    </font>
    <font>
      <b/>
      <sz val="10"/>
      <color rgb="FFC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2" fontId="2" fillId="2" borderId="5" xfId="0" applyNumberFormat="1" applyFont="1" applyFill="1" applyBorder="1" applyAlignment="1">
      <alignment horizontal="center"/>
    </xf>
    <xf numFmtId="0" fontId="2" fillId="0" borderId="0" xfId="0" applyFont="1"/>
    <xf numFmtId="4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2" fontId="2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4" fontId="7" fillId="0" borderId="5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horizontal="center"/>
    </xf>
    <xf numFmtId="12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horizontal="left"/>
    </xf>
    <xf numFmtId="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4" fontId="3" fillId="0" borderId="0" xfId="0" applyNumberFormat="1" applyFont="1"/>
    <xf numFmtId="0" fontId="3" fillId="3" borderId="2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6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0" fontId="5" fillId="0" borderId="0" xfId="0" applyFont="1"/>
    <xf numFmtId="0" fontId="3" fillId="4" borderId="2" xfId="0" applyFont="1" applyFill="1" applyBorder="1"/>
    <xf numFmtId="0" fontId="9" fillId="0" borderId="13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3" fillId="0" borderId="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 applyAlignment="1">
      <alignment vertical="center"/>
    </xf>
    <xf numFmtId="2" fontId="13" fillId="0" borderId="1" xfId="0" applyNumberFormat="1" applyFont="1" applyBorder="1" applyAlignment="1">
      <alignment horizontal="center"/>
    </xf>
    <xf numFmtId="0" fontId="3" fillId="0" borderId="13" xfId="0" applyFont="1" applyBorder="1" applyAlignment="1">
      <alignment vertical="center"/>
    </xf>
    <xf numFmtId="0" fontId="14" fillId="0" borderId="0" xfId="0" applyFont="1"/>
    <xf numFmtId="0" fontId="9" fillId="0" borderId="13" xfId="0" applyFont="1" applyBorder="1"/>
    <xf numFmtId="0" fontId="15" fillId="0" borderId="13" xfId="0" applyFont="1" applyBorder="1"/>
    <xf numFmtId="0" fontId="16" fillId="0" borderId="0" xfId="0" applyFont="1"/>
    <xf numFmtId="2" fontId="11" fillId="0" borderId="0" xfId="0" applyNumberFormat="1" applyFont="1"/>
    <xf numFmtId="0" fontId="5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12" fontId="2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left"/>
    </xf>
    <xf numFmtId="4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2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0" borderId="13" xfId="0" applyFont="1" applyBorder="1" applyAlignment="1">
      <alignment vertical="center"/>
    </xf>
    <xf numFmtId="0" fontId="3" fillId="5" borderId="2" xfId="0" applyFont="1" applyFill="1" applyBorder="1"/>
    <xf numFmtId="0" fontId="3" fillId="0" borderId="5" xfId="0" applyFont="1" applyBorder="1" applyAlignment="1">
      <alignment horizontal="right"/>
    </xf>
    <xf numFmtId="166" fontId="5" fillId="0" borderId="5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8" fontId="21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69" fontId="19" fillId="0" borderId="0" xfId="0" applyNumberFormat="1" applyFont="1" applyAlignment="1">
      <alignment horizontal="right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0" fontId="1" fillId="0" borderId="12" xfId="0" applyFont="1" applyBorder="1"/>
    <xf numFmtId="2" fontId="2" fillId="2" borderId="3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11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164" fontId="3" fillId="2" borderId="7" xfId="0" applyNumberFormat="1" applyFont="1" applyFill="1" applyBorder="1" applyAlignment="1">
      <alignment horizontal="right" vertical="center"/>
    </xf>
    <xf numFmtId="0" fontId="1" fillId="0" borderId="8" xfId="0" applyFont="1" applyBorder="1"/>
    <xf numFmtId="0" fontId="1" fillId="0" borderId="9" xfId="0" applyFont="1" applyBorder="1"/>
    <xf numFmtId="2" fontId="2" fillId="2" borderId="10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left" vertical="center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4" fontId="23" fillId="2" borderId="5" xfId="0" applyNumberFormat="1" applyFont="1" applyFill="1" applyBorder="1" applyAlignment="1">
      <alignment horizontal="center" vertical="center"/>
    </xf>
    <xf numFmtId="4" fontId="23" fillId="0" borderId="5" xfId="0" applyNumberFormat="1" applyFont="1" applyBorder="1" applyAlignment="1">
      <alignment horizontal="center"/>
    </xf>
    <xf numFmtId="4" fontId="23" fillId="0" borderId="5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/>
    </xf>
    <xf numFmtId="4" fontId="23" fillId="0" borderId="0" xfId="0" applyNumberFormat="1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0" applyFont="1"/>
    <xf numFmtId="0" fontId="23" fillId="4" borderId="2" xfId="0" applyFont="1" applyFill="1" applyBorder="1"/>
    <xf numFmtId="0" fontId="23" fillId="5" borderId="2" xfId="0" applyFont="1" applyFill="1" applyBorder="1"/>
    <xf numFmtId="0" fontId="23" fillId="0" borderId="5" xfId="0" applyFont="1" applyBorder="1" applyAlignment="1">
      <alignment horizontal="right"/>
    </xf>
    <xf numFmtId="166" fontId="23" fillId="0" borderId="5" xfId="0" applyNumberFormat="1" applyFont="1" applyBorder="1" applyAlignment="1">
      <alignment vertical="center"/>
    </xf>
    <xf numFmtId="0" fontId="25" fillId="0" borderId="0" xfId="0" applyFont="1"/>
    <xf numFmtId="166" fontId="3" fillId="2" borderId="5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/>
    </xf>
    <xf numFmtId="166" fontId="3" fillId="6" borderId="5" xfId="0" applyNumberFormat="1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6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METRADO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524875" cy="1143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0</xdr:rowOff>
    </xdr:from>
    <xdr:ext cx="4829175" cy="581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V419">
  <tableColumns count="21">
    <tableColumn id="1" xr3:uid="{00000000-0010-0000-0000-000001000000}" name="GRADO"/>
    <tableColumn id="2" xr3:uid="{00000000-0010-0000-0000-000002000000}" name="FECHA"/>
    <tableColumn id="22" xr3:uid="{75338989-54C4-42C0-AB0F-AD00D70509B6}" name="ESPECIALIDAD" dataDxfId="1"/>
    <tableColumn id="3" xr3:uid="{00000000-0010-0000-0000-000003000000}" name="FRENTE"/>
    <tableColumn id="4" xr3:uid="{00000000-0010-0000-0000-000004000000}" name="BLOQUE"/>
    <tableColumn id="5" xr3:uid="{00000000-0010-0000-0000-000005000000}" name="NIVEL (PISO)"/>
    <tableColumn id="20" xr3:uid="{27C08F62-596F-4FBA-9EF8-7774AD5B9C24}" name="CUADRILLAS" dataDxfId="2"/>
    <tableColumn id="6" xr3:uid="{00000000-0010-0000-0000-000006000000}" name="ITEM"/>
    <tableColumn id="19" xr3:uid="{EC2A1939-762D-4728-AE02-D09DD459A8EA}" name="ESPECIALIDAD2" dataDxfId="3"/>
    <tableColumn id="7" xr3:uid="{00000000-0010-0000-0000-000007000000}" name="PARTIDA"/>
    <tableColumn id="8" xr3:uid="{00000000-0010-0000-0000-000008000000}" name="DESCRIPCIÓN"/>
    <tableColumn id="9" xr3:uid="{00000000-0010-0000-0000-000009000000}" name="CANTIDAD"/>
    <tableColumn id="10" xr3:uid="{00000000-0010-0000-0000-00000A000000}" name="LONGITUD/AREA"/>
    <tableColumn id="11" xr3:uid="{00000000-0010-0000-0000-00000B000000}" name="ANCHO / EMPAME"/>
    <tableColumn id="12" xr3:uid="{00000000-0010-0000-0000-00000C000000}" name="ALTURA / GANCHO"/>
    <tableColumn id="13" xr3:uid="{00000000-0010-0000-0000-00000D000000}" name="PARCIAL"/>
    <tableColumn id="14" xr3:uid="{00000000-0010-0000-0000-00000E000000}" name="ACERO"/>
    <tableColumn id="15" xr3:uid="{00000000-0010-0000-0000-00000F000000}" name="N° VECES"/>
    <tableColumn id="16" xr3:uid="{00000000-0010-0000-0000-000010000000}" name="TOTAL"/>
    <tableColumn id="17" xr3:uid="{00000000-0010-0000-0000-000011000000}" name="TOTAL 2" dataDxfId="0"/>
    <tableColumn id="18" xr3:uid="{00000000-0010-0000-0000-000012000000}" name="MOD."/>
  </tableColumns>
  <tableStyleInfo name="METR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2.6640625" defaultRowHeight="15" customHeight="1" x14ac:dyDescent="0.25"/>
  <cols>
    <col min="1" max="1" width="3.6640625" customWidth="1"/>
    <col min="2" max="2" width="11.44140625" customWidth="1"/>
    <col min="3" max="3" width="44.44140625" customWidth="1"/>
    <col min="4" max="4" width="10.33203125" customWidth="1"/>
    <col min="5" max="5" width="11.44140625" customWidth="1"/>
    <col min="6" max="7" width="11.44140625" hidden="1" customWidth="1"/>
    <col min="8" max="8" width="8.6640625" customWidth="1"/>
    <col min="9" max="9" width="5.6640625" customWidth="1"/>
    <col min="10" max="15" width="6.6640625" customWidth="1"/>
    <col min="16" max="16" width="11.6640625" customWidth="1"/>
    <col min="17" max="17" width="11.44140625" customWidth="1"/>
    <col min="18" max="18" width="6.44140625" customWidth="1"/>
    <col min="19" max="26" width="11.44140625" customWidth="1"/>
  </cols>
  <sheetData>
    <row r="1" spans="1:26" ht="93" customHeight="1" x14ac:dyDescent="0.25">
      <c r="A1" s="1"/>
      <c r="B1" s="1"/>
      <c r="C1" s="1"/>
      <c r="D1" s="2"/>
      <c r="E1" s="2"/>
      <c r="F1" s="2"/>
      <c r="G1" s="2"/>
      <c r="H1" s="103" t="s">
        <v>15</v>
      </c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 t="s">
        <v>16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"/>
      <c r="B4" s="105">
        <v>45809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7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5">
      <c r="A5" s="1"/>
      <c r="B5" s="108" t="s">
        <v>17</v>
      </c>
      <c r="C5" s="109" t="s">
        <v>1</v>
      </c>
      <c r="D5" s="108" t="s">
        <v>18</v>
      </c>
      <c r="E5" s="98" t="s">
        <v>19</v>
      </c>
      <c r="F5" s="98" t="s">
        <v>20</v>
      </c>
      <c r="G5" s="98" t="s">
        <v>21</v>
      </c>
      <c r="H5" s="98" t="s">
        <v>22</v>
      </c>
      <c r="I5" s="98" t="s">
        <v>23</v>
      </c>
      <c r="J5" s="100" t="s">
        <v>24</v>
      </c>
      <c r="K5" s="101"/>
      <c r="L5" s="101"/>
      <c r="M5" s="101"/>
      <c r="N5" s="101"/>
      <c r="O5" s="102"/>
      <c r="P5" s="4"/>
      <c r="Q5" s="5"/>
      <c r="R5" s="6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5">
      <c r="A6" s="1"/>
      <c r="B6" s="99"/>
      <c r="C6" s="99"/>
      <c r="D6" s="99"/>
      <c r="E6" s="99"/>
      <c r="F6" s="99"/>
      <c r="G6" s="99"/>
      <c r="H6" s="99"/>
      <c r="I6" s="99"/>
      <c r="J6" s="7" t="s">
        <v>25</v>
      </c>
      <c r="K6" s="7" t="s">
        <v>26</v>
      </c>
      <c r="L6" s="7" t="s">
        <v>27</v>
      </c>
      <c r="M6" s="7" t="s">
        <v>28</v>
      </c>
      <c r="N6" s="7" t="s">
        <v>29</v>
      </c>
      <c r="O6" s="7" t="s">
        <v>30</v>
      </c>
      <c r="P6" s="4" t="s">
        <v>31</v>
      </c>
      <c r="Q6" s="5" t="s">
        <v>32</v>
      </c>
      <c r="R6" s="6" t="s">
        <v>2</v>
      </c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5">
      <c r="A7" s="8"/>
      <c r="B7" s="9" t="s">
        <v>33</v>
      </c>
      <c r="C7" s="10" t="s">
        <v>34</v>
      </c>
      <c r="D7" s="9"/>
      <c r="E7" s="9"/>
      <c r="F7" s="9"/>
      <c r="G7" s="11"/>
      <c r="H7" s="11"/>
      <c r="I7" s="11"/>
      <c r="J7" s="11"/>
      <c r="K7" s="11"/>
      <c r="L7" s="11"/>
      <c r="M7" s="11"/>
      <c r="N7" s="11"/>
      <c r="O7" s="11"/>
      <c r="P7" s="11"/>
      <c r="Q7" s="12">
        <f>SUM(P7:P10)</f>
        <v>1429.2</v>
      </c>
      <c r="R7" s="11" t="e">
        <f>+#REF!</f>
        <v>#REF!</v>
      </c>
      <c r="S7" s="8"/>
      <c r="T7" s="8"/>
      <c r="U7" s="8"/>
      <c r="V7" s="8"/>
      <c r="W7" s="8"/>
      <c r="X7" s="8"/>
      <c r="Y7" s="8"/>
      <c r="Z7" s="8"/>
    </row>
    <row r="8" spans="1:26" ht="9.75" customHeight="1" x14ac:dyDescent="0.25">
      <c r="A8" s="8"/>
      <c r="B8" s="13"/>
      <c r="C8" s="14" t="s">
        <v>35</v>
      </c>
      <c r="D8" s="15"/>
      <c r="E8" s="15"/>
      <c r="F8" s="15"/>
      <c r="G8" s="11"/>
      <c r="H8" s="16"/>
      <c r="I8" s="17"/>
      <c r="J8" s="18"/>
      <c r="K8" s="18"/>
      <c r="L8" s="18"/>
      <c r="M8" s="18"/>
      <c r="N8" s="18"/>
      <c r="O8" s="18"/>
      <c r="P8" s="16"/>
      <c r="Q8" s="12"/>
      <c r="R8" s="11"/>
      <c r="S8" s="8"/>
      <c r="T8" s="8"/>
      <c r="U8" s="8"/>
      <c r="V8" s="8"/>
      <c r="W8" s="8"/>
      <c r="X8" s="8"/>
      <c r="Y8" s="8"/>
      <c r="Z8" s="8"/>
    </row>
    <row r="9" spans="1:26" ht="9.75" customHeight="1" x14ac:dyDescent="0.25">
      <c r="A9" s="1"/>
      <c r="B9" s="19"/>
      <c r="C9" s="20" t="s">
        <v>36</v>
      </c>
      <c r="D9" s="15"/>
      <c r="E9" s="15"/>
      <c r="F9" s="15"/>
      <c r="G9" s="11"/>
      <c r="H9" s="11"/>
      <c r="I9" s="11"/>
      <c r="J9" s="18"/>
      <c r="K9" s="18"/>
      <c r="L9" s="18"/>
      <c r="M9" s="18"/>
      <c r="N9" s="18"/>
      <c r="O9" s="18"/>
      <c r="P9" s="11"/>
      <c r="Q9" s="12">
        <f>SUM(P9:P14)</f>
        <v>1498.6879999999999</v>
      </c>
      <c r="R9" s="11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5">
      <c r="A10" s="1"/>
      <c r="B10" s="16"/>
      <c r="C10" s="20" t="s">
        <v>37</v>
      </c>
      <c r="D10" s="16">
        <v>4</v>
      </c>
      <c r="E10" s="16">
        <v>4.5</v>
      </c>
      <c r="F10" s="16"/>
      <c r="G10" s="16"/>
      <c r="H10" s="16">
        <v>20</v>
      </c>
      <c r="I10" s="16" t="s">
        <v>30</v>
      </c>
      <c r="J10" s="18">
        <f t="shared" ref="J10:J21" si="0">+IF(I10=$J$6,D10*E10*H10*0.254,0)</f>
        <v>0</v>
      </c>
      <c r="K10" s="18">
        <f t="shared" ref="K10:K21" si="1">+IF(I10=$K$6,D10*E10*H10*0.56,0)</f>
        <v>0</v>
      </c>
      <c r="L10" s="18">
        <f t="shared" ref="L10:L21" si="2">+IF(I10=$L$6,D10*E10*H10*0.994,0)</f>
        <v>0</v>
      </c>
      <c r="M10" s="18">
        <f t="shared" ref="M10:M21" si="3">+IF(I10=$M$6,D10*E10*H10*1.55,0)</f>
        <v>0</v>
      </c>
      <c r="N10" s="18">
        <f t="shared" ref="N10:N21" si="4">+IF(I10=$N$6,D10*E10*H10*2.24,0)</f>
        <v>0</v>
      </c>
      <c r="O10" s="18">
        <f t="shared" ref="O10:O21" si="5">+IF(I10=$O$6,D10*E10*H10*3.97,0)</f>
        <v>1429.2</v>
      </c>
      <c r="P10" s="16">
        <f t="shared" ref="P10:P12" si="6">+SUM(J10:O10)</f>
        <v>1429.2</v>
      </c>
      <c r="Q10" s="21"/>
      <c r="R10" s="22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5">
      <c r="A11" s="1"/>
      <c r="B11" s="16"/>
      <c r="C11" s="20" t="s">
        <v>38</v>
      </c>
      <c r="D11" s="16">
        <v>2</v>
      </c>
      <c r="E11" s="16">
        <v>1.8</v>
      </c>
      <c r="F11" s="16"/>
      <c r="G11" s="16"/>
      <c r="H11" s="16">
        <v>4</v>
      </c>
      <c r="I11" s="16" t="s">
        <v>30</v>
      </c>
      <c r="J11" s="18">
        <f t="shared" si="0"/>
        <v>0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57.168000000000006</v>
      </c>
      <c r="P11" s="16">
        <f t="shared" si="6"/>
        <v>57.168000000000006</v>
      </c>
      <c r="Q11" s="21"/>
      <c r="R11" s="22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5">
      <c r="A12" s="1"/>
      <c r="B12" s="16"/>
      <c r="C12" s="20"/>
      <c r="D12" s="16">
        <v>20</v>
      </c>
      <c r="E12" s="16">
        <v>1.1000000000000001</v>
      </c>
      <c r="F12" s="16"/>
      <c r="G12" s="16"/>
      <c r="H12" s="16">
        <v>1</v>
      </c>
      <c r="I12" s="16" t="s">
        <v>26</v>
      </c>
      <c r="J12" s="18">
        <f t="shared" si="0"/>
        <v>0</v>
      </c>
      <c r="K12" s="18">
        <f t="shared" si="1"/>
        <v>12.32</v>
      </c>
      <c r="L12" s="18">
        <f t="shared" si="2"/>
        <v>0</v>
      </c>
      <c r="M12" s="18">
        <f t="shared" si="3"/>
        <v>0</v>
      </c>
      <c r="N12" s="18">
        <f t="shared" si="4"/>
        <v>0</v>
      </c>
      <c r="O12" s="18">
        <f t="shared" si="5"/>
        <v>0</v>
      </c>
      <c r="P12" s="16">
        <f t="shared" si="6"/>
        <v>12.32</v>
      </c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8">
        <f t="shared" si="0"/>
        <v>0</v>
      </c>
      <c r="K13" s="18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0</v>
      </c>
      <c r="P13" s="16"/>
      <c r="Q13" s="21"/>
      <c r="R13" s="22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5">
      <c r="A14" s="1"/>
      <c r="B14" s="19"/>
      <c r="C14" s="23"/>
      <c r="D14" s="15"/>
      <c r="E14" s="15"/>
      <c r="F14" s="15"/>
      <c r="G14" s="11"/>
      <c r="H14" s="11"/>
      <c r="I14" s="11"/>
      <c r="J14" s="18">
        <f t="shared" si="0"/>
        <v>0</v>
      </c>
      <c r="K14" s="18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0</v>
      </c>
      <c r="P14" s="11"/>
      <c r="Q14" s="12"/>
      <c r="R14" s="1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5">
      <c r="A15" s="1"/>
      <c r="B15" s="16"/>
      <c r="C15" s="20"/>
      <c r="D15" s="16"/>
      <c r="E15" s="16"/>
      <c r="F15" s="16"/>
      <c r="G15" s="16"/>
      <c r="H15" s="16"/>
      <c r="I15" s="16"/>
      <c r="J15" s="18">
        <f t="shared" si="0"/>
        <v>0</v>
      </c>
      <c r="K15" s="18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0</v>
      </c>
      <c r="P15" s="16"/>
      <c r="Q15" s="21"/>
      <c r="R15" s="22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5">
      <c r="A16" s="1"/>
      <c r="B16" s="16"/>
      <c r="C16" s="16"/>
      <c r="D16" s="16"/>
      <c r="E16" s="16"/>
      <c r="F16" s="16"/>
      <c r="G16" s="16"/>
      <c r="H16" s="16"/>
      <c r="I16" s="16"/>
      <c r="J16" s="18">
        <f t="shared" si="0"/>
        <v>0</v>
      </c>
      <c r="K16" s="18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0</v>
      </c>
      <c r="P16" s="16"/>
      <c r="Q16" s="21"/>
      <c r="R16" s="22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5">
      <c r="A17" s="8"/>
      <c r="B17" s="19"/>
      <c r="C17" s="23"/>
      <c r="D17" s="15"/>
      <c r="E17" s="15"/>
      <c r="F17" s="15"/>
      <c r="G17" s="11"/>
      <c r="H17" s="11"/>
      <c r="I17" s="11"/>
      <c r="J17" s="18">
        <f t="shared" si="0"/>
        <v>0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0</v>
      </c>
      <c r="O17" s="18">
        <f t="shared" si="5"/>
        <v>0</v>
      </c>
      <c r="P17" s="11"/>
      <c r="Q17" s="12"/>
      <c r="R17" s="11"/>
      <c r="S17" s="8"/>
      <c r="T17" s="8"/>
      <c r="U17" s="8"/>
      <c r="V17" s="8"/>
      <c r="W17" s="8"/>
      <c r="X17" s="8"/>
      <c r="Y17" s="8"/>
      <c r="Z17" s="8"/>
    </row>
    <row r="18" spans="1:26" ht="9.75" customHeight="1" x14ac:dyDescent="0.25">
      <c r="A18" s="1"/>
      <c r="B18" s="16"/>
      <c r="C18" s="20"/>
      <c r="D18" s="16"/>
      <c r="E18" s="16"/>
      <c r="F18" s="16"/>
      <c r="G18" s="16"/>
      <c r="H18" s="16"/>
      <c r="I18" s="16"/>
      <c r="J18" s="18">
        <f t="shared" si="0"/>
        <v>0</v>
      </c>
      <c r="K18" s="18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0</v>
      </c>
      <c r="P18" s="16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5">
      <c r="A19" s="1"/>
      <c r="B19" s="16"/>
      <c r="C19" s="16"/>
      <c r="D19" s="16"/>
      <c r="E19" s="16"/>
      <c r="F19" s="16"/>
      <c r="G19" s="16"/>
      <c r="H19" s="16"/>
      <c r="I19" s="16"/>
      <c r="J19" s="18">
        <f t="shared" si="0"/>
        <v>0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0</v>
      </c>
      <c r="O19" s="18">
        <f t="shared" si="5"/>
        <v>0</v>
      </c>
      <c r="P19" s="16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5">
      <c r="A20" s="1"/>
      <c r="B20" s="19"/>
      <c r="C20" s="23"/>
      <c r="D20" s="15"/>
      <c r="E20" s="15"/>
      <c r="F20" s="15"/>
      <c r="G20" s="11"/>
      <c r="H20" s="11"/>
      <c r="I20" s="11"/>
      <c r="J20" s="18">
        <f t="shared" si="0"/>
        <v>0</v>
      </c>
      <c r="K20" s="18">
        <f t="shared" si="1"/>
        <v>0</v>
      </c>
      <c r="L20" s="18">
        <f t="shared" si="2"/>
        <v>0</v>
      </c>
      <c r="M20" s="18">
        <f t="shared" si="3"/>
        <v>0</v>
      </c>
      <c r="N20" s="18">
        <f t="shared" si="4"/>
        <v>0</v>
      </c>
      <c r="O20" s="18">
        <f t="shared" si="5"/>
        <v>0</v>
      </c>
      <c r="P20" s="11"/>
      <c r="Q20" s="12"/>
      <c r="R20" s="1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5">
      <c r="A21" s="1"/>
      <c r="B21" s="16"/>
      <c r="C21" s="20"/>
      <c r="D21" s="16"/>
      <c r="E21" s="16"/>
      <c r="F21" s="16"/>
      <c r="G21" s="16"/>
      <c r="H21" s="16"/>
      <c r="I21" s="16"/>
      <c r="J21" s="18">
        <f t="shared" si="0"/>
        <v>0</v>
      </c>
      <c r="K21" s="18">
        <f t="shared" si="1"/>
        <v>0</v>
      </c>
      <c r="L21" s="18">
        <f t="shared" si="2"/>
        <v>0</v>
      </c>
      <c r="M21" s="18">
        <f t="shared" si="3"/>
        <v>0</v>
      </c>
      <c r="N21" s="18">
        <f t="shared" si="4"/>
        <v>0</v>
      </c>
      <c r="O21" s="18">
        <f t="shared" si="5"/>
        <v>0</v>
      </c>
      <c r="P21" s="16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4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4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4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4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4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4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4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4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4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4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4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4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4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4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4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4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4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4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4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4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4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4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4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4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4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4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4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4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4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4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4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4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4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4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4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4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4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4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4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4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4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4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4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4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4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4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4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4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4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4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4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4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4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4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4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4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4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4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4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4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4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G5:G6"/>
    <mergeCell ref="H5:H6"/>
    <mergeCell ref="I5:I6"/>
    <mergeCell ref="J5:O5"/>
    <mergeCell ref="H1:R1"/>
    <mergeCell ref="B4:R4"/>
    <mergeCell ref="B5:B6"/>
    <mergeCell ref="C5:C6"/>
    <mergeCell ref="D5:D6"/>
    <mergeCell ref="E5:E6"/>
    <mergeCell ref="F5:F6"/>
  </mergeCells>
  <pageMargins left="0.78740157480314965" right="0.78740157480314965" top="0.55118110236220474" bottom="0.98425196850393704" header="0" footer="0"/>
  <pageSetup paperSize="9" orientation="portrait"/>
  <headerFooter>
    <oddFooter>&amp;C800000&amp;F&amp;R800000&amp;P</oddFooter>
  </headerFooter>
  <colBreaks count="1" manualBreakCount="1">
    <brk id="1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000"/>
  <sheetViews>
    <sheetView showGridLines="0" tabSelected="1" zoomScale="155" workbookViewId="0">
      <pane ySplit="7" topLeftCell="A8" activePane="bottomLeft" state="frozen"/>
      <selection pane="bottomLeft" activeCell="J8" sqref="J8"/>
    </sheetView>
  </sheetViews>
  <sheetFormatPr baseColWidth="10" defaultColWidth="12.6640625" defaultRowHeight="15" customHeight="1" x14ac:dyDescent="0.25"/>
  <cols>
    <col min="1" max="1" width="11.44140625" customWidth="1"/>
    <col min="2" max="5" width="7.44140625" customWidth="1"/>
    <col min="6" max="6" width="8.44140625" customWidth="1"/>
    <col min="7" max="7" width="7.44140625" customWidth="1"/>
    <col min="8" max="8" width="9.33203125" customWidth="1"/>
    <col min="9" max="9" width="11.44140625" customWidth="1"/>
    <col min="10" max="10" width="14" customWidth="1"/>
    <col min="11" max="11" width="31.77734375" customWidth="1"/>
    <col min="12" max="12" width="38.88671875" customWidth="1"/>
    <col min="13" max="13" width="9.6640625" customWidth="1"/>
    <col min="14" max="14" width="13.44140625" customWidth="1"/>
    <col min="15" max="15" width="14.44140625" customWidth="1"/>
    <col min="16" max="16" width="15.109375" customWidth="1"/>
    <col min="17" max="17" width="7" customWidth="1"/>
    <col min="18" max="18" width="9" customWidth="1"/>
    <col min="19" max="19" width="5.6640625" customWidth="1"/>
    <col min="20" max="20" width="10.109375" customWidth="1"/>
    <col min="21" max="21" width="8" style="124" customWidth="1"/>
    <col min="22" max="22" width="11.44140625" customWidth="1"/>
    <col min="23" max="39" width="11.44140625" hidden="1" customWidth="1"/>
  </cols>
  <sheetData>
    <row r="1" spans="1:39" ht="19.5" customHeight="1" x14ac:dyDescent="0.25">
      <c r="A1" s="25"/>
      <c r="B1" s="26"/>
      <c r="C1" s="27"/>
      <c r="D1" s="27"/>
      <c r="E1" s="27"/>
      <c r="F1" s="26"/>
      <c r="G1" s="26"/>
      <c r="H1" s="26"/>
      <c r="I1" s="28"/>
      <c r="J1" s="28"/>
      <c r="K1" s="1"/>
      <c r="L1" s="1"/>
      <c r="M1" s="29"/>
      <c r="N1" s="29"/>
      <c r="O1" s="29"/>
      <c r="P1" s="29"/>
      <c r="Q1" s="29"/>
      <c r="R1" s="30"/>
      <c r="S1" s="30"/>
      <c r="T1" s="30"/>
      <c r="U1" s="110"/>
      <c r="V1" s="31" t="s">
        <v>15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9.5" customHeight="1" x14ac:dyDescent="0.45">
      <c r="A2" s="25"/>
      <c r="B2" s="26"/>
      <c r="C2" s="27"/>
      <c r="D2" s="27"/>
      <c r="E2" s="27"/>
      <c r="F2" s="26"/>
      <c r="G2" s="26"/>
      <c r="H2" s="26"/>
      <c r="I2" s="28"/>
      <c r="J2" s="28"/>
      <c r="K2" s="1"/>
      <c r="L2" s="1"/>
      <c r="M2" s="29"/>
      <c r="N2" s="29"/>
      <c r="O2" s="29"/>
      <c r="P2" s="29"/>
      <c r="Q2" s="29"/>
      <c r="R2" s="30"/>
      <c r="S2" s="30"/>
      <c r="T2" s="30"/>
      <c r="U2" s="110"/>
      <c r="V2" s="32" t="s">
        <v>39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9.75" customHeight="1" x14ac:dyDescent="0.25">
      <c r="A3" s="25"/>
      <c r="B3" s="26"/>
      <c r="C3" s="27"/>
      <c r="D3" s="27"/>
      <c r="E3" s="27"/>
      <c r="F3" s="26"/>
      <c r="G3" s="26"/>
      <c r="H3" s="26"/>
      <c r="I3" s="28"/>
      <c r="J3" s="28"/>
      <c r="K3" s="1"/>
      <c r="L3" s="1"/>
      <c r="M3" s="29"/>
      <c r="N3" s="29"/>
      <c r="O3" s="29"/>
      <c r="P3" s="29"/>
      <c r="Q3" s="29"/>
      <c r="R3" s="29"/>
      <c r="S3" s="29"/>
      <c r="T3" s="33"/>
      <c r="U3" s="111"/>
      <c r="V3" s="33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9.75" customHeight="1" x14ac:dyDescent="0.25">
      <c r="A4" s="25"/>
      <c r="B4" s="34" t="s">
        <v>40</v>
      </c>
      <c r="C4" s="35"/>
      <c r="D4" s="35"/>
      <c r="E4" s="35"/>
      <c r="F4" s="26"/>
      <c r="G4" s="26"/>
      <c r="H4" s="26"/>
      <c r="I4" s="28"/>
      <c r="J4" s="28"/>
      <c r="K4" s="1"/>
      <c r="L4" s="1"/>
      <c r="M4" s="29"/>
      <c r="N4" s="29"/>
      <c r="O4" s="29"/>
      <c r="P4" s="29"/>
      <c r="Q4" s="29"/>
      <c r="R4" s="29"/>
      <c r="S4" s="29"/>
      <c r="T4" s="33"/>
      <c r="U4" s="111"/>
      <c r="V4" s="33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9.75" customHeight="1" x14ac:dyDescent="0.25">
      <c r="A5" s="25"/>
      <c r="B5" s="26"/>
      <c r="C5" s="27"/>
      <c r="D5" s="27"/>
      <c r="E5" s="27"/>
      <c r="F5" s="26"/>
      <c r="G5" s="26"/>
      <c r="H5" s="26"/>
      <c r="I5" s="28"/>
      <c r="J5" s="28"/>
      <c r="K5" s="1"/>
      <c r="L5" s="1"/>
      <c r="M5" s="29"/>
      <c r="N5" s="29"/>
      <c r="O5" s="29"/>
      <c r="P5" s="29"/>
      <c r="Q5" s="29"/>
      <c r="R5" s="29"/>
      <c r="S5" s="29"/>
      <c r="T5" s="33"/>
      <c r="U5" s="111"/>
      <c r="V5" s="31" t="s">
        <v>41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" customHeight="1" x14ac:dyDescent="0.25">
      <c r="A6" s="25"/>
      <c r="B6" s="26" t="s">
        <v>386</v>
      </c>
      <c r="C6" s="27"/>
      <c r="D6" s="27"/>
      <c r="E6" s="27"/>
      <c r="F6" s="26"/>
      <c r="G6" s="26"/>
      <c r="H6" s="26"/>
      <c r="I6" s="34"/>
      <c r="J6" s="34"/>
      <c r="K6" s="36"/>
      <c r="L6" s="36"/>
      <c r="M6" s="37"/>
      <c r="N6" s="37"/>
      <c r="O6" s="37"/>
      <c r="P6" s="37"/>
      <c r="Q6" s="37"/>
      <c r="R6" s="37"/>
      <c r="S6" s="37"/>
      <c r="T6" s="33"/>
      <c r="U6" s="111"/>
      <c r="V6" s="33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</row>
    <row r="7" spans="1:39" ht="25.5" customHeight="1" x14ac:dyDescent="0.25">
      <c r="A7" s="25"/>
      <c r="B7" s="38" t="s">
        <v>384</v>
      </c>
      <c r="C7" s="39" t="s">
        <v>42</v>
      </c>
      <c r="D7" s="39" t="s">
        <v>374</v>
      </c>
      <c r="E7" s="39" t="s">
        <v>43</v>
      </c>
      <c r="F7" s="40" t="s">
        <v>44</v>
      </c>
      <c r="G7" s="40" t="s">
        <v>388</v>
      </c>
      <c r="H7" s="40" t="s">
        <v>382</v>
      </c>
      <c r="I7" s="40" t="s">
        <v>383</v>
      </c>
      <c r="J7" s="40" t="s">
        <v>385</v>
      </c>
      <c r="K7" s="41" t="s">
        <v>17</v>
      </c>
      <c r="L7" s="41" t="s">
        <v>45</v>
      </c>
      <c r="M7" s="40" t="s">
        <v>18</v>
      </c>
      <c r="N7" s="42" t="s">
        <v>19</v>
      </c>
      <c r="O7" s="42" t="s">
        <v>46</v>
      </c>
      <c r="P7" s="42" t="s">
        <v>47</v>
      </c>
      <c r="Q7" s="42" t="s">
        <v>48</v>
      </c>
      <c r="R7" s="42" t="s">
        <v>49</v>
      </c>
      <c r="S7" s="42" t="s">
        <v>22</v>
      </c>
      <c r="T7" s="40" t="s">
        <v>32</v>
      </c>
      <c r="U7" s="112" t="s">
        <v>387</v>
      </c>
      <c r="V7" s="38" t="s">
        <v>50</v>
      </c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39" ht="12.75" customHeight="1" x14ac:dyDescent="0.25">
      <c r="A8" s="25"/>
      <c r="B8" s="43"/>
      <c r="C8" s="44"/>
      <c r="D8" s="44"/>
      <c r="E8" s="44"/>
      <c r="F8" s="16"/>
      <c r="G8" s="16"/>
      <c r="H8" s="16"/>
      <c r="I8" s="20"/>
      <c r="J8" s="20"/>
      <c r="K8" s="45"/>
      <c r="L8" s="45"/>
      <c r="M8" s="46"/>
      <c r="N8" s="46"/>
      <c r="O8" s="46"/>
      <c r="P8" s="46"/>
      <c r="Q8" s="46"/>
      <c r="R8" s="47"/>
      <c r="S8" s="46"/>
      <c r="T8" s="16"/>
      <c r="U8" s="113"/>
      <c r="V8" s="22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</row>
    <row r="9" spans="1:39" ht="12.75" customHeight="1" x14ac:dyDescent="0.25">
      <c r="A9" s="25"/>
      <c r="B9" s="43"/>
      <c r="C9" s="44"/>
      <c r="D9" s="44"/>
      <c r="E9" s="44"/>
      <c r="F9" s="16"/>
      <c r="G9" s="16"/>
      <c r="H9" s="16"/>
      <c r="I9" s="20"/>
      <c r="J9" s="20"/>
      <c r="K9" s="45"/>
      <c r="L9" s="45"/>
      <c r="M9" s="46"/>
      <c r="N9" s="46"/>
      <c r="O9" s="46"/>
      <c r="P9" s="46"/>
      <c r="Q9" s="46"/>
      <c r="R9" s="46"/>
      <c r="S9" s="46"/>
      <c r="T9" s="16"/>
      <c r="U9" s="113"/>
      <c r="V9" s="22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</row>
    <row r="10" spans="1:39" ht="12.75" customHeight="1" x14ac:dyDescent="0.25">
      <c r="A10" s="25"/>
      <c r="B10" s="43"/>
      <c r="C10" s="44"/>
      <c r="D10" s="44"/>
      <c r="E10" s="44"/>
      <c r="F10" s="16"/>
      <c r="G10" s="16"/>
      <c r="H10" s="16"/>
      <c r="I10" s="20"/>
      <c r="J10" s="20"/>
      <c r="K10" s="45"/>
      <c r="L10" s="45"/>
      <c r="M10" s="46"/>
      <c r="N10" s="46"/>
      <c r="O10" s="46"/>
      <c r="P10" s="46"/>
      <c r="Q10" s="46"/>
      <c r="R10" s="46"/>
      <c r="S10" s="46"/>
      <c r="T10" s="16"/>
      <c r="U10" s="113"/>
      <c r="V10" s="22"/>
      <c r="W10" s="125"/>
      <c r="X10" s="125" t="s">
        <v>379</v>
      </c>
      <c r="Y10" s="126"/>
      <c r="Z10" s="126"/>
      <c r="AA10" s="12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</row>
    <row r="11" spans="1:39" ht="12.75" customHeight="1" x14ac:dyDescent="0.25">
      <c r="A11" s="25"/>
      <c r="B11" s="43"/>
      <c r="C11" s="44"/>
      <c r="D11" s="44"/>
      <c r="E11" s="44"/>
      <c r="F11" s="16"/>
      <c r="G11" s="16"/>
      <c r="H11" s="16"/>
      <c r="I11" s="20"/>
      <c r="J11" s="20"/>
      <c r="K11" s="45"/>
      <c r="L11" s="45"/>
      <c r="M11" s="46"/>
      <c r="N11" s="46"/>
      <c r="O11" s="46"/>
      <c r="P11" s="46"/>
      <c r="Q11" s="46"/>
      <c r="R11" s="46"/>
      <c r="S11" s="46"/>
      <c r="T11" s="16"/>
      <c r="U11" s="113"/>
      <c r="V11" s="22"/>
      <c r="W11" s="127"/>
      <c r="X11" s="127" t="s">
        <v>380</v>
      </c>
      <c r="Y11" s="128"/>
      <c r="Z11" s="128"/>
      <c r="AA11" s="128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</row>
    <row r="12" spans="1:39" ht="12.75" customHeight="1" x14ac:dyDescent="0.25">
      <c r="A12" s="25"/>
      <c r="B12" s="43"/>
      <c r="C12" s="44"/>
      <c r="D12" s="44"/>
      <c r="E12" s="44"/>
      <c r="F12" s="16"/>
      <c r="G12" s="16"/>
      <c r="H12" s="16"/>
      <c r="I12" s="20"/>
      <c r="J12" s="20"/>
      <c r="K12" s="45"/>
      <c r="L12" s="45"/>
      <c r="M12" s="46"/>
      <c r="N12" s="46"/>
      <c r="O12" s="46"/>
      <c r="P12" s="46"/>
      <c r="Q12" s="46"/>
      <c r="R12" s="46"/>
      <c r="S12" s="46"/>
      <c r="T12" s="16"/>
      <c r="U12" s="113"/>
      <c r="V12" s="22"/>
      <c r="W12" s="125"/>
      <c r="X12" s="125"/>
      <c r="Y12" s="126" t="s">
        <v>375</v>
      </c>
      <c r="Z12" s="126"/>
      <c r="AA12" s="12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</row>
    <row r="13" spans="1:39" ht="12.75" customHeight="1" x14ac:dyDescent="0.25">
      <c r="A13" s="25"/>
      <c r="B13" s="43"/>
      <c r="C13" s="44"/>
      <c r="D13" s="44"/>
      <c r="E13" s="44"/>
      <c r="F13" s="16"/>
      <c r="G13" s="16"/>
      <c r="H13" s="16"/>
      <c r="I13" s="20"/>
      <c r="J13" s="20"/>
      <c r="K13" s="45"/>
      <c r="L13" s="45"/>
      <c r="M13" s="46"/>
      <c r="N13" s="46"/>
      <c r="O13" s="46"/>
      <c r="P13" s="46"/>
      <c r="Q13" s="46"/>
      <c r="R13" s="46"/>
      <c r="S13" s="46"/>
      <c r="T13" s="16"/>
      <c r="U13" s="113"/>
      <c r="V13" s="22"/>
      <c r="W13" s="127"/>
      <c r="X13" s="127"/>
      <c r="Y13" s="128" t="s">
        <v>376</v>
      </c>
      <c r="Z13" s="128"/>
      <c r="AA13" s="128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</row>
    <row r="14" spans="1:39" ht="12.75" customHeight="1" x14ac:dyDescent="0.25">
      <c r="A14" s="25"/>
      <c r="B14" s="43"/>
      <c r="C14" s="44"/>
      <c r="D14" s="44"/>
      <c r="E14" s="44"/>
      <c r="F14" s="16"/>
      <c r="G14" s="16"/>
      <c r="H14" s="16"/>
      <c r="I14" s="20"/>
      <c r="J14" s="20"/>
      <c r="K14" s="45"/>
      <c r="L14" s="45"/>
      <c r="M14" s="46"/>
      <c r="N14" s="46"/>
      <c r="O14" s="46"/>
      <c r="P14" s="46"/>
      <c r="Q14" s="46"/>
      <c r="R14" s="46"/>
      <c r="S14" s="46"/>
      <c r="T14" s="16"/>
      <c r="U14" s="113"/>
      <c r="V14" s="22"/>
      <c r="W14" s="125"/>
      <c r="X14" s="125"/>
      <c r="Y14" s="126" t="s">
        <v>377</v>
      </c>
      <c r="Z14" s="126"/>
      <c r="AA14" s="12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 ht="12.75" customHeight="1" x14ac:dyDescent="0.25">
      <c r="A15" s="25"/>
      <c r="B15" s="43"/>
      <c r="C15" s="44"/>
      <c r="D15" s="44"/>
      <c r="E15" s="44"/>
      <c r="F15" s="16"/>
      <c r="G15" s="16"/>
      <c r="H15" s="16"/>
      <c r="I15" s="20"/>
      <c r="J15" s="20"/>
      <c r="K15" s="45"/>
      <c r="L15" s="45"/>
      <c r="M15" s="46"/>
      <c r="N15" s="46"/>
      <c r="O15" s="46"/>
      <c r="P15" s="46"/>
      <c r="Q15" s="46"/>
      <c r="R15" s="46"/>
      <c r="S15" s="46"/>
      <c r="T15" s="16"/>
      <c r="U15" s="113"/>
      <c r="V15" s="22"/>
      <c r="W15" s="127"/>
      <c r="X15" s="127"/>
      <c r="Y15" s="128" t="s">
        <v>378</v>
      </c>
      <c r="Z15" s="128"/>
      <c r="AA15" s="128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39" ht="12.75" customHeight="1" x14ac:dyDescent="0.25">
      <c r="A16" s="25"/>
      <c r="B16" s="43"/>
      <c r="C16" s="44"/>
      <c r="D16" s="44"/>
      <c r="E16" s="44"/>
      <c r="F16" s="16"/>
      <c r="G16" s="16"/>
      <c r="H16" s="16"/>
      <c r="I16" s="20"/>
      <c r="J16" s="20"/>
      <c r="K16" s="45"/>
      <c r="L16" s="45"/>
      <c r="M16" s="46"/>
      <c r="N16" s="46"/>
      <c r="O16" s="46"/>
      <c r="P16" s="46"/>
      <c r="Q16" s="46"/>
      <c r="R16" s="46"/>
      <c r="S16" s="46"/>
      <c r="T16" s="16"/>
      <c r="U16" s="113"/>
      <c r="V16" s="22"/>
      <c r="W16" s="125"/>
      <c r="X16" s="125"/>
      <c r="Y16" s="126"/>
      <c r="Z16" s="126"/>
      <c r="AA16" s="12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39" ht="12.75" customHeight="1" x14ac:dyDescent="0.25">
      <c r="A17" s="25"/>
      <c r="B17" s="43"/>
      <c r="C17" s="44"/>
      <c r="D17" s="44"/>
      <c r="E17" s="44"/>
      <c r="F17" s="16"/>
      <c r="G17" s="16"/>
      <c r="H17" s="16"/>
      <c r="I17" s="20"/>
      <c r="J17" s="20"/>
      <c r="K17" s="45"/>
      <c r="L17" s="45"/>
      <c r="M17" s="46"/>
      <c r="N17" s="46"/>
      <c r="O17" s="46"/>
      <c r="P17" s="46"/>
      <c r="Q17" s="46"/>
      <c r="R17" s="46"/>
      <c r="S17" s="46"/>
      <c r="T17" s="16"/>
      <c r="U17" s="113"/>
      <c r="V17" s="22"/>
      <c r="W17" s="127"/>
      <c r="X17" s="127" t="s">
        <v>381</v>
      </c>
      <c r="Y17" s="128"/>
      <c r="Z17" s="128"/>
      <c r="AA17" s="128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39" ht="12.75" customHeight="1" x14ac:dyDescent="0.25">
      <c r="A18" s="25"/>
      <c r="B18" s="43"/>
      <c r="C18" s="44"/>
      <c r="D18" s="44"/>
      <c r="E18" s="44"/>
      <c r="F18" s="16"/>
      <c r="G18" s="16"/>
      <c r="H18" s="16"/>
      <c r="I18" s="20"/>
      <c r="J18" s="20"/>
      <c r="K18" s="45"/>
      <c r="L18" s="45"/>
      <c r="M18" s="46"/>
      <c r="N18" s="46"/>
      <c r="O18" s="46"/>
      <c r="P18" s="46"/>
      <c r="Q18" s="46"/>
      <c r="R18" s="46"/>
      <c r="S18" s="46"/>
      <c r="T18" s="16"/>
      <c r="U18" s="113"/>
      <c r="V18" s="22"/>
      <c r="W18" s="1"/>
      <c r="X18" s="1"/>
      <c r="Y18" s="1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 ht="12.75" customHeight="1" x14ac:dyDescent="0.25">
      <c r="A19" s="25"/>
      <c r="B19" s="43"/>
      <c r="C19" s="44"/>
      <c r="D19" s="44"/>
      <c r="E19" s="44"/>
      <c r="F19" s="16"/>
      <c r="G19" s="16"/>
      <c r="H19" s="16"/>
      <c r="I19" s="20"/>
      <c r="J19" s="20"/>
      <c r="K19" s="45"/>
      <c r="L19" s="45"/>
      <c r="M19" s="46"/>
      <c r="N19" s="46"/>
      <c r="O19" s="46"/>
      <c r="P19" s="46"/>
      <c r="Q19" s="46"/>
      <c r="R19" s="46"/>
      <c r="S19" s="46"/>
      <c r="T19" s="16"/>
      <c r="U19" s="113"/>
      <c r="V19" s="22"/>
      <c r="W19" s="1"/>
      <c r="X19" s="1"/>
      <c r="Y19" s="1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</row>
    <row r="20" spans="1:39" ht="12.75" customHeight="1" x14ac:dyDescent="0.25">
      <c r="A20" s="25"/>
      <c r="B20" s="43"/>
      <c r="C20" s="44"/>
      <c r="D20" s="44"/>
      <c r="E20" s="44"/>
      <c r="F20" s="16"/>
      <c r="G20" s="16"/>
      <c r="H20" s="16"/>
      <c r="I20" s="20"/>
      <c r="J20" s="20"/>
      <c r="K20" s="45"/>
      <c r="L20" s="45"/>
      <c r="M20" s="46"/>
      <c r="N20" s="46"/>
      <c r="O20" s="46"/>
      <c r="P20" s="46"/>
      <c r="Q20" s="46"/>
      <c r="R20" s="46"/>
      <c r="S20" s="46"/>
      <c r="T20" s="16"/>
      <c r="U20" s="113"/>
      <c r="V20" s="22"/>
      <c r="W20" s="1"/>
      <c r="X20" s="1"/>
      <c r="Y20" s="1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ht="12.75" customHeight="1" x14ac:dyDescent="0.25">
      <c r="A21" s="25"/>
      <c r="B21" s="43"/>
      <c r="C21" s="44"/>
      <c r="D21" s="44"/>
      <c r="E21" s="44"/>
      <c r="F21" s="16"/>
      <c r="G21" s="16"/>
      <c r="H21" s="16"/>
      <c r="I21" s="20"/>
      <c r="J21" s="20"/>
      <c r="K21" s="45"/>
      <c r="L21" s="45"/>
      <c r="M21" s="46"/>
      <c r="N21" s="46"/>
      <c r="O21" s="46"/>
      <c r="P21" s="46"/>
      <c r="Q21" s="46"/>
      <c r="R21" s="46"/>
      <c r="S21" s="46"/>
      <c r="T21" s="16"/>
      <c r="U21" s="113"/>
      <c r="V21" s="22"/>
      <c r="W21" s="1"/>
      <c r="X21" s="1"/>
      <c r="Y21" s="1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ht="12.75" customHeight="1" x14ac:dyDescent="0.25">
      <c r="A22" s="25"/>
      <c r="B22" s="43"/>
      <c r="C22" s="44"/>
      <c r="D22" s="44"/>
      <c r="E22" s="44"/>
      <c r="F22" s="16"/>
      <c r="G22" s="16"/>
      <c r="H22" s="16"/>
      <c r="I22" s="20"/>
      <c r="J22" s="20"/>
      <c r="K22" s="45"/>
      <c r="L22" s="45"/>
      <c r="M22" s="46"/>
      <c r="N22" s="46"/>
      <c r="O22" s="46"/>
      <c r="P22" s="46"/>
      <c r="Q22" s="46"/>
      <c r="R22" s="46"/>
      <c r="S22" s="46"/>
      <c r="T22" s="16"/>
      <c r="U22" s="113"/>
      <c r="V22" s="22"/>
      <c r="W22" s="1"/>
      <c r="X22" s="1"/>
      <c r="Y22" s="1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ht="12.75" customHeight="1" x14ac:dyDescent="0.25">
      <c r="A23" s="25"/>
      <c r="B23" s="43"/>
      <c r="C23" s="44"/>
      <c r="D23" s="44"/>
      <c r="E23" s="44"/>
      <c r="F23" s="16"/>
      <c r="G23" s="16"/>
      <c r="H23" s="16"/>
      <c r="I23" s="20"/>
      <c r="J23" s="20"/>
      <c r="K23" s="45"/>
      <c r="L23" s="45"/>
      <c r="M23" s="46"/>
      <c r="N23" s="46"/>
      <c r="O23" s="46"/>
      <c r="P23" s="46"/>
      <c r="Q23" s="46"/>
      <c r="R23" s="46"/>
      <c r="S23" s="46"/>
      <c r="T23" s="16"/>
      <c r="U23" s="113"/>
      <c r="V23" s="22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1:39" ht="12.75" customHeight="1" x14ac:dyDescent="0.25">
      <c r="A24" s="25"/>
      <c r="B24" s="43"/>
      <c r="C24" s="44"/>
      <c r="D24" s="44"/>
      <c r="E24" s="44"/>
      <c r="F24" s="16"/>
      <c r="G24" s="16"/>
      <c r="H24" s="16"/>
      <c r="I24" s="20"/>
      <c r="J24" s="20"/>
      <c r="K24" s="45"/>
      <c r="L24" s="45"/>
      <c r="M24" s="46"/>
      <c r="N24" s="46"/>
      <c r="O24" s="46"/>
      <c r="P24" s="46"/>
      <c r="Q24" s="46"/>
      <c r="R24" s="46"/>
      <c r="S24" s="46"/>
      <c r="T24" s="16"/>
      <c r="U24" s="113"/>
      <c r="V24" s="22"/>
      <c r="W24" s="48"/>
      <c r="X24" s="48"/>
      <c r="Y24" s="48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 spans="1:39" ht="12.75" customHeight="1" x14ac:dyDescent="0.25">
      <c r="A25" s="25"/>
      <c r="B25" s="43"/>
      <c r="C25" s="44"/>
      <c r="D25" s="44"/>
      <c r="E25" s="44"/>
      <c r="F25" s="16"/>
      <c r="G25" s="16"/>
      <c r="H25" s="16"/>
      <c r="I25" s="20"/>
      <c r="J25" s="20"/>
      <c r="K25" s="45"/>
      <c r="L25" s="45"/>
      <c r="M25" s="46"/>
      <c r="N25" s="46"/>
      <c r="O25" s="46"/>
      <c r="P25" s="46"/>
      <c r="Q25" s="46"/>
      <c r="R25" s="46"/>
      <c r="S25" s="46"/>
      <c r="T25" s="16"/>
      <c r="U25" s="113"/>
      <c r="V25" s="22"/>
      <c r="W25" s="48"/>
      <c r="X25" s="48"/>
      <c r="Y25" s="48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 spans="1:39" ht="12.75" customHeight="1" x14ac:dyDescent="0.25">
      <c r="A26" s="25"/>
      <c r="B26" s="43"/>
      <c r="C26" s="44"/>
      <c r="D26" s="44"/>
      <c r="E26" s="44"/>
      <c r="F26" s="16"/>
      <c r="G26" s="16"/>
      <c r="H26" s="16"/>
      <c r="I26" s="20"/>
      <c r="J26" s="20"/>
      <c r="K26" s="45"/>
      <c r="L26" s="45"/>
      <c r="M26" s="46"/>
      <c r="N26" s="46"/>
      <c r="O26" s="46"/>
      <c r="P26" s="46"/>
      <c r="Q26" s="46"/>
      <c r="R26" s="46"/>
      <c r="S26" s="46"/>
      <c r="T26" s="16"/>
      <c r="U26" s="113"/>
      <c r="V26" s="22"/>
      <c r="W26" s="48"/>
      <c r="X26" s="48"/>
      <c r="Y26" s="48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</row>
    <row r="27" spans="1:39" ht="12.75" customHeight="1" x14ac:dyDescent="0.25">
      <c r="A27" s="25"/>
      <c r="B27" s="43"/>
      <c r="C27" s="44"/>
      <c r="D27" s="44"/>
      <c r="E27" s="44"/>
      <c r="F27" s="16"/>
      <c r="G27" s="16"/>
      <c r="H27" s="16"/>
      <c r="I27" s="20"/>
      <c r="J27" s="20"/>
      <c r="K27" s="45"/>
      <c r="L27" s="45"/>
      <c r="M27" s="46"/>
      <c r="N27" s="46"/>
      <c r="O27" s="46"/>
      <c r="P27" s="46"/>
      <c r="Q27" s="46"/>
      <c r="R27" s="46"/>
      <c r="S27" s="46"/>
      <c r="T27" s="16"/>
      <c r="U27" s="113"/>
      <c r="V27" s="22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</row>
    <row r="28" spans="1:39" ht="12.75" customHeight="1" x14ac:dyDescent="0.25">
      <c r="A28" s="25"/>
      <c r="B28" s="43"/>
      <c r="C28" s="44"/>
      <c r="D28" s="44"/>
      <c r="E28" s="44"/>
      <c r="F28" s="16"/>
      <c r="G28" s="16"/>
      <c r="H28" s="16"/>
      <c r="I28" s="20"/>
      <c r="J28" s="20"/>
      <c r="K28" s="45"/>
      <c r="L28" s="45"/>
      <c r="M28" s="46"/>
      <c r="N28" s="46"/>
      <c r="O28" s="46"/>
      <c r="P28" s="46"/>
      <c r="Q28" s="46"/>
      <c r="R28" s="46"/>
      <c r="S28" s="46"/>
      <c r="T28" s="16"/>
      <c r="U28" s="113"/>
      <c r="V28" s="22"/>
      <c r="W28" s="48"/>
      <c r="X28" s="48"/>
      <c r="Y28" s="48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 spans="1:39" ht="12.75" customHeight="1" x14ac:dyDescent="0.25">
      <c r="A29" s="25"/>
      <c r="B29" s="43"/>
      <c r="C29" s="44"/>
      <c r="D29" s="44"/>
      <c r="E29" s="44"/>
      <c r="F29" s="16"/>
      <c r="G29" s="16"/>
      <c r="H29" s="16"/>
      <c r="I29" s="20"/>
      <c r="J29" s="20"/>
      <c r="K29" s="45"/>
      <c r="L29" s="45"/>
      <c r="M29" s="46"/>
      <c r="N29" s="46"/>
      <c r="O29" s="46"/>
      <c r="P29" s="46"/>
      <c r="Q29" s="46"/>
      <c r="R29" s="46"/>
      <c r="S29" s="46"/>
      <c r="T29" s="16"/>
      <c r="U29" s="113"/>
      <c r="V29" s="22"/>
      <c r="W29" s="48"/>
      <c r="X29" s="48"/>
      <c r="Y29" s="48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 spans="1:39" ht="12.75" customHeight="1" x14ac:dyDescent="0.25">
      <c r="A30" s="25"/>
      <c r="B30" s="43"/>
      <c r="C30" s="44"/>
      <c r="D30" s="44"/>
      <c r="E30" s="44"/>
      <c r="F30" s="16"/>
      <c r="G30" s="16"/>
      <c r="H30" s="16"/>
      <c r="I30" s="20"/>
      <c r="J30" s="20"/>
      <c r="K30" s="45"/>
      <c r="L30" s="45"/>
      <c r="M30" s="46"/>
      <c r="N30" s="46"/>
      <c r="O30" s="46"/>
      <c r="P30" s="46"/>
      <c r="Q30" s="46"/>
      <c r="R30" s="46"/>
      <c r="S30" s="46"/>
      <c r="T30" s="16"/>
      <c r="U30" s="113"/>
      <c r="V30" s="22"/>
      <c r="W30" s="48"/>
      <c r="X30" s="48"/>
      <c r="Y30" s="48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</row>
    <row r="31" spans="1:39" ht="12.75" customHeight="1" x14ac:dyDescent="0.25">
      <c r="A31" s="25"/>
      <c r="B31" s="43"/>
      <c r="C31" s="44"/>
      <c r="D31" s="44"/>
      <c r="E31" s="44"/>
      <c r="F31" s="16"/>
      <c r="G31" s="16"/>
      <c r="H31" s="16"/>
      <c r="I31" s="20"/>
      <c r="J31" s="20"/>
      <c r="K31" s="45"/>
      <c r="L31" s="45"/>
      <c r="M31" s="46"/>
      <c r="N31" s="46"/>
      <c r="O31" s="46"/>
      <c r="P31" s="46"/>
      <c r="Q31" s="46"/>
      <c r="R31" s="46"/>
      <c r="S31" s="46"/>
      <c r="T31" s="16"/>
      <c r="U31" s="113"/>
      <c r="V31" s="22"/>
      <c r="W31" s="48"/>
      <c r="X31" s="48"/>
      <c r="Y31" s="48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</row>
    <row r="32" spans="1:39" ht="12.75" customHeight="1" x14ac:dyDescent="0.25">
      <c r="A32" s="25"/>
      <c r="B32" s="43"/>
      <c r="C32" s="44"/>
      <c r="D32" s="44"/>
      <c r="E32" s="44"/>
      <c r="F32" s="16"/>
      <c r="G32" s="16"/>
      <c r="H32" s="16"/>
      <c r="I32" s="20"/>
      <c r="J32" s="20"/>
      <c r="K32" s="45"/>
      <c r="L32" s="45"/>
      <c r="M32" s="46"/>
      <c r="N32" s="46"/>
      <c r="O32" s="46"/>
      <c r="P32" s="46"/>
      <c r="Q32" s="46"/>
      <c r="R32" s="46"/>
      <c r="S32" s="46"/>
      <c r="T32" s="16"/>
      <c r="U32" s="113"/>
      <c r="V32" s="22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1:39" ht="12.75" customHeight="1" x14ac:dyDescent="0.25">
      <c r="A33" s="25"/>
      <c r="B33" s="43"/>
      <c r="C33" s="44"/>
      <c r="D33" s="44"/>
      <c r="E33" s="44"/>
      <c r="F33" s="16"/>
      <c r="G33" s="16"/>
      <c r="H33" s="16"/>
      <c r="I33" s="20"/>
      <c r="J33" s="20"/>
      <c r="K33" s="45"/>
      <c r="L33" s="45"/>
      <c r="M33" s="46"/>
      <c r="N33" s="46"/>
      <c r="O33" s="46"/>
      <c r="P33" s="46"/>
      <c r="Q33" s="46"/>
      <c r="R33" s="46"/>
      <c r="S33" s="46"/>
      <c r="T33" s="16"/>
      <c r="U33" s="113"/>
      <c r="V33" s="22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</row>
    <row r="34" spans="1:39" ht="12.75" customHeight="1" x14ac:dyDescent="0.25">
      <c r="A34" s="25"/>
      <c r="B34" s="43"/>
      <c r="C34" s="44"/>
      <c r="D34" s="44"/>
      <c r="E34" s="44"/>
      <c r="F34" s="16"/>
      <c r="G34" s="16"/>
      <c r="H34" s="16"/>
      <c r="I34" s="20"/>
      <c r="J34" s="20"/>
      <c r="K34" s="45"/>
      <c r="L34" s="45"/>
      <c r="M34" s="46"/>
      <c r="N34" s="46"/>
      <c r="O34" s="46"/>
      <c r="P34" s="46"/>
      <c r="Q34" s="46"/>
      <c r="R34" s="46"/>
      <c r="S34" s="46"/>
      <c r="T34" s="16"/>
      <c r="U34" s="113"/>
      <c r="V34" s="22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</row>
    <row r="35" spans="1:39" ht="12.75" customHeight="1" x14ac:dyDescent="0.25">
      <c r="A35" s="25"/>
      <c r="B35" s="43"/>
      <c r="C35" s="44"/>
      <c r="D35" s="44"/>
      <c r="E35" s="44"/>
      <c r="F35" s="16"/>
      <c r="G35" s="16"/>
      <c r="H35" s="16"/>
      <c r="I35" s="20"/>
      <c r="J35" s="20"/>
      <c r="K35" s="45"/>
      <c r="L35" s="45"/>
      <c r="M35" s="46"/>
      <c r="N35" s="46"/>
      <c r="O35" s="46"/>
      <c r="P35" s="46"/>
      <c r="Q35" s="46"/>
      <c r="R35" s="46"/>
      <c r="S35" s="46"/>
      <c r="T35" s="16"/>
      <c r="U35" s="113"/>
      <c r="V35" s="22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</row>
    <row r="36" spans="1:39" ht="12.75" customHeight="1" x14ac:dyDescent="0.25">
      <c r="A36" s="25"/>
      <c r="B36" s="43"/>
      <c r="C36" s="44"/>
      <c r="D36" s="44"/>
      <c r="E36" s="44"/>
      <c r="F36" s="16"/>
      <c r="G36" s="16"/>
      <c r="H36" s="16"/>
      <c r="I36" s="20"/>
      <c r="J36" s="20"/>
      <c r="K36" s="45"/>
      <c r="L36" s="45"/>
      <c r="M36" s="46"/>
      <c r="N36" s="46"/>
      <c r="O36" s="46"/>
      <c r="P36" s="46"/>
      <c r="Q36" s="46"/>
      <c r="R36" s="46"/>
      <c r="S36" s="46"/>
      <c r="T36" s="16"/>
      <c r="U36" s="113"/>
      <c r="V36" s="22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</row>
    <row r="37" spans="1:39" ht="12.75" customHeight="1" x14ac:dyDescent="0.25">
      <c r="A37" s="25"/>
      <c r="B37" s="43"/>
      <c r="C37" s="44"/>
      <c r="D37" s="44"/>
      <c r="E37" s="44"/>
      <c r="F37" s="16"/>
      <c r="G37" s="16"/>
      <c r="H37" s="16"/>
      <c r="I37" s="20"/>
      <c r="J37" s="20"/>
      <c r="K37" s="45"/>
      <c r="L37" s="45"/>
      <c r="M37" s="46"/>
      <c r="N37" s="46"/>
      <c r="O37" s="46"/>
      <c r="P37" s="46"/>
      <c r="Q37" s="46"/>
      <c r="R37" s="46"/>
      <c r="S37" s="46"/>
      <c r="T37" s="16"/>
      <c r="U37" s="113"/>
      <c r="V37" s="22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</row>
    <row r="38" spans="1:39" ht="12.75" customHeight="1" x14ac:dyDescent="0.25">
      <c r="A38" s="25"/>
      <c r="B38" s="43"/>
      <c r="C38" s="44"/>
      <c r="D38" s="44"/>
      <c r="E38" s="44"/>
      <c r="F38" s="16"/>
      <c r="G38" s="16"/>
      <c r="H38" s="16"/>
      <c r="I38" s="20"/>
      <c r="J38" s="20"/>
      <c r="K38" s="45"/>
      <c r="L38" s="45"/>
      <c r="M38" s="46"/>
      <c r="N38" s="46"/>
      <c r="O38" s="46"/>
      <c r="P38" s="46"/>
      <c r="Q38" s="46"/>
      <c r="R38" s="46"/>
      <c r="S38" s="46"/>
      <c r="T38" s="16"/>
      <c r="U38" s="113"/>
      <c r="V38" s="22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</row>
    <row r="39" spans="1:39" ht="12.75" customHeight="1" x14ac:dyDescent="0.25">
      <c r="A39" s="25"/>
      <c r="B39" s="43"/>
      <c r="C39" s="44"/>
      <c r="D39" s="44"/>
      <c r="E39" s="44"/>
      <c r="F39" s="16"/>
      <c r="G39" s="16"/>
      <c r="H39" s="16"/>
      <c r="I39" s="20"/>
      <c r="J39" s="20"/>
      <c r="K39" s="45"/>
      <c r="L39" s="45"/>
      <c r="M39" s="46"/>
      <c r="N39" s="46"/>
      <c r="O39" s="46"/>
      <c r="P39" s="46"/>
      <c r="Q39" s="46"/>
      <c r="R39" s="46"/>
      <c r="S39" s="46"/>
      <c r="T39" s="16"/>
      <c r="U39" s="113"/>
      <c r="V39" s="22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</row>
    <row r="40" spans="1:39" ht="9.75" customHeight="1" x14ac:dyDescent="0.25">
      <c r="A40" s="25"/>
      <c r="B40" s="43"/>
      <c r="C40" s="44"/>
      <c r="D40" s="44"/>
      <c r="E40" s="44"/>
      <c r="F40" s="16"/>
      <c r="G40" s="16"/>
      <c r="H40" s="16"/>
      <c r="I40" s="20"/>
      <c r="J40" s="20"/>
      <c r="K40" s="45"/>
      <c r="L40" s="45"/>
      <c r="M40" s="46"/>
      <c r="N40" s="46"/>
      <c r="O40" s="46"/>
      <c r="P40" s="46"/>
      <c r="Q40" s="46"/>
      <c r="R40" s="46"/>
      <c r="S40" s="46"/>
      <c r="T40" s="16"/>
      <c r="U40" s="113"/>
      <c r="V40" s="22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</row>
    <row r="41" spans="1:39" ht="9.75" customHeight="1" x14ac:dyDescent="0.25">
      <c r="A41" s="25"/>
      <c r="B41" s="43"/>
      <c r="C41" s="44"/>
      <c r="D41" s="44"/>
      <c r="E41" s="44"/>
      <c r="F41" s="16"/>
      <c r="G41" s="16"/>
      <c r="H41" s="16"/>
      <c r="I41" s="20"/>
      <c r="J41" s="20"/>
      <c r="K41" s="45"/>
      <c r="L41" s="45"/>
      <c r="M41" s="46"/>
      <c r="N41" s="46"/>
      <c r="O41" s="46"/>
      <c r="P41" s="46"/>
      <c r="Q41" s="46"/>
      <c r="R41" s="46"/>
      <c r="S41" s="46"/>
      <c r="T41" s="16"/>
      <c r="U41" s="113"/>
      <c r="V41" s="22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1:39" ht="9.75" customHeight="1" x14ac:dyDescent="0.25">
      <c r="A42" s="25"/>
      <c r="B42" s="43"/>
      <c r="C42" s="44"/>
      <c r="D42" s="44"/>
      <c r="E42" s="44"/>
      <c r="F42" s="16"/>
      <c r="G42" s="16"/>
      <c r="H42" s="16"/>
      <c r="I42" s="20"/>
      <c r="J42" s="20"/>
      <c r="K42" s="45"/>
      <c r="L42" s="45"/>
      <c r="M42" s="46"/>
      <c r="N42" s="46"/>
      <c r="O42" s="46"/>
      <c r="P42" s="46"/>
      <c r="Q42" s="46"/>
      <c r="R42" s="46"/>
      <c r="S42" s="46"/>
      <c r="T42" s="16"/>
      <c r="U42" s="113"/>
      <c r="V42" s="22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ht="12.75" customHeight="1" x14ac:dyDescent="0.25">
      <c r="A43" s="25"/>
      <c r="B43" s="43"/>
      <c r="C43" s="44"/>
      <c r="D43" s="44"/>
      <c r="E43" s="44"/>
      <c r="F43" s="16"/>
      <c r="G43" s="16"/>
      <c r="H43" s="16"/>
      <c r="I43" s="20"/>
      <c r="J43" s="20"/>
      <c r="K43" s="45"/>
      <c r="L43" s="45"/>
      <c r="M43" s="46"/>
      <c r="N43" s="46"/>
      <c r="O43" s="46"/>
      <c r="P43" s="46"/>
      <c r="Q43" s="46"/>
      <c r="R43" s="46"/>
      <c r="S43" s="46"/>
      <c r="T43" s="16"/>
      <c r="U43" s="113"/>
      <c r="V43" s="22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</row>
    <row r="44" spans="1:39" ht="12.75" customHeight="1" x14ac:dyDescent="0.25">
      <c r="A44" s="25"/>
      <c r="B44" s="43"/>
      <c r="C44" s="44"/>
      <c r="D44" s="44"/>
      <c r="E44" s="44"/>
      <c r="F44" s="16"/>
      <c r="G44" s="16"/>
      <c r="H44" s="16"/>
      <c r="I44" s="20"/>
      <c r="J44" s="20"/>
      <c r="K44" s="45"/>
      <c r="L44" s="45"/>
      <c r="M44" s="46"/>
      <c r="N44" s="46"/>
      <c r="O44" s="46"/>
      <c r="P44" s="46"/>
      <c r="Q44" s="46"/>
      <c r="R44" s="46"/>
      <c r="S44" s="46"/>
      <c r="T44" s="16"/>
      <c r="U44" s="113"/>
      <c r="V44" s="22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</row>
    <row r="45" spans="1:39" ht="12.75" customHeight="1" x14ac:dyDescent="0.25">
      <c r="A45" s="25"/>
      <c r="B45" s="43"/>
      <c r="C45" s="44"/>
      <c r="D45" s="44"/>
      <c r="E45" s="44"/>
      <c r="F45" s="16"/>
      <c r="G45" s="16"/>
      <c r="H45" s="16"/>
      <c r="I45" s="20"/>
      <c r="J45" s="20"/>
      <c r="K45" s="45"/>
      <c r="L45" s="45"/>
      <c r="M45" s="46"/>
      <c r="N45" s="46"/>
      <c r="O45" s="46"/>
      <c r="P45" s="46"/>
      <c r="Q45" s="46"/>
      <c r="R45" s="46"/>
      <c r="S45" s="46"/>
      <c r="T45" s="16"/>
      <c r="U45" s="113"/>
      <c r="V45" s="22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</row>
    <row r="46" spans="1:39" ht="12.75" customHeight="1" x14ac:dyDescent="0.25">
      <c r="A46" s="25"/>
      <c r="B46" s="43"/>
      <c r="C46" s="44"/>
      <c r="D46" s="44"/>
      <c r="E46" s="44"/>
      <c r="F46" s="16"/>
      <c r="G46" s="16"/>
      <c r="H46" s="16"/>
      <c r="I46" s="20"/>
      <c r="J46" s="20"/>
      <c r="K46" s="45"/>
      <c r="L46" s="45"/>
      <c r="M46" s="46"/>
      <c r="N46" s="46"/>
      <c r="O46" s="46"/>
      <c r="P46" s="46"/>
      <c r="Q46" s="46"/>
      <c r="R46" s="46"/>
      <c r="S46" s="46"/>
      <c r="T46" s="16"/>
      <c r="U46" s="113"/>
      <c r="V46" s="22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</row>
    <row r="47" spans="1:39" ht="12.75" customHeight="1" x14ac:dyDescent="0.25">
      <c r="A47" s="25"/>
      <c r="B47" s="43"/>
      <c r="C47" s="44"/>
      <c r="D47" s="44"/>
      <c r="E47" s="44"/>
      <c r="F47" s="16"/>
      <c r="G47" s="16"/>
      <c r="H47" s="16"/>
      <c r="I47" s="20"/>
      <c r="J47" s="20"/>
      <c r="K47" s="45"/>
      <c r="L47" s="45"/>
      <c r="M47" s="46"/>
      <c r="N47" s="46"/>
      <c r="O47" s="46"/>
      <c r="P47" s="46"/>
      <c r="Q47" s="46"/>
      <c r="R47" s="46"/>
      <c r="S47" s="46"/>
      <c r="T47" s="16"/>
      <c r="U47" s="113"/>
      <c r="V47" s="22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</row>
    <row r="48" spans="1:39" ht="12.75" customHeight="1" x14ac:dyDescent="0.25">
      <c r="A48" s="25"/>
      <c r="B48" s="43"/>
      <c r="C48" s="44"/>
      <c r="D48" s="44"/>
      <c r="E48" s="44"/>
      <c r="F48" s="16"/>
      <c r="G48" s="16"/>
      <c r="H48" s="16"/>
      <c r="I48" s="20"/>
      <c r="J48" s="20"/>
      <c r="K48" s="45"/>
      <c r="L48" s="45"/>
      <c r="M48" s="46"/>
      <c r="N48" s="46"/>
      <c r="O48" s="46"/>
      <c r="P48" s="46"/>
      <c r="Q48" s="46"/>
      <c r="R48" s="46"/>
      <c r="S48" s="46"/>
      <c r="T48" s="16"/>
      <c r="U48" s="113"/>
      <c r="V48" s="22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</row>
    <row r="49" spans="1:39" ht="12.75" customHeight="1" x14ac:dyDescent="0.25">
      <c r="A49" s="25"/>
      <c r="B49" s="43"/>
      <c r="C49" s="44"/>
      <c r="D49" s="44"/>
      <c r="E49" s="44"/>
      <c r="F49" s="16"/>
      <c r="G49" s="16"/>
      <c r="H49" s="16"/>
      <c r="I49" s="20"/>
      <c r="J49" s="20"/>
      <c r="K49" s="45"/>
      <c r="L49" s="45"/>
      <c r="M49" s="46"/>
      <c r="N49" s="46"/>
      <c r="O49" s="46"/>
      <c r="P49" s="46"/>
      <c r="Q49" s="46"/>
      <c r="R49" s="46"/>
      <c r="S49" s="46"/>
      <c r="T49" s="16"/>
      <c r="U49" s="113"/>
      <c r="V49" s="22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</row>
    <row r="50" spans="1:39" ht="12.75" customHeight="1" x14ac:dyDescent="0.25">
      <c r="A50" s="25"/>
      <c r="B50" s="43"/>
      <c r="C50" s="44"/>
      <c r="D50" s="44"/>
      <c r="E50" s="44"/>
      <c r="F50" s="16"/>
      <c r="G50" s="16"/>
      <c r="H50" s="16"/>
      <c r="I50" s="20"/>
      <c r="J50" s="20"/>
      <c r="K50" s="45"/>
      <c r="L50" s="45"/>
      <c r="M50" s="46"/>
      <c r="N50" s="46"/>
      <c r="O50" s="46"/>
      <c r="P50" s="46"/>
      <c r="Q50" s="46"/>
      <c r="R50" s="46"/>
      <c r="S50" s="46"/>
      <c r="T50" s="16"/>
      <c r="U50" s="113"/>
      <c r="V50" s="22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</row>
    <row r="51" spans="1:39" ht="12.75" customHeight="1" x14ac:dyDescent="0.25">
      <c r="A51" s="25"/>
      <c r="B51" s="43"/>
      <c r="C51" s="44"/>
      <c r="D51" s="44"/>
      <c r="E51" s="44"/>
      <c r="F51" s="16"/>
      <c r="G51" s="16"/>
      <c r="H51" s="16"/>
      <c r="I51" s="20"/>
      <c r="J51" s="20"/>
      <c r="K51" s="45"/>
      <c r="L51" s="45"/>
      <c r="M51" s="46"/>
      <c r="N51" s="46"/>
      <c r="O51" s="46"/>
      <c r="P51" s="46"/>
      <c r="Q51" s="46"/>
      <c r="R51" s="46"/>
      <c r="S51" s="46"/>
      <c r="T51" s="16"/>
      <c r="U51" s="113"/>
      <c r="V51" s="22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</row>
    <row r="52" spans="1:39" ht="12.75" customHeight="1" x14ac:dyDescent="0.25">
      <c r="A52" s="25"/>
      <c r="B52" s="43"/>
      <c r="C52" s="44"/>
      <c r="D52" s="44"/>
      <c r="E52" s="44"/>
      <c r="F52" s="16"/>
      <c r="G52" s="16"/>
      <c r="H52" s="16"/>
      <c r="I52" s="20"/>
      <c r="J52" s="20"/>
      <c r="K52" s="45"/>
      <c r="L52" s="45"/>
      <c r="M52" s="46"/>
      <c r="N52" s="46"/>
      <c r="O52" s="46"/>
      <c r="P52" s="46"/>
      <c r="Q52" s="46"/>
      <c r="R52" s="46"/>
      <c r="S52" s="46"/>
      <c r="T52" s="16"/>
      <c r="U52" s="113"/>
      <c r="V52" s="22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</row>
    <row r="53" spans="1:39" ht="12.75" customHeight="1" x14ac:dyDescent="0.25">
      <c r="A53" s="25"/>
      <c r="B53" s="43"/>
      <c r="C53" s="44"/>
      <c r="D53" s="44"/>
      <c r="E53" s="44"/>
      <c r="F53" s="16"/>
      <c r="G53" s="16"/>
      <c r="H53" s="16"/>
      <c r="I53" s="20"/>
      <c r="J53" s="20"/>
      <c r="K53" s="45"/>
      <c r="L53" s="45"/>
      <c r="M53" s="46"/>
      <c r="N53" s="46"/>
      <c r="O53" s="46"/>
      <c r="P53" s="46"/>
      <c r="Q53" s="46"/>
      <c r="R53" s="46"/>
      <c r="S53" s="46"/>
      <c r="T53" s="16"/>
      <c r="U53" s="113"/>
      <c r="V53" s="22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</row>
    <row r="54" spans="1:39" ht="12.75" customHeight="1" x14ac:dyDescent="0.25">
      <c r="A54" s="25"/>
      <c r="B54" s="43"/>
      <c r="C54" s="44"/>
      <c r="D54" s="44"/>
      <c r="E54" s="44"/>
      <c r="F54" s="16"/>
      <c r="G54" s="16"/>
      <c r="H54" s="16"/>
      <c r="I54" s="20"/>
      <c r="J54" s="20"/>
      <c r="K54" s="45"/>
      <c r="L54" s="45"/>
      <c r="M54" s="46"/>
      <c r="N54" s="46"/>
      <c r="O54" s="46"/>
      <c r="P54" s="46"/>
      <c r="Q54" s="46"/>
      <c r="R54" s="46"/>
      <c r="S54" s="46"/>
      <c r="T54" s="16"/>
      <c r="U54" s="113"/>
      <c r="V54" s="22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</row>
    <row r="55" spans="1:39" ht="12.75" customHeight="1" x14ac:dyDescent="0.25">
      <c r="A55" s="25"/>
      <c r="B55" s="43"/>
      <c r="C55" s="44"/>
      <c r="D55" s="44"/>
      <c r="E55" s="44"/>
      <c r="F55" s="16"/>
      <c r="G55" s="16"/>
      <c r="H55" s="16"/>
      <c r="I55" s="20"/>
      <c r="J55" s="20"/>
      <c r="K55" s="45"/>
      <c r="L55" s="45"/>
      <c r="M55" s="46"/>
      <c r="N55" s="46"/>
      <c r="O55" s="46"/>
      <c r="P55" s="46"/>
      <c r="Q55" s="46"/>
      <c r="R55" s="46"/>
      <c r="S55" s="46"/>
      <c r="T55" s="16"/>
      <c r="U55" s="113"/>
      <c r="V55" s="22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</row>
    <row r="56" spans="1:39" ht="12.75" customHeight="1" x14ac:dyDescent="0.25">
      <c r="A56" s="25"/>
      <c r="B56" s="43"/>
      <c r="C56" s="44"/>
      <c r="D56" s="44"/>
      <c r="E56" s="44"/>
      <c r="F56" s="16"/>
      <c r="G56" s="16"/>
      <c r="H56" s="16"/>
      <c r="I56" s="20"/>
      <c r="J56" s="20"/>
      <c r="K56" s="45"/>
      <c r="L56" s="45"/>
      <c r="M56" s="46"/>
      <c r="N56" s="46"/>
      <c r="O56" s="46"/>
      <c r="P56" s="46"/>
      <c r="Q56" s="46"/>
      <c r="R56" s="46"/>
      <c r="S56" s="46"/>
      <c r="T56" s="16"/>
      <c r="U56" s="113"/>
      <c r="V56" s="22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</row>
    <row r="57" spans="1:39" ht="12.75" customHeight="1" x14ac:dyDescent="0.25">
      <c r="A57" s="25"/>
      <c r="B57" s="43"/>
      <c r="C57" s="44"/>
      <c r="D57" s="44"/>
      <c r="E57" s="44"/>
      <c r="F57" s="16"/>
      <c r="G57" s="16"/>
      <c r="H57" s="16"/>
      <c r="I57" s="20"/>
      <c r="J57" s="20"/>
      <c r="K57" s="45"/>
      <c r="L57" s="45"/>
      <c r="M57" s="46"/>
      <c r="N57" s="46"/>
      <c r="O57" s="46"/>
      <c r="P57" s="46"/>
      <c r="Q57" s="46"/>
      <c r="R57" s="46"/>
      <c r="S57" s="46"/>
      <c r="T57" s="16"/>
      <c r="U57" s="113"/>
      <c r="V57" s="22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</row>
    <row r="58" spans="1:39" ht="12.75" customHeight="1" x14ac:dyDescent="0.25">
      <c r="A58" s="25"/>
      <c r="B58" s="43"/>
      <c r="C58" s="44"/>
      <c r="D58" s="44"/>
      <c r="E58" s="44"/>
      <c r="F58" s="16"/>
      <c r="G58" s="16"/>
      <c r="H58" s="16"/>
      <c r="I58" s="20"/>
      <c r="J58" s="20"/>
      <c r="K58" s="45"/>
      <c r="L58" s="45"/>
      <c r="M58" s="46"/>
      <c r="N58" s="46"/>
      <c r="O58" s="46"/>
      <c r="P58" s="46"/>
      <c r="Q58" s="46"/>
      <c r="R58" s="46"/>
      <c r="S58" s="46"/>
      <c r="T58" s="16"/>
      <c r="U58" s="113"/>
      <c r="V58" s="22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</row>
    <row r="59" spans="1:39" ht="9.75" customHeight="1" x14ac:dyDescent="0.25">
      <c r="A59" s="25"/>
      <c r="B59" s="43"/>
      <c r="C59" s="44"/>
      <c r="D59" s="44"/>
      <c r="E59" s="44"/>
      <c r="F59" s="16"/>
      <c r="G59" s="16"/>
      <c r="H59" s="16"/>
      <c r="I59" s="20"/>
      <c r="J59" s="20"/>
      <c r="K59" s="45"/>
      <c r="L59" s="45"/>
      <c r="M59" s="46"/>
      <c r="N59" s="46"/>
      <c r="O59" s="46"/>
      <c r="P59" s="46"/>
      <c r="Q59" s="46"/>
      <c r="R59" s="46"/>
      <c r="S59" s="46"/>
      <c r="T59" s="16"/>
      <c r="U59" s="113"/>
      <c r="V59" s="22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</row>
    <row r="60" spans="1:39" ht="9.75" customHeight="1" x14ac:dyDescent="0.25">
      <c r="A60" s="25"/>
      <c r="B60" s="43"/>
      <c r="C60" s="44"/>
      <c r="D60" s="44"/>
      <c r="E60" s="44"/>
      <c r="F60" s="16"/>
      <c r="G60" s="16"/>
      <c r="H60" s="16"/>
      <c r="I60" s="20"/>
      <c r="J60" s="20"/>
      <c r="K60" s="45"/>
      <c r="L60" s="45"/>
      <c r="M60" s="46"/>
      <c r="N60" s="46"/>
      <c r="O60" s="46"/>
      <c r="P60" s="46"/>
      <c r="Q60" s="46"/>
      <c r="R60" s="46"/>
      <c r="S60" s="46"/>
      <c r="T60" s="16"/>
      <c r="U60" s="113"/>
      <c r="V60" s="22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 spans="1:39" ht="9.75" customHeight="1" x14ac:dyDescent="0.25">
      <c r="A61" s="25"/>
      <c r="B61" s="43"/>
      <c r="C61" s="44"/>
      <c r="D61" s="44"/>
      <c r="E61" s="44"/>
      <c r="F61" s="16"/>
      <c r="G61" s="16"/>
      <c r="H61" s="16"/>
      <c r="I61" s="20"/>
      <c r="J61" s="20"/>
      <c r="K61" s="45"/>
      <c r="L61" s="45"/>
      <c r="M61" s="46"/>
      <c r="N61" s="46"/>
      <c r="O61" s="46"/>
      <c r="P61" s="46"/>
      <c r="Q61" s="46"/>
      <c r="R61" s="46"/>
      <c r="S61" s="46"/>
      <c r="T61" s="16"/>
      <c r="U61" s="113"/>
      <c r="V61" s="22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</row>
    <row r="62" spans="1:39" ht="12.75" customHeight="1" x14ac:dyDescent="0.25">
      <c r="A62" s="25"/>
      <c r="B62" s="43"/>
      <c r="C62" s="44"/>
      <c r="D62" s="44"/>
      <c r="E62" s="44"/>
      <c r="F62" s="16"/>
      <c r="G62" s="16"/>
      <c r="H62" s="16"/>
      <c r="I62" s="20"/>
      <c r="J62" s="20"/>
      <c r="K62" s="45"/>
      <c r="L62" s="45"/>
      <c r="M62" s="46"/>
      <c r="N62" s="46"/>
      <c r="O62" s="46"/>
      <c r="P62" s="46"/>
      <c r="Q62" s="46"/>
      <c r="R62" s="46"/>
      <c r="S62" s="46"/>
      <c r="T62" s="16"/>
      <c r="U62" s="113"/>
      <c r="V62" s="22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</row>
    <row r="63" spans="1:39" ht="12.75" customHeight="1" x14ac:dyDescent="0.25">
      <c r="A63" s="25"/>
      <c r="B63" s="43"/>
      <c r="C63" s="44"/>
      <c r="D63" s="44"/>
      <c r="E63" s="44"/>
      <c r="F63" s="16"/>
      <c r="G63" s="16"/>
      <c r="H63" s="16"/>
      <c r="I63" s="20"/>
      <c r="J63" s="20"/>
      <c r="K63" s="45"/>
      <c r="L63" s="45"/>
      <c r="M63" s="46"/>
      <c r="N63" s="46"/>
      <c r="O63" s="46"/>
      <c r="P63" s="46"/>
      <c r="Q63" s="46"/>
      <c r="R63" s="46"/>
      <c r="S63" s="46"/>
      <c r="T63" s="16"/>
      <c r="U63" s="113"/>
      <c r="V63" s="22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</row>
    <row r="64" spans="1:39" ht="12.75" customHeight="1" x14ac:dyDescent="0.25">
      <c r="A64" s="25"/>
      <c r="B64" s="43"/>
      <c r="C64" s="44"/>
      <c r="D64" s="44"/>
      <c r="E64" s="44"/>
      <c r="F64" s="16"/>
      <c r="G64" s="16"/>
      <c r="H64" s="16"/>
      <c r="I64" s="20"/>
      <c r="J64" s="20"/>
      <c r="K64" s="45"/>
      <c r="L64" s="45"/>
      <c r="M64" s="46"/>
      <c r="N64" s="46"/>
      <c r="O64" s="46"/>
      <c r="P64" s="46"/>
      <c r="Q64" s="46"/>
      <c r="R64" s="46"/>
      <c r="S64" s="46"/>
      <c r="T64" s="16"/>
      <c r="U64" s="113"/>
      <c r="V64" s="22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</row>
    <row r="65" spans="1:39" ht="12.75" customHeight="1" x14ac:dyDescent="0.25">
      <c r="A65" s="25"/>
      <c r="B65" s="43"/>
      <c r="C65" s="44"/>
      <c r="D65" s="44"/>
      <c r="E65" s="44"/>
      <c r="F65" s="16"/>
      <c r="G65" s="16"/>
      <c r="H65" s="16"/>
      <c r="I65" s="20"/>
      <c r="J65" s="20"/>
      <c r="K65" s="45"/>
      <c r="L65" s="45"/>
      <c r="M65" s="46"/>
      <c r="N65" s="46"/>
      <c r="O65" s="46"/>
      <c r="P65" s="46"/>
      <c r="Q65" s="46"/>
      <c r="R65" s="46"/>
      <c r="S65" s="46"/>
      <c r="T65" s="16"/>
      <c r="U65" s="113"/>
      <c r="V65" s="22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</row>
    <row r="66" spans="1:39" ht="12.75" customHeight="1" x14ac:dyDescent="0.25">
      <c r="A66" s="25"/>
      <c r="B66" s="43"/>
      <c r="C66" s="44"/>
      <c r="D66" s="44"/>
      <c r="E66" s="44"/>
      <c r="F66" s="16"/>
      <c r="G66" s="16"/>
      <c r="H66" s="16"/>
      <c r="I66" s="20"/>
      <c r="J66" s="20"/>
      <c r="K66" s="45"/>
      <c r="L66" s="45"/>
      <c r="M66" s="46"/>
      <c r="N66" s="46"/>
      <c r="O66" s="46"/>
      <c r="P66" s="46"/>
      <c r="Q66" s="46"/>
      <c r="R66" s="46"/>
      <c r="S66" s="46"/>
      <c r="T66" s="16"/>
      <c r="U66" s="113"/>
      <c r="V66" s="22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</row>
    <row r="67" spans="1:39" ht="12.75" customHeight="1" x14ac:dyDescent="0.25">
      <c r="A67" s="25"/>
      <c r="B67" s="43"/>
      <c r="C67" s="44"/>
      <c r="D67" s="44"/>
      <c r="E67" s="44"/>
      <c r="F67" s="16"/>
      <c r="G67" s="16"/>
      <c r="H67" s="16"/>
      <c r="I67" s="20"/>
      <c r="J67" s="20"/>
      <c r="K67" s="45"/>
      <c r="L67" s="45"/>
      <c r="M67" s="46"/>
      <c r="N67" s="46"/>
      <c r="O67" s="46"/>
      <c r="P67" s="46"/>
      <c r="Q67" s="46"/>
      <c r="R67" s="46"/>
      <c r="S67" s="46"/>
      <c r="T67" s="16"/>
      <c r="U67" s="113"/>
      <c r="V67" s="22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</row>
    <row r="68" spans="1:39" ht="12.75" customHeight="1" x14ac:dyDescent="0.25">
      <c r="A68" s="25"/>
      <c r="B68" s="43"/>
      <c r="C68" s="44"/>
      <c r="D68" s="44"/>
      <c r="E68" s="44"/>
      <c r="F68" s="16"/>
      <c r="G68" s="16"/>
      <c r="H68" s="16"/>
      <c r="I68" s="20"/>
      <c r="J68" s="20"/>
      <c r="K68" s="45"/>
      <c r="L68" s="45"/>
      <c r="M68" s="46"/>
      <c r="N68" s="46"/>
      <c r="O68" s="46"/>
      <c r="P68" s="46"/>
      <c r="Q68" s="46"/>
      <c r="R68" s="46"/>
      <c r="S68" s="46"/>
      <c r="T68" s="16"/>
      <c r="U68" s="113"/>
      <c r="V68" s="22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</row>
    <row r="69" spans="1:39" ht="12.75" customHeight="1" x14ac:dyDescent="0.25">
      <c r="A69" s="25"/>
      <c r="B69" s="43"/>
      <c r="C69" s="44"/>
      <c r="D69" s="44"/>
      <c r="E69" s="44"/>
      <c r="F69" s="16"/>
      <c r="G69" s="16"/>
      <c r="H69" s="16"/>
      <c r="I69" s="20"/>
      <c r="J69" s="20"/>
      <c r="K69" s="45"/>
      <c r="L69" s="45"/>
      <c r="M69" s="46"/>
      <c r="N69" s="46"/>
      <c r="O69" s="46"/>
      <c r="P69" s="46"/>
      <c r="Q69" s="46"/>
      <c r="R69" s="46"/>
      <c r="S69" s="46"/>
      <c r="T69" s="16"/>
      <c r="U69" s="113"/>
      <c r="V69" s="22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</row>
    <row r="70" spans="1:39" ht="12.75" customHeight="1" x14ac:dyDescent="0.25">
      <c r="A70" s="25"/>
      <c r="B70" s="43"/>
      <c r="C70" s="44"/>
      <c r="D70" s="44"/>
      <c r="E70" s="44"/>
      <c r="F70" s="16"/>
      <c r="G70" s="16"/>
      <c r="H70" s="16"/>
      <c r="I70" s="20"/>
      <c r="J70" s="20"/>
      <c r="K70" s="45"/>
      <c r="L70" s="45"/>
      <c r="M70" s="46"/>
      <c r="N70" s="46"/>
      <c r="O70" s="46"/>
      <c r="P70" s="46"/>
      <c r="Q70" s="46"/>
      <c r="R70" s="46"/>
      <c r="S70" s="46"/>
      <c r="T70" s="16"/>
      <c r="U70" s="113"/>
      <c r="V70" s="22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</row>
    <row r="71" spans="1:39" ht="12.75" customHeight="1" x14ac:dyDescent="0.25">
      <c r="A71" s="25"/>
      <c r="B71" s="43"/>
      <c r="C71" s="44"/>
      <c r="D71" s="44"/>
      <c r="E71" s="44"/>
      <c r="F71" s="16"/>
      <c r="G71" s="16"/>
      <c r="H71" s="16"/>
      <c r="I71" s="20"/>
      <c r="J71" s="20"/>
      <c r="K71" s="45"/>
      <c r="L71" s="45"/>
      <c r="M71" s="46"/>
      <c r="N71" s="46"/>
      <c r="O71" s="46"/>
      <c r="P71" s="46"/>
      <c r="Q71" s="46"/>
      <c r="R71" s="46"/>
      <c r="S71" s="46"/>
      <c r="T71" s="16"/>
      <c r="U71" s="113"/>
      <c r="V71" s="22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</row>
    <row r="72" spans="1:39" ht="12.75" customHeight="1" x14ac:dyDescent="0.25">
      <c r="A72" s="25"/>
      <c r="B72" s="43"/>
      <c r="C72" s="44"/>
      <c r="D72" s="44"/>
      <c r="E72" s="44"/>
      <c r="F72" s="16"/>
      <c r="G72" s="16"/>
      <c r="H72" s="16"/>
      <c r="I72" s="20"/>
      <c r="J72" s="20"/>
      <c r="K72" s="45"/>
      <c r="L72" s="45"/>
      <c r="M72" s="46"/>
      <c r="N72" s="46"/>
      <c r="O72" s="46"/>
      <c r="P72" s="46"/>
      <c r="Q72" s="46"/>
      <c r="R72" s="46"/>
      <c r="S72" s="46"/>
      <c r="T72" s="16"/>
      <c r="U72" s="113"/>
      <c r="V72" s="22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</row>
    <row r="73" spans="1:39" ht="12.75" customHeight="1" x14ac:dyDescent="0.25">
      <c r="A73" s="25"/>
      <c r="B73" s="43"/>
      <c r="C73" s="44"/>
      <c r="D73" s="44"/>
      <c r="E73" s="44"/>
      <c r="F73" s="16"/>
      <c r="G73" s="16"/>
      <c r="H73" s="16"/>
      <c r="I73" s="20"/>
      <c r="J73" s="20"/>
      <c r="K73" s="45"/>
      <c r="L73" s="45"/>
      <c r="M73" s="46"/>
      <c r="N73" s="46"/>
      <c r="O73" s="46"/>
      <c r="P73" s="46"/>
      <c r="Q73" s="46"/>
      <c r="R73" s="46"/>
      <c r="S73" s="46"/>
      <c r="T73" s="16"/>
      <c r="U73" s="113"/>
      <c r="V73" s="22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</row>
    <row r="74" spans="1:39" ht="12.75" customHeight="1" x14ac:dyDescent="0.25">
      <c r="A74" s="25"/>
      <c r="B74" s="43"/>
      <c r="C74" s="44"/>
      <c r="D74" s="44"/>
      <c r="E74" s="44"/>
      <c r="F74" s="16"/>
      <c r="G74" s="16"/>
      <c r="H74" s="16"/>
      <c r="I74" s="20"/>
      <c r="J74" s="20"/>
      <c r="K74" s="45"/>
      <c r="L74" s="45"/>
      <c r="M74" s="46"/>
      <c r="N74" s="46"/>
      <c r="O74" s="46"/>
      <c r="P74" s="46"/>
      <c r="Q74" s="46"/>
      <c r="R74" s="46"/>
      <c r="S74" s="46"/>
      <c r="T74" s="16"/>
      <c r="U74" s="113"/>
      <c r="V74" s="22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</row>
    <row r="75" spans="1:39" ht="12.75" customHeight="1" x14ac:dyDescent="0.25">
      <c r="A75" s="25"/>
      <c r="B75" s="43"/>
      <c r="C75" s="44"/>
      <c r="D75" s="44"/>
      <c r="E75" s="44"/>
      <c r="F75" s="16"/>
      <c r="G75" s="16"/>
      <c r="H75" s="16"/>
      <c r="I75" s="20"/>
      <c r="J75" s="20"/>
      <c r="K75" s="45"/>
      <c r="L75" s="45"/>
      <c r="M75" s="46"/>
      <c r="N75" s="46"/>
      <c r="O75" s="46"/>
      <c r="P75" s="46"/>
      <c r="Q75" s="46"/>
      <c r="R75" s="46"/>
      <c r="S75" s="46"/>
      <c r="T75" s="16"/>
      <c r="U75" s="113"/>
      <c r="V75" s="22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</row>
    <row r="76" spans="1:39" ht="12.75" customHeight="1" x14ac:dyDescent="0.25">
      <c r="A76" s="25"/>
      <c r="B76" s="43"/>
      <c r="C76" s="44"/>
      <c r="D76" s="44"/>
      <c r="E76" s="44"/>
      <c r="F76" s="16"/>
      <c r="G76" s="16"/>
      <c r="H76" s="16"/>
      <c r="I76" s="20"/>
      <c r="J76" s="20"/>
      <c r="K76" s="45"/>
      <c r="L76" s="45"/>
      <c r="M76" s="46"/>
      <c r="N76" s="46"/>
      <c r="O76" s="46"/>
      <c r="P76" s="46"/>
      <c r="Q76" s="46"/>
      <c r="R76" s="46"/>
      <c r="S76" s="46"/>
      <c r="T76" s="16"/>
      <c r="U76" s="113"/>
      <c r="V76" s="22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</row>
    <row r="77" spans="1:39" ht="12.75" customHeight="1" x14ac:dyDescent="0.25">
      <c r="A77" s="25"/>
      <c r="B77" s="43"/>
      <c r="C77" s="44"/>
      <c r="D77" s="44"/>
      <c r="E77" s="44"/>
      <c r="F77" s="16"/>
      <c r="G77" s="16"/>
      <c r="H77" s="16"/>
      <c r="I77" s="20"/>
      <c r="J77" s="20"/>
      <c r="K77" s="45"/>
      <c r="L77" s="45"/>
      <c r="M77" s="46"/>
      <c r="N77" s="46"/>
      <c r="O77" s="46"/>
      <c r="P77" s="46"/>
      <c r="Q77" s="46"/>
      <c r="R77" s="46"/>
      <c r="S77" s="46"/>
      <c r="T77" s="16"/>
      <c r="U77" s="113"/>
      <c r="V77" s="22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</row>
    <row r="78" spans="1:39" ht="12.75" customHeight="1" x14ac:dyDescent="0.25">
      <c r="A78" s="25"/>
      <c r="B78" s="43"/>
      <c r="C78" s="44"/>
      <c r="D78" s="44"/>
      <c r="E78" s="44"/>
      <c r="F78" s="16"/>
      <c r="G78" s="16"/>
      <c r="H78" s="16"/>
      <c r="I78" s="20"/>
      <c r="J78" s="20"/>
      <c r="K78" s="45"/>
      <c r="L78" s="45"/>
      <c r="M78" s="46"/>
      <c r="N78" s="46"/>
      <c r="O78" s="46"/>
      <c r="P78" s="46"/>
      <c r="Q78" s="46"/>
      <c r="R78" s="46"/>
      <c r="S78" s="46"/>
      <c r="T78" s="16"/>
      <c r="U78" s="113"/>
      <c r="V78" s="22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</row>
    <row r="79" spans="1:39" ht="12.75" customHeight="1" x14ac:dyDescent="0.25">
      <c r="A79" s="25"/>
      <c r="B79" s="43"/>
      <c r="C79" s="44"/>
      <c r="D79" s="44"/>
      <c r="E79" s="44"/>
      <c r="F79" s="16"/>
      <c r="G79" s="16"/>
      <c r="H79" s="16"/>
      <c r="I79" s="20"/>
      <c r="J79" s="20"/>
      <c r="K79" s="45"/>
      <c r="L79" s="45"/>
      <c r="M79" s="46"/>
      <c r="N79" s="46"/>
      <c r="O79" s="46"/>
      <c r="P79" s="46"/>
      <c r="Q79" s="46"/>
      <c r="R79" s="46"/>
      <c r="S79" s="46"/>
      <c r="T79" s="16"/>
      <c r="U79" s="113"/>
      <c r="V79" s="2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</row>
    <row r="80" spans="1:39" ht="12.75" customHeight="1" x14ac:dyDescent="0.25">
      <c r="A80" s="25"/>
      <c r="B80" s="43"/>
      <c r="C80" s="44"/>
      <c r="D80" s="44"/>
      <c r="E80" s="44"/>
      <c r="F80" s="16"/>
      <c r="G80" s="16"/>
      <c r="H80" s="16"/>
      <c r="I80" s="20"/>
      <c r="J80" s="20"/>
      <c r="K80" s="45"/>
      <c r="L80" s="45"/>
      <c r="M80" s="46"/>
      <c r="N80" s="46"/>
      <c r="O80" s="46"/>
      <c r="P80" s="46"/>
      <c r="Q80" s="46"/>
      <c r="R80" s="46"/>
      <c r="S80" s="46"/>
      <c r="T80" s="16"/>
      <c r="U80" s="113"/>
      <c r="V80" s="2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</row>
    <row r="81" spans="1:39" ht="12.75" customHeight="1" x14ac:dyDescent="0.25">
      <c r="A81" s="25"/>
      <c r="B81" s="43"/>
      <c r="C81" s="44"/>
      <c r="D81" s="44"/>
      <c r="E81" s="44"/>
      <c r="F81" s="16"/>
      <c r="G81" s="16"/>
      <c r="H81" s="16"/>
      <c r="I81" s="20"/>
      <c r="J81" s="20"/>
      <c r="K81" s="45"/>
      <c r="L81" s="45"/>
      <c r="M81" s="46"/>
      <c r="N81" s="46"/>
      <c r="O81" s="46"/>
      <c r="P81" s="46"/>
      <c r="Q81" s="46"/>
      <c r="R81" s="46"/>
      <c r="S81" s="46"/>
      <c r="T81" s="16"/>
      <c r="U81" s="113"/>
      <c r="V81" s="22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</row>
    <row r="82" spans="1:39" ht="12.75" customHeight="1" x14ac:dyDescent="0.25">
      <c r="A82" s="25"/>
      <c r="B82" s="43"/>
      <c r="C82" s="44"/>
      <c r="D82" s="44"/>
      <c r="E82" s="44"/>
      <c r="F82" s="16"/>
      <c r="G82" s="16"/>
      <c r="H82" s="16"/>
      <c r="I82" s="20"/>
      <c r="J82" s="20"/>
      <c r="K82" s="45"/>
      <c r="L82" s="45"/>
      <c r="M82" s="46"/>
      <c r="N82" s="46"/>
      <c r="O82" s="46"/>
      <c r="P82" s="46"/>
      <c r="Q82" s="46"/>
      <c r="R82" s="46"/>
      <c r="S82" s="46"/>
      <c r="T82" s="16"/>
      <c r="U82" s="113"/>
      <c r="V82" s="22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</row>
    <row r="83" spans="1:39" ht="12.75" customHeight="1" x14ac:dyDescent="0.25">
      <c r="A83" s="25"/>
      <c r="B83" s="43"/>
      <c r="C83" s="44"/>
      <c r="D83" s="44"/>
      <c r="E83" s="44"/>
      <c r="F83" s="16"/>
      <c r="G83" s="16"/>
      <c r="H83" s="16"/>
      <c r="I83" s="20"/>
      <c r="J83" s="20"/>
      <c r="K83" s="45"/>
      <c r="L83" s="45"/>
      <c r="M83" s="46"/>
      <c r="N83" s="46"/>
      <c r="O83" s="46"/>
      <c r="P83" s="46"/>
      <c r="Q83" s="46"/>
      <c r="R83" s="46"/>
      <c r="S83" s="46"/>
      <c r="T83" s="16"/>
      <c r="U83" s="113"/>
      <c r="V83" s="22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</row>
    <row r="84" spans="1:39" ht="12.75" customHeight="1" x14ac:dyDescent="0.25">
      <c r="A84" s="25"/>
      <c r="B84" s="43"/>
      <c r="C84" s="44"/>
      <c r="D84" s="44"/>
      <c r="E84" s="44"/>
      <c r="F84" s="16"/>
      <c r="G84" s="16"/>
      <c r="H84" s="16"/>
      <c r="I84" s="20"/>
      <c r="J84" s="20"/>
      <c r="K84" s="45"/>
      <c r="L84" s="45"/>
      <c r="M84" s="46"/>
      <c r="N84" s="46"/>
      <c r="O84" s="46"/>
      <c r="P84" s="46"/>
      <c r="Q84" s="46"/>
      <c r="R84" s="46"/>
      <c r="S84" s="46"/>
      <c r="T84" s="16"/>
      <c r="U84" s="113"/>
      <c r="V84" s="22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</row>
    <row r="85" spans="1:39" ht="12.75" customHeight="1" x14ac:dyDescent="0.25">
      <c r="A85" s="25"/>
      <c r="B85" s="43"/>
      <c r="C85" s="44"/>
      <c r="D85" s="44"/>
      <c r="E85" s="44"/>
      <c r="F85" s="16"/>
      <c r="G85" s="16"/>
      <c r="H85" s="16"/>
      <c r="I85" s="20"/>
      <c r="J85" s="20"/>
      <c r="K85" s="45"/>
      <c r="L85" s="45"/>
      <c r="M85" s="46"/>
      <c r="N85" s="46"/>
      <c r="O85" s="46"/>
      <c r="P85" s="46"/>
      <c r="Q85" s="46"/>
      <c r="R85" s="46"/>
      <c r="S85" s="46"/>
      <c r="T85" s="16"/>
      <c r="U85" s="113"/>
      <c r="V85" s="2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</row>
    <row r="86" spans="1:39" ht="12.75" customHeight="1" x14ac:dyDescent="0.25">
      <c r="A86" s="25"/>
      <c r="B86" s="43"/>
      <c r="C86" s="44"/>
      <c r="D86" s="44"/>
      <c r="E86" s="44"/>
      <c r="F86" s="16"/>
      <c r="G86" s="16"/>
      <c r="H86" s="16"/>
      <c r="I86" s="20"/>
      <c r="J86" s="20"/>
      <c r="K86" s="45"/>
      <c r="L86" s="45"/>
      <c r="M86" s="46"/>
      <c r="N86" s="46"/>
      <c r="O86" s="46"/>
      <c r="P86" s="46"/>
      <c r="Q86" s="46"/>
      <c r="R86" s="46"/>
      <c r="S86" s="46"/>
      <c r="T86" s="16"/>
      <c r="U86" s="113"/>
      <c r="V86" s="22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</row>
    <row r="87" spans="1:39" ht="12.75" customHeight="1" x14ac:dyDescent="0.25">
      <c r="A87" s="25"/>
      <c r="B87" s="43"/>
      <c r="C87" s="44"/>
      <c r="D87" s="44"/>
      <c r="E87" s="44"/>
      <c r="F87" s="16"/>
      <c r="G87" s="16"/>
      <c r="H87" s="16"/>
      <c r="I87" s="20"/>
      <c r="J87" s="20"/>
      <c r="K87" s="45"/>
      <c r="L87" s="45"/>
      <c r="M87" s="46"/>
      <c r="N87" s="46"/>
      <c r="O87" s="46"/>
      <c r="P87" s="46"/>
      <c r="Q87" s="46"/>
      <c r="R87" s="46"/>
      <c r="S87" s="46"/>
      <c r="T87" s="16"/>
      <c r="U87" s="113"/>
      <c r="V87" s="22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</row>
    <row r="88" spans="1:39" ht="12.75" customHeight="1" x14ac:dyDescent="0.25">
      <c r="A88" s="25"/>
      <c r="B88" s="43"/>
      <c r="C88" s="44"/>
      <c r="D88" s="44"/>
      <c r="E88" s="44"/>
      <c r="F88" s="16"/>
      <c r="G88" s="16"/>
      <c r="H88" s="16"/>
      <c r="I88" s="20"/>
      <c r="J88" s="20"/>
      <c r="K88" s="45"/>
      <c r="L88" s="45"/>
      <c r="M88" s="46"/>
      <c r="N88" s="46"/>
      <c r="O88" s="46"/>
      <c r="P88" s="46"/>
      <c r="Q88" s="46"/>
      <c r="R88" s="46"/>
      <c r="S88" s="46"/>
      <c r="T88" s="16"/>
      <c r="U88" s="113"/>
      <c r="V88" s="22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</row>
    <row r="89" spans="1:39" ht="9.75" customHeight="1" x14ac:dyDescent="0.25">
      <c r="A89" s="25"/>
      <c r="B89" s="43"/>
      <c r="C89" s="44"/>
      <c r="D89" s="44"/>
      <c r="E89" s="44"/>
      <c r="F89" s="16"/>
      <c r="G89" s="16"/>
      <c r="H89" s="16"/>
      <c r="I89" s="20"/>
      <c r="J89" s="20"/>
      <c r="K89" s="45"/>
      <c r="L89" s="45"/>
      <c r="M89" s="46"/>
      <c r="N89" s="46"/>
      <c r="O89" s="46"/>
      <c r="P89" s="46"/>
      <c r="Q89" s="46"/>
      <c r="R89" s="46"/>
      <c r="S89" s="46"/>
      <c r="T89" s="16"/>
      <c r="U89" s="113"/>
      <c r="V89" s="2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2.75" customHeight="1" x14ac:dyDescent="0.25">
      <c r="A90" s="25"/>
      <c r="B90" s="43"/>
      <c r="C90" s="44"/>
      <c r="D90" s="44"/>
      <c r="E90" s="44"/>
      <c r="F90" s="16"/>
      <c r="G90" s="16"/>
      <c r="H90" s="16"/>
      <c r="I90" s="20"/>
      <c r="J90" s="20"/>
      <c r="K90" s="45"/>
      <c r="L90" s="45"/>
      <c r="M90" s="46"/>
      <c r="N90" s="46"/>
      <c r="O90" s="46"/>
      <c r="P90" s="46"/>
      <c r="Q90" s="46"/>
      <c r="R90" s="46"/>
      <c r="S90" s="46"/>
      <c r="T90" s="16"/>
      <c r="U90" s="113"/>
      <c r="V90" s="22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</row>
    <row r="91" spans="1:39" ht="12.75" customHeight="1" x14ac:dyDescent="0.25">
      <c r="A91" s="25"/>
      <c r="B91" s="43"/>
      <c r="C91" s="44"/>
      <c r="D91" s="44"/>
      <c r="E91" s="44"/>
      <c r="F91" s="16"/>
      <c r="G91" s="16"/>
      <c r="H91" s="16"/>
      <c r="I91" s="20"/>
      <c r="J91" s="20"/>
      <c r="K91" s="45"/>
      <c r="L91" s="45"/>
      <c r="M91" s="46"/>
      <c r="N91" s="46"/>
      <c r="O91" s="46"/>
      <c r="P91" s="46"/>
      <c r="Q91" s="46"/>
      <c r="R91" s="46"/>
      <c r="S91" s="46"/>
      <c r="T91" s="16"/>
      <c r="U91" s="113"/>
      <c r="V91" s="22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</row>
    <row r="92" spans="1:39" ht="12.75" customHeight="1" x14ac:dyDescent="0.25">
      <c r="A92" s="25"/>
      <c r="B92" s="43"/>
      <c r="C92" s="44"/>
      <c r="D92" s="44"/>
      <c r="E92" s="44"/>
      <c r="F92" s="16"/>
      <c r="G92" s="16"/>
      <c r="H92" s="16"/>
      <c r="I92" s="20"/>
      <c r="J92" s="20"/>
      <c r="K92" s="45"/>
      <c r="L92" s="45"/>
      <c r="M92" s="46"/>
      <c r="N92" s="46"/>
      <c r="O92" s="46"/>
      <c r="P92" s="46"/>
      <c r="Q92" s="46"/>
      <c r="R92" s="46"/>
      <c r="S92" s="46"/>
      <c r="T92" s="16"/>
      <c r="U92" s="113"/>
      <c r="V92" s="2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2.75" customHeight="1" x14ac:dyDescent="0.25">
      <c r="A93" s="25"/>
      <c r="B93" s="43"/>
      <c r="C93" s="44"/>
      <c r="D93" s="44"/>
      <c r="E93" s="44"/>
      <c r="F93" s="16"/>
      <c r="G93" s="16"/>
      <c r="H93" s="16"/>
      <c r="I93" s="20"/>
      <c r="J93" s="20"/>
      <c r="K93" s="45"/>
      <c r="L93" s="45"/>
      <c r="M93" s="46"/>
      <c r="N93" s="46"/>
      <c r="O93" s="46"/>
      <c r="P93" s="46"/>
      <c r="Q93" s="46"/>
      <c r="R93" s="46"/>
      <c r="S93" s="46"/>
      <c r="T93" s="16"/>
      <c r="U93" s="113"/>
      <c r="V93" s="2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2.75" customHeight="1" x14ac:dyDescent="0.25">
      <c r="A94" s="25"/>
      <c r="B94" s="43"/>
      <c r="C94" s="44"/>
      <c r="D94" s="44"/>
      <c r="E94" s="44"/>
      <c r="F94" s="16"/>
      <c r="G94" s="16"/>
      <c r="H94" s="16"/>
      <c r="I94" s="20"/>
      <c r="J94" s="20"/>
      <c r="K94" s="45"/>
      <c r="L94" s="45"/>
      <c r="M94" s="46"/>
      <c r="N94" s="46"/>
      <c r="O94" s="46"/>
      <c r="P94" s="46"/>
      <c r="Q94" s="46"/>
      <c r="R94" s="46"/>
      <c r="S94" s="46"/>
      <c r="T94" s="16"/>
      <c r="U94" s="113"/>
      <c r="V94" s="22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 spans="1:39" ht="12.75" customHeight="1" x14ac:dyDescent="0.25">
      <c r="A95" s="25"/>
      <c r="B95" s="43"/>
      <c r="C95" s="44"/>
      <c r="D95" s="44"/>
      <c r="E95" s="44"/>
      <c r="F95" s="16"/>
      <c r="G95" s="16"/>
      <c r="H95" s="16"/>
      <c r="I95" s="20"/>
      <c r="J95" s="20"/>
      <c r="K95" s="45"/>
      <c r="L95" s="45"/>
      <c r="M95" s="46"/>
      <c r="N95" s="46"/>
      <c r="O95" s="46"/>
      <c r="P95" s="46"/>
      <c r="Q95" s="46"/>
      <c r="R95" s="46"/>
      <c r="S95" s="46"/>
      <c r="T95" s="16"/>
      <c r="U95" s="113"/>
      <c r="V95" s="22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 spans="1:39" ht="12.75" customHeight="1" x14ac:dyDescent="0.25">
      <c r="A96" s="25"/>
      <c r="B96" s="43"/>
      <c r="C96" s="44"/>
      <c r="D96" s="44"/>
      <c r="E96" s="44"/>
      <c r="F96" s="16"/>
      <c r="G96" s="16"/>
      <c r="H96" s="16"/>
      <c r="I96" s="20"/>
      <c r="J96" s="20"/>
      <c r="K96" s="45"/>
      <c r="L96" s="45"/>
      <c r="M96" s="46"/>
      <c r="N96" s="46"/>
      <c r="O96" s="46"/>
      <c r="P96" s="46"/>
      <c r="Q96" s="46"/>
      <c r="R96" s="46"/>
      <c r="S96" s="46"/>
      <c r="T96" s="16"/>
      <c r="U96" s="113"/>
      <c r="V96" s="22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 spans="1:39" ht="12.75" customHeight="1" x14ac:dyDescent="0.25">
      <c r="A97" s="25"/>
      <c r="B97" s="43"/>
      <c r="C97" s="44"/>
      <c r="D97" s="44"/>
      <c r="E97" s="44"/>
      <c r="F97" s="16"/>
      <c r="G97" s="16"/>
      <c r="H97" s="16"/>
      <c r="I97" s="20"/>
      <c r="J97" s="20"/>
      <c r="K97" s="45"/>
      <c r="L97" s="45"/>
      <c r="M97" s="46"/>
      <c r="N97" s="46"/>
      <c r="O97" s="46"/>
      <c r="P97" s="46"/>
      <c r="Q97" s="46"/>
      <c r="R97" s="46"/>
      <c r="S97" s="46"/>
      <c r="T97" s="16"/>
      <c r="U97" s="113"/>
      <c r="V97" s="22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</row>
    <row r="98" spans="1:39" ht="12.75" customHeight="1" x14ac:dyDescent="0.25">
      <c r="A98" s="25"/>
      <c r="B98" s="43"/>
      <c r="C98" s="44"/>
      <c r="D98" s="44"/>
      <c r="E98" s="44"/>
      <c r="F98" s="16"/>
      <c r="G98" s="16"/>
      <c r="H98" s="16"/>
      <c r="I98" s="20"/>
      <c r="J98" s="20"/>
      <c r="K98" s="45"/>
      <c r="L98" s="45"/>
      <c r="M98" s="46"/>
      <c r="N98" s="46"/>
      <c r="O98" s="46"/>
      <c r="P98" s="46"/>
      <c r="Q98" s="46"/>
      <c r="R98" s="46"/>
      <c r="S98" s="46"/>
      <c r="T98" s="16"/>
      <c r="U98" s="113"/>
      <c r="V98" s="22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 spans="1:39" ht="12.75" customHeight="1" x14ac:dyDescent="0.25">
      <c r="A99" s="25"/>
      <c r="B99" s="43"/>
      <c r="C99" s="44"/>
      <c r="D99" s="44"/>
      <c r="E99" s="44"/>
      <c r="F99" s="16"/>
      <c r="G99" s="16"/>
      <c r="H99" s="16"/>
      <c r="I99" s="20"/>
      <c r="J99" s="20"/>
      <c r="K99" s="45"/>
      <c r="L99" s="45"/>
      <c r="M99" s="46"/>
      <c r="N99" s="46"/>
      <c r="O99" s="46"/>
      <c r="P99" s="46"/>
      <c r="Q99" s="46"/>
      <c r="R99" s="46"/>
      <c r="S99" s="46"/>
      <c r="T99" s="16"/>
      <c r="U99" s="113"/>
      <c r="V99" s="22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</row>
    <row r="100" spans="1:39" ht="12.75" customHeight="1" x14ac:dyDescent="0.25">
      <c r="A100" s="25"/>
      <c r="B100" s="43"/>
      <c r="C100" s="44"/>
      <c r="D100" s="44"/>
      <c r="E100" s="44"/>
      <c r="F100" s="16"/>
      <c r="G100" s="16"/>
      <c r="H100" s="16"/>
      <c r="I100" s="20"/>
      <c r="J100" s="20"/>
      <c r="K100" s="45"/>
      <c r="L100" s="45"/>
      <c r="M100" s="46"/>
      <c r="N100" s="46"/>
      <c r="O100" s="46"/>
      <c r="P100" s="46"/>
      <c r="Q100" s="46"/>
      <c r="R100" s="46"/>
      <c r="S100" s="46"/>
      <c r="T100" s="16"/>
      <c r="U100" s="113"/>
      <c r="V100" s="22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</row>
    <row r="101" spans="1:39" ht="12.75" customHeight="1" x14ac:dyDescent="0.25">
      <c r="A101" s="25"/>
      <c r="B101" s="43"/>
      <c r="C101" s="44"/>
      <c r="D101" s="44"/>
      <c r="E101" s="44"/>
      <c r="F101" s="16"/>
      <c r="G101" s="16"/>
      <c r="H101" s="16"/>
      <c r="I101" s="20"/>
      <c r="J101" s="20"/>
      <c r="K101" s="45"/>
      <c r="L101" s="45"/>
      <c r="M101" s="46"/>
      <c r="N101" s="46"/>
      <c r="O101" s="46"/>
      <c r="P101" s="46"/>
      <c r="Q101" s="46"/>
      <c r="R101" s="46"/>
      <c r="S101" s="46"/>
      <c r="T101" s="16"/>
      <c r="U101" s="113"/>
      <c r="V101" s="22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 spans="1:39" ht="12.75" customHeight="1" x14ac:dyDescent="0.25">
      <c r="A102" s="25"/>
      <c r="B102" s="43"/>
      <c r="C102" s="44"/>
      <c r="D102" s="44"/>
      <c r="E102" s="44"/>
      <c r="F102" s="16"/>
      <c r="G102" s="16"/>
      <c r="H102" s="16"/>
      <c r="I102" s="20"/>
      <c r="J102" s="20"/>
      <c r="K102" s="45"/>
      <c r="L102" s="45"/>
      <c r="M102" s="46"/>
      <c r="N102" s="46"/>
      <c r="O102" s="46"/>
      <c r="P102" s="46"/>
      <c r="Q102" s="46"/>
      <c r="R102" s="46"/>
      <c r="S102" s="46"/>
      <c r="T102" s="16"/>
      <c r="U102" s="113"/>
      <c r="V102" s="22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 spans="1:39" ht="12.75" customHeight="1" x14ac:dyDescent="0.25">
      <c r="A103" s="25"/>
      <c r="B103" s="43"/>
      <c r="C103" s="44"/>
      <c r="D103" s="44"/>
      <c r="E103" s="44"/>
      <c r="F103" s="16"/>
      <c r="G103" s="16"/>
      <c r="H103" s="16"/>
      <c r="I103" s="20"/>
      <c r="J103" s="20"/>
      <c r="K103" s="45"/>
      <c r="L103" s="45"/>
      <c r="M103" s="46"/>
      <c r="N103" s="46"/>
      <c r="O103" s="46"/>
      <c r="P103" s="46"/>
      <c r="Q103" s="46"/>
      <c r="R103" s="46"/>
      <c r="S103" s="46"/>
      <c r="T103" s="16"/>
      <c r="U103" s="113"/>
      <c r="V103" s="22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 spans="1:39" ht="12.75" customHeight="1" x14ac:dyDescent="0.25">
      <c r="A104" s="25"/>
      <c r="B104" s="43"/>
      <c r="C104" s="44"/>
      <c r="D104" s="44"/>
      <c r="E104" s="44"/>
      <c r="F104" s="16"/>
      <c r="G104" s="16"/>
      <c r="H104" s="16"/>
      <c r="I104" s="20"/>
      <c r="J104" s="20"/>
      <c r="K104" s="45"/>
      <c r="L104" s="45"/>
      <c r="M104" s="46"/>
      <c r="N104" s="46"/>
      <c r="O104" s="46"/>
      <c r="P104" s="46"/>
      <c r="Q104" s="46"/>
      <c r="R104" s="46"/>
      <c r="S104" s="46"/>
      <c r="T104" s="16"/>
      <c r="U104" s="113"/>
      <c r="V104" s="22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</row>
    <row r="105" spans="1:39" ht="12.75" customHeight="1" x14ac:dyDescent="0.25">
      <c r="A105" s="25"/>
      <c r="B105" s="43"/>
      <c r="C105" s="44"/>
      <c r="D105" s="44"/>
      <c r="E105" s="44"/>
      <c r="F105" s="16"/>
      <c r="G105" s="16"/>
      <c r="H105" s="16"/>
      <c r="I105" s="20"/>
      <c r="J105" s="20"/>
      <c r="K105" s="45"/>
      <c r="L105" s="45"/>
      <c r="M105" s="46"/>
      <c r="N105" s="46"/>
      <c r="O105" s="46"/>
      <c r="P105" s="46"/>
      <c r="Q105" s="46"/>
      <c r="R105" s="46"/>
      <c r="S105" s="46"/>
      <c r="T105" s="16"/>
      <c r="U105" s="113"/>
      <c r="V105" s="22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 spans="1:39" ht="12.75" customHeight="1" x14ac:dyDescent="0.25">
      <c r="A106" s="25"/>
      <c r="B106" s="43"/>
      <c r="C106" s="44"/>
      <c r="D106" s="44"/>
      <c r="E106" s="44"/>
      <c r="F106" s="16"/>
      <c r="G106" s="16"/>
      <c r="H106" s="16"/>
      <c r="I106" s="20"/>
      <c r="J106" s="20"/>
      <c r="K106" s="45"/>
      <c r="L106" s="45"/>
      <c r="M106" s="46"/>
      <c r="N106" s="46"/>
      <c r="O106" s="46"/>
      <c r="P106" s="46"/>
      <c r="Q106" s="46"/>
      <c r="R106" s="46"/>
      <c r="S106" s="46"/>
      <c r="T106" s="16"/>
      <c r="U106" s="113"/>
      <c r="V106" s="22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</row>
    <row r="107" spans="1:39" ht="12.75" customHeight="1" x14ac:dyDescent="0.25">
      <c r="A107" s="25"/>
      <c r="B107" s="43"/>
      <c r="C107" s="44"/>
      <c r="D107" s="44"/>
      <c r="E107" s="44"/>
      <c r="F107" s="16"/>
      <c r="G107" s="16"/>
      <c r="H107" s="16"/>
      <c r="I107" s="20"/>
      <c r="J107" s="20"/>
      <c r="K107" s="45"/>
      <c r="L107" s="45"/>
      <c r="M107" s="46"/>
      <c r="N107" s="46"/>
      <c r="O107" s="46"/>
      <c r="P107" s="46"/>
      <c r="Q107" s="46"/>
      <c r="R107" s="46"/>
      <c r="S107" s="46"/>
      <c r="T107" s="16"/>
      <c r="U107" s="113"/>
      <c r="V107" s="22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 spans="1:39" ht="12.75" customHeight="1" x14ac:dyDescent="0.25">
      <c r="A108" s="25"/>
      <c r="B108" s="43"/>
      <c r="C108" s="44"/>
      <c r="D108" s="44"/>
      <c r="E108" s="44"/>
      <c r="F108" s="16"/>
      <c r="G108" s="16"/>
      <c r="H108" s="16"/>
      <c r="I108" s="20"/>
      <c r="J108" s="20"/>
      <c r="K108" s="45"/>
      <c r="L108" s="45"/>
      <c r="M108" s="46"/>
      <c r="N108" s="46"/>
      <c r="O108" s="46"/>
      <c r="P108" s="46"/>
      <c r="Q108" s="46"/>
      <c r="R108" s="46"/>
      <c r="S108" s="46"/>
      <c r="T108" s="16"/>
      <c r="U108" s="113"/>
      <c r="V108" s="22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 spans="1:39" ht="12.75" customHeight="1" x14ac:dyDescent="0.25">
      <c r="A109" s="25"/>
      <c r="B109" s="43"/>
      <c r="C109" s="44"/>
      <c r="D109" s="44"/>
      <c r="E109" s="44"/>
      <c r="F109" s="16"/>
      <c r="G109" s="16"/>
      <c r="H109" s="16"/>
      <c r="I109" s="20"/>
      <c r="J109" s="20"/>
      <c r="K109" s="45"/>
      <c r="L109" s="45"/>
      <c r="M109" s="46"/>
      <c r="N109" s="46"/>
      <c r="O109" s="46"/>
      <c r="P109" s="46"/>
      <c r="Q109" s="46"/>
      <c r="R109" s="46"/>
      <c r="S109" s="46"/>
      <c r="T109" s="16"/>
      <c r="U109" s="113"/>
      <c r="V109" s="22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</row>
    <row r="110" spans="1:39" ht="12.75" customHeight="1" x14ac:dyDescent="0.25">
      <c r="A110" s="25"/>
      <c r="B110" s="43"/>
      <c r="C110" s="44"/>
      <c r="D110" s="44"/>
      <c r="E110" s="44"/>
      <c r="F110" s="16"/>
      <c r="G110" s="16"/>
      <c r="H110" s="16"/>
      <c r="I110" s="20"/>
      <c r="J110" s="20"/>
      <c r="K110" s="45"/>
      <c r="L110" s="45"/>
      <c r="M110" s="46"/>
      <c r="N110" s="46"/>
      <c r="O110" s="46"/>
      <c r="P110" s="46"/>
      <c r="Q110" s="46"/>
      <c r="R110" s="46"/>
      <c r="S110" s="46"/>
      <c r="T110" s="16"/>
      <c r="U110" s="113"/>
      <c r="V110" s="22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</row>
    <row r="111" spans="1:39" ht="12.75" customHeight="1" x14ac:dyDescent="0.25">
      <c r="A111" s="25"/>
      <c r="B111" s="43"/>
      <c r="C111" s="44"/>
      <c r="D111" s="44"/>
      <c r="E111" s="44"/>
      <c r="F111" s="16"/>
      <c r="G111" s="16"/>
      <c r="H111" s="16"/>
      <c r="I111" s="20"/>
      <c r="J111" s="20"/>
      <c r="K111" s="45"/>
      <c r="L111" s="45"/>
      <c r="M111" s="46"/>
      <c r="N111" s="46"/>
      <c r="O111" s="46"/>
      <c r="P111" s="46"/>
      <c r="Q111" s="46"/>
      <c r="R111" s="46"/>
      <c r="S111" s="46"/>
      <c r="T111" s="16"/>
      <c r="U111" s="113"/>
      <c r="V111" s="22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</row>
    <row r="112" spans="1:39" ht="12.75" customHeight="1" x14ac:dyDescent="0.25">
      <c r="A112" s="25"/>
      <c r="B112" s="43"/>
      <c r="C112" s="44"/>
      <c r="D112" s="44"/>
      <c r="E112" s="44"/>
      <c r="F112" s="16"/>
      <c r="G112" s="16"/>
      <c r="H112" s="16"/>
      <c r="I112" s="20"/>
      <c r="J112" s="20"/>
      <c r="K112" s="45"/>
      <c r="L112" s="45"/>
      <c r="M112" s="46"/>
      <c r="N112" s="46"/>
      <c r="O112" s="46"/>
      <c r="P112" s="46"/>
      <c r="Q112" s="46"/>
      <c r="R112" s="46"/>
      <c r="S112" s="46"/>
      <c r="T112" s="16"/>
      <c r="U112" s="113"/>
      <c r="V112" s="22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</row>
    <row r="113" spans="1:39" ht="12.75" customHeight="1" x14ac:dyDescent="0.25">
      <c r="A113" s="25"/>
      <c r="B113" s="43"/>
      <c r="C113" s="44"/>
      <c r="D113" s="44"/>
      <c r="E113" s="44"/>
      <c r="F113" s="16"/>
      <c r="G113" s="16"/>
      <c r="H113" s="16"/>
      <c r="I113" s="20"/>
      <c r="J113" s="20"/>
      <c r="K113" s="45"/>
      <c r="L113" s="45"/>
      <c r="M113" s="46"/>
      <c r="N113" s="46"/>
      <c r="O113" s="46"/>
      <c r="P113" s="46"/>
      <c r="Q113" s="46"/>
      <c r="R113" s="46"/>
      <c r="S113" s="46"/>
      <c r="T113" s="16"/>
      <c r="U113" s="113"/>
      <c r="V113" s="22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</row>
    <row r="114" spans="1:39" ht="12.75" customHeight="1" x14ac:dyDescent="0.3">
      <c r="A114" s="25"/>
      <c r="B114" s="43"/>
      <c r="C114" s="44"/>
      <c r="D114" s="44"/>
      <c r="E114" s="44"/>
      <c r="F114" s="16"/>
      <c r="G114" s="16"/>
      <c r="H114" s="16"/>
      <c r="I114" s="20"/>
      <c r="J114" s="20"/>
      <c r="K114" s="45"/>
      <c r="L114" s="45"/>
      <c r="M114" s="46"/>
      <c r="N114" s="46"/>
      <c r="O114" s="46"/>
      <c r="P114" s="46"/>
      <c r="Q114" s="46"/>
      <c r="R114" s="46"/>
      <c r="S114" s="46"/>
      <c r="T114" s="16"/>
      <c r="U114" s="113"/>
      <c r="V114" s="22"/>
      <c r="W114" s="50" t="s">
        <v>51</v>
      </c>
      <c r="X114" s="50" t="s">
        <v>52</v>
      </c>
      <c r="Y114" s="50" t="s">
        <v>53</v>
      </c>
      <c r="Z114" s="51"/>
      <c r="AA114" s="51"/>
      <c r="AB114" s="52"/>
      <c r="AC114" s="52"/>
      <c r="AD114" s="52"/>
      <c r="AE114" s="52"/>
      <c r="AF114" s="52"/>
      <c r="AG114" s="52"/>
      <c r="AH114" s="52"/>
      <c r="AI114" s="53">
        <v>30</v>
      </c>
      <c r="AJ114" s="54" t="s">
        <v>54</v>
      </c>
      <c r="AK114" s="55"/>
      <c r="AL114" s="56" t="s">
        <v>55</v>
      </c>
      <c r="AM114" s="52"/>
    </row>
    <row r="115" spans="1:39" ht="12.75" customHeight="1" x14ac:dyDescent="0.3">
      <c r="A115" s="25"/>
      <c r="B115" s="43"/>
      <c r="C115" s="44"/>
      <c r="D115" s="44"/>
      <c r="E115" s="44"/>
      <c r="F115" s="16"/>
      <c r="G115" s="16"/>
      <c r="H115" s="16"/>
      <c r="I115" s="20"/>
      <c r="J115" s="20"/>
      <c r="K115" s="45"/>
      <c r="L115" s="45"/>
      <c r="M115" s="46"/>
      <c r="N115" s="46"/>
      <c r="O115" s="46"/>
      <c r="P115" s="46"/>
      <c r="Q115" s="46"/>
      <c r="R115" s="46"/>
      <c r="S115" s="46"/>
      <c r="T115" s="16"/>
      <c r="U115" s="113"/>
      <c r="V115" s="22"/>
      <c r="W115" s="50" t="s">
        <v>56</v>
      </c>
      <c r="X115" s="50" t="s">
        <v>52</v>
      </c>
      <c r="Y115" s="50" t="s">
        <v>57</v>
      </c>
      <c r="Z115" s="51"/>
      <c r="AA115" s="51"/>
      <c r="AB115" s="52"/>
      <c r="AC115" s="52"/>
      <c r="AD115" s="52"/>
      <c r="AE115" s="52"/>
      <c r="AF115" s="52"/>
      <c r="AG115" s="52"/>
      <c r="AH115" s="52"/>
      <c r="AI115" s="53">
        <v>31</v>
      </c>
      <c r="AJ115" s="54" t="s">
        <v>58</v>
      </c>
      <c r="AK115" s="55"/>
      <c r="AL115" s="56" t="s">
        <v>55</v>
      </c>
      <c r="AM115" s="52"/>
    </row>
    <row r="116" spans="1:39" ht="12.75" customHeight="1" x14ac:dyDescent="0.3">
      <c r="A116" s="25"/>
      <c r="B116" s="43"/>
      <c r="C116" s="44"/>
      <c r="D116" s="44"/>
      <c r="E116" s="44"/>
      <c r="F116" s="16"/>
      <c r="G116" s="16"/>
      <c r="H116" s="16"/>
      <c r="I116" s="20"/>
      <c r="J116" s="20"/>
      <c r="K116" s="45"/>
      <c r="L116" s="45"/>
      <c r="M116" s="46"/>
      <c r="N116" s="46"/>
      <c r="O116" s="46"/>
      <c r="P116" s="46"/>
      <c r="Q116" s="46"/>
      <c r="R116" s="46"/>
      <c r="S116" s="46"/>
      <c r="T116" s="16"/>
      <c r="U116" s="113"/>
      <c r="V116" s="22"/>
      <c r="W116" s="50" t="s">
        <v>59</v>
      </c>
      <c r="X116" s="50" t="s">
        <v>52</v>
      </c>
      <c r="Y116" s="50" t="s">
        <v>60</v>
      </c>
      <c r="Z116" s="51"/>
      <c r="AA116" s="51"/>
      <c r="AB116" s="52"/>
      <c r="AC116" s="52"/>
      <c r="AD116" s="52"/>
      <c r="AE116" s="52"/>
      <c r="AF116" s="52"/>
      <c r="AG116" s="52"/>
      <c r="AH116" s="52"/>
      <c r="AI116" s="53">
        <v>32</v>
      </c>
      <c r="AJ116" s="54" t="s">
        <v>61</v>
      </c>
      <c r="AK116" s="55"/>
      <c r="AL116" s="56" t="s">
        <v>62</v>
      </c>
      <c r="AM116" s="52"/>
    </row>
    <row r="117" spans="1:39" ht="12.75" customHeight="1" x14ac:dyDescent="0.3">
      <c r="A117" s="25"/>
      <c r="B117" s="43"/>
      <c r="C117" s="44"/>
      <c r="D117" s="44"/>
      <c r="E117" s="44"/>
      <c r="F117" s="16"/>
      <c r="G117" s="16"/>
      <c r="H117" s="16"/>
      <c r="I117" s="20"/>
      <c r="J117" s="20"/>
      <c r="K117" s="45"/>
      <c r="L117" s="45"/>
      <c r="M117" s="46"/>
      <c r="N117" s="46"/>
      <c r="O117" s="46"/>
      <c r="P117" s="46"/>
      <c r="Q117" s="46"/>
      <c r="R117" s="46"/>
      <c r="S117" s="46"/>
      <c r="T117" s="16"/>
      <c r="U117" s="113"/>
      <c r="V117" s="22"/>
      <c r="W117" s="57" t="s">
        <v>63</v>
      </c>
      <c r="X117" s="57" t="s">
        <v>52</v>
      </c>
      <c r="Y117" s="57" t="s">
        <v>64</v>
      </c>
      <c r="Z117" s="52"/>
      <c r="AA117" s="52"/>
      <c r="AB117" s="52"/>
      <c r="AC117" s="52"/>
      <c r="AD117" s="52"/>
      <c r="AE117" s="52"/>
      <c r="AF117" s="52"/>
      <c r="AG117" s="52"/>
      <c r="AH117" s="52"/>
      <c r="AI117" s="53">
        <v>24</v>
      </c>
      <c r="AJ117" s="54" t="s">
        <v>65</v>
      </c>
      <c r="AK117" s="55"/>
      <c r="AL117" s="56" t="s">
        <v>55</v>
      </c>
      <c r="AM117" s="52"/>
    </row>
    <row r="118" spans="1:39" ht="12.75" customHeight="1" x14ac:dyDescent="0.3">
      <c r="A118" s="25"/>
      <c r="B118" s="43"/>
      <c r="C118" s="44"/>
      <c r="D118" s="44"/>
      <c r="E118" s="44"/>
      <c r="F118" s="16"/>
      <c r="G118" s="16"/>
      <c r="H118" s="16"/>
      <c r="I118" s="20"/>
      <c r="J118" s="20"/>
      <c r="K118" s="45"/>
      <c r="L118" s="45"/>
      <c r="M118" s="46"/>
      <c r="N118" s="46"/>
      <c r="O118" s="46"/>
      <c r="P118" s="46"/>
      <c r="Q118" s="46"/>
      <c r="R118" s="46"/>
      <c r="S118" s="46"/>
      <c r="T118" s="16"/>
      <c r="U118" s="113"/>
      <c r="V118" s="22"/>
      <c r="W118" s="57" t="s">
        <v>66</v>
      </c>
      <c r="X118" s="57" t="s">
        <v>52</v>
      </c>
      <c r="Y118" s="57" t="s">
        <v>67</v>
      </c>
      <c r="Z118" s="52"/>
      <c r="AA118" s="52"/>
      <c r="AB118" s="52"/>
      <c r="AC118" s="52"/>
      <c r="AD118" s="52"/>
      <c r="AE118" s="52"/>
      <c r="AF118" s="52"/>
      <c r="AG118" s="52"/>
      <c r="AH118" s="52"/>
      <c r="AI118" s="53">
        <v>25</v>
      </c>
      <c r="AJ118" s="54" t="s">
        <v>68</v>
      </c>
      <c r="AK118" s="55"/>
      <c r="AL118" s="56" t="s">
        <v>55</v>
      </c>
      <c r="AM118" s="52"/>
    </row>
    <row r="119" spans="1:39" ht="12.75" customHeight="1" x14ac:dyDescent="0.3">
      <c r="A119" s="25"/>
      <c r="B119" s="43"/>
      <c r="C119" s="44"/>
      <c r="D119" s="44"/>
      <c r="E119" s="44"/>
      <c r="F119" s="16"/>
      <c r="G119" s="16"/>
      <c r="H119" s="16"/>
      <c r="I119" s="20"/>
      <c r="J119" s="20"/>
      <c r="K119" s="45"/>
      <c r="L119" s="45"/>
      <c r="M119" s="46"/>
      <c r="N119" s="46"/>
      <c r="O119" s="46"/>
      <c r="P119" s="46"/>
      <c r="Q119" s="46"/>
      <c r="R119" s="46"/>
      <c r="S119" s="46"/>
      <c r="T119" s="16"/>
      <c r="U119" s="113"/>
      <c r="V119" s="22"/>
      <c r="W119" s="57" t="s">
        <v>69</v>
      </c>
      <c r="X119" s="57" t="s">
        <v>52</v>
      </c>
      <c r="Y119" s="57" t="s">
        <v>70</v>
      </c>
      <c r="Z119" s="52"/>
      <c r="AA119" s="52"/>
      <c r="AB119" s="52"/>
      <c r="AC119" s="52"/>
      <c r="AD119" s="52"/>
      <c r="AE119" s="52"/>
      <c r="AF119" s="52"/>
      <c r="AG119" s="52"/>
      <c r="AH119" s="52"/>
      <c r="AI119" s="53">
        <v>26</v>
      </c>
      <c r="AJ119" s="54" t="s">
        <v>71</v>
      </c>
      <c r="AK119" s="55"/>
      <c r="AL119" s="56" t="s">
        <v>55</v>
      </c>
      <c r="AM119" s="52"/>
    </row>
    <row r="120" spans="1:39" ht="12.75" customHeight="1" x14ac:dyDescent="0.3">
      <c r="A120" s="25"/>
      <c r="B120" s="43"/>
      <c r="C120" s="44"/>
      <c r="D120" s="44"/>
      <c r="E120" s="44"/>
      <c r="F120" s="16"/>
      <c r="G120" s="16"/>
      <c r="H120" s="16"/>
      <c r="I120" s="20"/>
      <c r="J120" s="20"/>
      <c r="K120" s="45"/>
      <c r="L120" s="45"/>
      <c r="M120" s="46"/>
      <c r="N120" s="46"/>
      <c r="O120" s="46"/>
      <c r="P120" s="46"/>
      <c r="Q120" s="46"/>
      <c r="R120" s="46"/>
      <c r="S120" s="46"/>
      <c r="T120" s="16"/>
      <c r="U120" s="113"/>
      <c r="V120" s="22"/>
      <c r="W120" s="58" t="s">
        <v>72</v>
      </c>
      <c r="X120" s="58" t="s">
        <v>62</v>
      </c>
      <c r="Y120" s="58" t="s">
        <v>73</v>
      </c>
      <c r="Z120" s="52"/>
      <c r="AA120" s="52"/>
      <c r="AB120" s="52"/>
      <c r="AC120" s="52"/>
      <c r="AD120" s="52"/>
      <c r="AE120" s="52" t="s">
        <v>74</v>
      </c>
      <c r="AF120" s="52" t="str">
        <f t="shared" ref="AF120:AF122" si="0">+CONCATENATE("BLOQUE ",AE120)</f>
        <v>BLOQUE VI</v>
      </c>
      <c r="AG120" s="52"/>
      <c r="AH120" s="52"/>
      <c r="AI120" s="53">
        <v>3</v>
      </c>
      <c r="AJ120" s="54" t="s">
        <v>75</v>
      </c>
      <c r="AK120" s="59" t="e">
        <f>N128+N151+#REF!+N262+N345</f>
        <v>#REF!</v>
      </c>
      <c r="AL120" s="56" t="s">
        <v>55</v>
      </c>
      <c r="AM120" s="52"/>
    </row>
    <row r="121" spans="1:39" ht="12.75" customHeight="1" x14ac:dyDescent="0.3">
      <c r="A121" s="25"/>
      <c r="B121" s="43"/>
      <c r="C121" s="44"/>
      <c r="D121" s="44"/>
      <c r="E121" s="44"/>
      <c r="F121" s="16"/>
      <c r="G121" s="16"/>
      <c r="H121" s="16"/>
      <c r="I121" s="20"/>
      <c r="J121" s="20"/>
      <c r="K121" s="45"/>
      <c r="L121" s="45"/>
      <c r="M121" s="46"/>
      <c r="N121" s="46"/>
      <c r="O121" s="46"/>
      <c r="P121" s="46"/>
      <c r="Q121" s="46"/>
      <c r="R121" s="46"/>
      <c r="S121" s="46"/>
      <c r="T121" s="16"/>
      <c r="U121" s="113"/>
      <c r="V121" s="22"/>
      <c r="W121" s="60" t="s">
        <v>76</v>
      </c>
      <c r="X121" s="60" t="s">
        <v>62</v>
      </c>
      <c r="Y121" s="60" t="s">
        <v>77</v>
      </c>
      <c r="Z121" s="52"/>
      <c r="AA121" s="52"/>
      <c r="AB121" s="52"/>
      <c r="AC121" s="52"/>
      <c r="AD121" s="52"/>
      <c r="AE121" s="52" t="s">
        <v>78</v>
      </c>
      <c r="AF121" s="52" t="str">
        <f t="shared" si="0"/>
        <v>BLOQUE VII</v>
      </c>
      <c r="AG121" s="52"/>
      <c r="AH121" s="52"/>
      <c r="AI121" s="53">
        <v>4</v>
      </c>
      <c r="AJ121" s="54" t="s">
        <v>79</v>
      </c>
      <c r="AK121" s="59">
        <f>N125+N154+N225+N265+N348</f>
        <v>0</v>
      </c>
      <c r="AL121" s="56" t="s">
        <v>55</v>
      </c>
      <c r="AM121" s="52"/>
    </row>
    <row r="122" spans="1:39" ht="12.75" customHeight="1" x14ac:dyDescent="0.3">
      <c r="A122" s="25"/>
      <c r="B122" s="43"/>
      <c r="C122" s="44"/>
      <c r="D122" s="44"/>
      <c r="E122" s="44"/>
      <c r="F122" s="16"/>
      <c r="G122" s="16"/>
      <c r="H122" s="16"/>
      <c r="I122" s="20"/>
      <c r="J122" s="20"/>
      <c r="K122" s="45"/>
      <c r="L122" s="45"/>
      <c r="M122" s="46"/>
      <c r="N122" s="46"/>
      <c r="O122" s="46"/>
      <c r="P122" s="46"/>
      <c r="Q122" s="46"/>
      <c r="R122" s="46"/>
      <c r="S122" s="46"/>
      <c r="T122" s="16"/>
      <c r="U122" s="113"/>
      <c r="V122" s="22"/>
      <c r="W122" s="57" t="s">
        <v>80</v>
      </c>
      <c r="X122" s="57" t="s">
        <v>62</v>
      </c>
      <c r="Y122" s="60" t="s">
        <v>81</v>
      </c>
      <c r="Z122" s="61"/>
      <c r="AA122" s="61"/>
      <c r="AB122" s="52"/>
      <c r="AC122" s="52"/>
      <c r="AD122" s="52"/>
      <c r="AE122" s="52" t="s">
        <v>82</v>
      </c>
      <c r="AF122" s="52" t="str">
        <f t="shared" si="0"/>
        <v>BLOQUE VIII</v>
      </c>
      <c r="AG122" s="52"/>
      <c r="AH122" s="52"/>
      <c r="AI122" s="53">
        <v>5</v>
      </c>
      <c r="AJ122" s="54" t="s">
        <v>83</v>
      </c>
      <c r="AK122" s="55"/>
      <c r="AL122" s="56" t="s">
        <v>62</v>
      </c>
      <c r="AM122" s="52"/>
    </row>
    <row r="123" spans="1:39" ht="12.75" customHeight="1" x14ac:dyDescent="0.3">
      <c r="A123" s="25"/>
      <c r="B123" s="43"/>
      <c r="C123" s="44"/>
      <c r="D123" s="44"/>
      <c r="E123" s="44"/>
      <c r="F123" s="16"/>
      <c r="G123" s="16"/>
      <c r="H123" s="16"/>
      <c r="I123" s="20"/>
      <c r="J123" s="20"/>
      <c r="K123" s="45"/>
      <c r="L123" s="45"/>
      <c r="M123" s="46"/>
      <c r="N123" s="46"/>
      <c r="O123" s="46"/>
      <c r="P123" s="46"/>
      <c r="Q123" s="46"/>
      <c r="R123" s="46"/>
      <c r="S123" s="46"/>
      <c r="T123" s="16"/>
      <c r="U123" s="113"/>
      <c r="V123" s="22"/>
      <c r="W123" s="62" t="s">
        <v>84</v>
      </c>
      <c r="X123" s="62" t="s">
        <v>52</v>
      </c>
      <c r="Y123" s="62" t="s">
        <v>85</v>
      </c>
      <c r="Z123" s="51"/>
      <c r="AA123" s="51"/>
      <c r="AB123" s="52"/>
      <c r="AC123" s="52"/>
      <c r="AD123" s="52"/>
      <c r="AE123" s="52"/>
      <c r="AF123" s="52"/>
      <c r="AG123" s="52"/>
      <c r="AH123" s="52"/>
      <c r="AI123" s="53">
        <v>12</v>
      </c>
      <c r="AJ123" s="54" t="s">
        <v>86</v>
      </c>
      <c r="AK123" s="55"/>
      <c r="AL123" s="56" t="s">
        <v>55</v>
      </c>
      <c r="AM123" s="52"/>
    </row>
    <row r="124" spans="1:39" ht="12" customHeight="1" x14ac:dyDescent="0.3">
      <c r="A124" s="25"/>
      <c r="B124" s="43"/>
      <c r="C124" s="44"/>
      <c r="D124" s="44"/>
      <c r="E124" s="44"/>
      <c r="F124" s="16"/>
      <c r="G124" s="16"/>
      <c r="H124" s="16"/>
      <c r="I124" s="20"/>
      <c r="J124" s="20"/>
      <c r="K124" s="45"/>
      <c r="L124" s="45"/>
      <c r="M124" s="46"/>
      <c r="N124" s="46"/>
      <c r="O124" s="46"/>
      <c r="P124" s="46"/>
      <c r="Q124" s="46"/>
      <c r="R124" s="46"/>
      <c r="S124" s="46"/>
      <c r="T124" s="16"/>
      <c r="U124" s="113"/>
      <c r="V124" s="22"/>
      <c r="W124" s="62" t="s">
        <v>87</v>
      </c>
      <c r="X124" s="62" t="s">
        <v>52</v>
      </c>
      <c r="Y124" s="62" t="s">
        <v>88</v>
      </c>
      <c r="Z124" s="51"/>
      <c r="AA124" s="51"/>
      <c r="AB124" s="52"/>
      <c r="AC124" s="52"/>
      <c r="AD124" s="52"/>
      <c r="AE124" s="52"/>
      <c r="AF124" s="52"/>
      <c r="AG124" s="52"/>
      <c r="AH124" s="52"/>
      <c r="AI124" s="53">
        <v>13</v>
      </c>
      <c r="AJ124" s="54" t="s">
        <v>89</v>
      </c>
      <c r="AK124" s="59">
        <f>N157+N228+N271+N351</f>
        <v>0</v>
      </c>
      <c r="AL124" s="56" t="s">
        <v>55</v>
      </c>
      <c r="AM124" s="52"/>
    </row>
    <row r="125" spans="1:39" ht="12.75" customHeight="1" x14ac:dyDescent="0.3">
      <c r="A125" s="25"/>
      <c r="B125" s="43"/>
      <c r="C125" s="44"/>
      <c r="D125" s="44"/>
      <c r="E125" s="44"/>
      <c r="F125" s="16"/>
      <c r="G125" s="16"/>
      <c r="H125" s="16"/>
      <c r="I125" s="20"/>
      <c r="J125" s="20"/>
      <c r="K125" s="45"/>
      <c r="L125" s="45"/>
      <c r="M125" s="46"/>
      <c r="N125" s="46"/>
      <c r="O125" s="46"/>
      <c r="P125" s="46"/>
      <c r="Q125" s="46"/>
      <c r="R125" s="46"/>
      <c r="S125" s="46"/>
      <c r="T125" s="16"/>
      <c r="U125" s="113"/>
      <c r="V125" s="22"/>
      <c r="W125" s="57" t="s">
        <v>90</v>
      </c>
      <c r="X125" s="57" t="s">
        <v>52</v>
      </c>
      <c r="Y125" s="57" t="s">
        <v>91</v>
      </c>
      <c r="Z125" s="61"/>
      <c r="AA125" s="61"/>
      <c r="AB125" s="52"/>
      <c r="AC125" s="52"/>
      <c r="AD125" s="52"/>
      <c r="AE125" s="52"/>
      <c r="AF125" s="52"/>
      <c r="AG125" s="52"/>
      <c r="AH125" s="52"/>
      <c r="AI125" s="53">
        <v>14</v>
      </c>
      <c r="AJ125" s="54" t="s">
        <v>92</v>
      </c>
      <c r="AK125" s="55"/>
      <c r="AL125" s="56" t="s">
        <v>55</v>
      </c>
      <c r="AM125" s="52"/>
    </row>
    <row r="126" spans="1:39" ht="12.75" customHeight="1" x14ac:dyDescent="0.3">
      <c r="A126" s="25"/>
      <c r="B126" s="43"/>
      <c r="C126" s="44"/>
      <c r="D126" s="44"/>
      <c r="E126" s="44"/>
      <c r="F126" s="16"/>
      <c r="G126" s="16"/>
      <c r="H126" s="16"/>
      <c r="I126" s="20"/>
      <c r="J126" s="20"/>
      <c r="K126" s="45"/>
      <c r="L126" s="45"/>
      <c r="M126" s="46"/>
      <c r="N126" s="46"/>
      <c r="O126" s="46"/>
      <c r="P126" s="46"/>
      <c r="Q126" s="46"/>
      <c r="R126" s="46"/>
      <c r="S126" s="46"/>
      <c r="T126" s="16"/>
      <c r="U126" s="113"/>
      <c r="V126" s="22"/>
      <c r="W126" s="63" t="s">
        <v>93</v>
      </c>
      <c r="X126" s="63" t="s">
        <v>52</v>
      </c>
      <c r="Y126" s="63" t="s">
        <v>94</v>
      </c>
      <c r="Z126" s="64"/>
      <c r="AA126" s="64"/>
      <c r="AB126" s="52"/>
      <c r="AC126" s="52"/>
      <c r="AD126" s="52"/>
      <c r="AE126" s="52" t="s">
        <v>95</v>
      </c>
      <c r="AF126" s="52" t="str">
        <f>+CONCATENATE("BLOQUE ",AE126)</f>
        <v>BLOQUE XIV</v>
      </c>
      <c r="AG126" s="52"/>
      <c r="AH126" s="52"/>
      <c r="AI126" s="53">
        <v>9</v>
      </c>
      <c r="AJ126" s="54" t="s">
        <v>96</v>
      </c>
      <c r="AK126" s="55"/>
      <c r="AL126" s="56" t="s">
        <v>62</v>
      </c>
      <c r="AM126" s="52"/>
    </row>
    <row r="127" spans="1:39" ht="12.75" customHeight="1" x14ac:dyDescent="0.3">
      <c r="A127" s="25"/>
      <c r="B127" s="43"/>
      <c r="C127" s="44"/>
      <c r="D127" s="44"/>
      <c r="E127" s="44"/>
      <c r="F127" s="16"/>
      <c r="G127" s="16"/>
      <c r="H127" s="16"/>
      <c r="I127" s="20"/>
      <c r="J127" s="20"/>
      <c r="K127" s="45"/>
      <c r="L127" s="45"/>
      <c r="M127" s="46"/>
      <c r="N127" s="46"/>
      <c r="O127" s="46"/>
      <c r="P127" s="46"/>
      <c r="Q127" s="46"/>
      <c r="R127" s="46"/>
      <c r="S127" s="46"/>
      <c r="T127" s="16"/>
      <c r="U127" s="113"/>
      <c r="V127" s="22"/>
      <c r="W127" s="63" t="s">
        <v>97</v>
      </c>
      <c r="X127" s="63" t="s">
        <v>52</v>
      </c>
      <c r="Y127" s="63" t="s">
        <v>98</v>
      </c>
      <c r="Z127" s="64"/>
      <c r="AA127" s="64"/>
      <c r="AB127" s="52"/>
      <c r="AC127" s="52"/>
      <c r="AD127" s="52"/>
      <c r="AE127" s="52"/>
      <c r="AF127" s="52"/>
      <c r="AG127" s="52"/>
      <c r="AH127" s="52"/>
      <c r="AI127" s="53">
        <v>10</v>
      </c>
      <c r="AJ127" s="54" t="s">
        <v>99</v>
      </c>
      <c r="AK127" s="55"/>
      <c r="AL127" s="56" t="s">
        <v>62</v>
      </c>
      <c r="AM127" s="52"/>
    </row>
    <row r="128" spans="1:39" ht="12.75" customHeight="1" x14ac:dyDescent="0.3">
      <c r="A128" s="25"/>
      <c r="B128" s="43"/>
      <c r="C128" s="44"/>
      <c r="D128" s="44"/>
      <c r="E128" s="44"/>
      <c r="F128" s="16"/>
      <c r="G128" s="16"/>
      <c r="H128" s="16"/>
      <c r="I128" s="20"/>
      <c r="J128" s="20"/>
      <c r="K128" s="45"/>
      <c r="L128" s="45"/>
      <c r="M128" s="46"/>
      <c r="N128" s="46"/>
      <c r="O128" s="46"/>
      <c r="P128" s="46"/>
      <c r="Q128" s="46"/>
      <c r="R128" s="46"/>
      <c r="S128" s="46"/>
      <c r="T128" s="16"/>
      <c r="U128" s="113"/>
      <c r="V128" s="22"/>
      <c r="W128" s="62" t="s">
        <v>100</v>
      </c>
      <c r="X128" s="62" t="s">
        <v>52</v>
      </c>
      <c r="Y128" s="62" t="s">
        <v>101</v>
      </c>
      <c r="Z128" s="51"/>
      <c r="AA128" s="51"/>
      <c r="AB128" s="52"/>
      <c r="AC128" s="52"/>
      <c r="AD128" s="52"/>
      <c r="AE128" s="52"/>
      <c r="AF128" s="52"/>
      <c r="AG128" s="52"/>
      <c r="AH128" s="52"/>
      <c r="AI128" s="53">
        <v>11</v>
      </c>
      <c r="AJ128" s="54" t="s">
        <v>102</v>
      </c>
      <c r="AK128" s="55"/>
      <c r="AL128" s="56" t="s">
        <v>55</v>
      </c>
      <c r="AM128" s="52"/>
    </row>
    <row r="129" spans="1:39" ht="12.75" customHeight="1" x14ac:dyDescent="0.3">
      <c r="A129" s="25"/>
      <c r="B129" s="43"/>
      <c r="C129" s="44"/>
      <c r="D129" s="44"/>
      <c r="E129" s="44"/>
      <c r="F129" s="16"/>
      <c r="G129" s="16"/>
      <c r="H129" s="16"/>
      <c r="I129" s="20"/>
      <c r="J129" s="20"/>
      <c r="K129" s="45"/>
      <c r="L129" s="45"/>
      <c r="M129" s="46"/>
      <c r="N129" s="46"/>
      <c r="O129" s="46"/>
      <c r="P129" s="46"/>
      <c r="Q129" s="46"/>
      <c r="R129" s="46"/>
      <c r="S129" s="46"/>
      <c r="T129" s="16"/>
      <c r="U129" s="113"/>
      <c r="V129" s="22"/>
      <c r="W129" s="57" t="s">
        <v>103</v>
      </c>
      <c r="X129" s="57" t="s">
        <v>62</v>
      </c>
      <c r="Y129" s="57" t="s">
        <v>104</v>
      </c>
      <c r="Z129" s="61"/>
      <c r="AA129" s="61"/>
      <c r="AB129" s="52"/>
      <c r="AC129" s="52"/>
      <c r="AD129" s="52"/>
      <c r="AE129" s="52" t="s">
        <v>105</v>
      </c>
      <c r="AF129" s="52" t="str">
        <f t="shared" ref="AF129:AF131" si="1">+CONCATENATE("BLOQUE ",AE129)</f>
        <v>BLOQUE IX</v>
      </c>
      <c r="AG129" s="52"/>
      <c r="AH129" s="52"/>
      <c r="AI129" s="53">
        <v>6</v>
      </c>
      <c r="AJ129" s="54" t="s">
        <v>106</v>
      </c>
      <c r="AK129" s="55"/>
      <c r="AL129" s="56" t="s">
        <v>55</v>
      </c>
      <c r="AM129" s="52"/>
    </row>
    <row r="130" spans="1:39" ht="12.75" customHeight="1" x14ac:dyDescent="0.3">
      <c r="A130" s="25"/>
      <c r="B130" s="43"/>
      <c r="C130" s="44"/>
      <c r="D130" s="44"/>
      <c r="E130" s="44"/>
      <c r="F130" s="16"/>
      <c r="G130" s="16"/>
      <c r="H130" s="16"/>
      <c r="I130" s="20"/>
      <c r="J130" s="20"/>
      <c r="K130" s="45"/>
      <c r="L130" s="45"/>
      <c r="M130" s="46"/>
      <c r="N130" s="46"/>
      <c r="O130" s="46"/>
      <c r="P130" s="46"/>
      <c r="Q130" s="46"/>
      <c r="R130" s="46"/>
      <c r="S130" s="46"/>
      <c r="T130" s="16"/>
      <c r="U130" s="113"/>
      <c r="V130" s="22"/>
      <c r="W130" s="57" t="s">
        <v>107</v>
      </c>
      <c r="X130" s="57" t="s">
        <v>62</v>
      </c>
      <c r="Y130" s="57" t="s">
        <v>108</v>
      </c>
      <c r="Z130" s="61"/>
      <c r="AA130" s="61"/>
      <c r="AB130" s="52"/>
      <c r="AC130" s="52"/>
      <c r="AD130" s="52"/>
      <c r="AE130" s="52" t="s">
        <v>109</v>
      </c>
      <c r="AF130" s="52" t="str">
        <f t="shared" si="1"/>
        <v>BLOQUE X</v>
      </c>
      <c r="AG130" s="52"/>
      <c r="AH130" s="52"/>
      <c r="AI130" s="53">
        <v>7</v>
      </c>
      <c r="AJ130" s="54" t="s">
        <v>110</v>
      </c>
      <c r="AK130" s="55"/>
      <c r="AL130" s="56" t="s">
        <v>55</v>
      </c>
      <c r="AM130" s="52"/>
    </row>
    <row r="131" spans="1:39" ht="12.75" customHeight="1" x14ac:dyDescent="0.3">
      <c r="A131" s="25"/>
      <c r="B131" s="43"/>
      <c r="C131" s="44"/>
      <c r="D131" s="44"/>
      <c r="E131" s="44"/>
      <c r="F131" s="16"/>
      <c r="G131" s="16"/>
      <c r="H131" s="16"/>
      <c r="I131" s="20"/>
      <c r="J131" s="20"/>
      <c r="K131" s="45"/>
      <c r="L131" s="45"/>
      <c r="M131" s="46"/>
      <c r="N131" s="46"/>
      <c r="O131" s="46"/>
      <c r="P131" s="46"/>
      <c r="Q131" s="46"/>
      <c r="R131" s="46"/>
      <c r="S131" s="46"/>
      <c r="T131" s="16"/>
      <c r="U131" s="113"/>
      <c r="V131" s="22"/>
      <c r="W131" s="57" t="s">
        <v>111</v>
      </c>
      <c r="X131" s="57" t="s">
        <v>62</v>
      </c>
      <c r="Y131" s="57" t="s">
        <v>112</v>
      </c>
      <c r="Z131" s="61"/>
      <c r="AA131" s="61"/>
      <c r="AB131" s="52"/>
      <c r="AC131" s="52"/>
      <c r="AD131" s="52"/>
      <c r="AE131" s="52" t="s">
        <v>113</v>
      </c>
      <c r="AF131" s="52" t="str">
        <f t="shared" si="1"/>
        <v>BLOQUE XI</v>
      </c>
      <c r="AG131" s="52"/>
      <c r="AH131" s="52"/>
      <c r="AI131" s="53">
        <v>8</v>
      </c>
      <c r="AJ131" s="54" t="s">
        <v>114</v>
      </c>
      <c r="AK131" s="55"/>
      <c r="AL131" s="56" t="s">
        <v>55</v>
      </c>
      <c r="AM131" s="52"/>
    </row>
    <row r="132" spans="1:39" ht="12.75" customHeight="1" x14ac:dyDescent="0.3">
      <c r="A132" s="25"/>
      <c r="B132" s="43"/>
      <c r="C132" s="44"/>
      <c r="D132" s="44"/>
      <c r="E132" s="44"/>
      <c r="F132" s="16"/>
      <c r="G132" s="16"/>
      <c r="H132" s="16"/>
      <c r="I132" s="20"/>
      <c r="J132" s="20"/>
      <c r="K132" s="45"/>
      <c r="L132" s="45"/>
      <c r="M132" s="46"/>
      <c r="N132" s="46"/>
      <c r="O132" s="46"/>
      <c r="P132" s="46"/>
      <c r="Q132" s="46"/>
      <c r="R132" s="46"/>
      <c r="S132" s="46"/>
      <c r="T132" s="16"/>
      <c r="U132" s="113"/>
      <c r="V132" s="22"/>
      <c r="W132" s="57" t="s">
        <v>115</v>
      </c>
      <c r="X132" s="57" t="s">
        <v>52</v>
      </c>
      <c r="Y132" s="57" t="s">
        <v>116</v>
      </c>
      <c r="Z132" s="52"/>
      <c r="AA132" s="52"/>
      <c r="AB132" s="52"/>
      <c r="AC132" s="52"/>
      <c r="AD132" s="52"/>
      <c r="AE132" s="52"/>
      <c r="AF132" s="52"/>
      <c r="AG132" s="52"/>
      <c r="AH132" s="52"/>
      <c r="AI132" s="53">
        <v>21</v>
      </c>
      <c r="AJ132" s="54" t="s">
        <v>117</v>
      </c>
      <c r="AK132" s="55"/>
      <c r="AL132" s="56" t="s">
        <v>62</v>
      </c>
      <c r="AM132" s="52"/>
    </row>
    <row r="133" spans="1:39" ht="12.75" customHeight="1" x14ac:dyDescent="0.3">
      <c r="A133" s="25"/>
      <c r="B133" s="43"/>
      <c r="C133" s="44"/>
      <c r="D133" s="44"/>
      <c r="E133" s="44"/>
      <c r="F133" s="16"/>
      <c r="G133" s="16"/>
      <c r="H133" s="16"/>
      <c r="I133" s="20"/>
      <c r="J133" s="20"/>
      <c r="K133" s="45"/>
      <c r="L133" s="45"/>
      <c r="M133" s="46"/>
      <c r="N133" s="46"/>
      <c r="O133" s="46"/>
      <c r="P133" s="46"/>
      <c r="Q133" s="46"/>
      <c r="R133" s="46"/>
      <c r="S133" s="46"/>
      <c r="T133" s="16"/>
      <c r="U133" s="113"/>
      <c r="V133" s="22"/>
      <c r="W133" s="57" t="s">
        <v>118</v>
      </c>
      <c r="X133" s="57" t="s">
        <v>52</v>
      </c>
      <c r="Y133" s="57" t="s">
        <v>119</v>
      </c>
      <c r="Z133" s="52"/>
      <c r="AA133" s="52"/>
      <c r="AB133" s="52"/>
      <c r="AC133" s="52"/>
      <c r="AD133" s="52"/>
      <c r="AE133" s="52"/>
      <c r="AF133" s="52"/>
      <c r="AG133" s="52"/>
      <c r="AH133" s="52"/>
      <c r="AI133" s="53">
        <v>22</v>
      </c>
      <c r="AJ133" s="54" t="s">
        <v>120</v>
      </c>
      <c r="AK133" s="55"/>
      <c r="AL133" s="56" t="s">
        <v>62</v>
      </c>
      <c r="AM133" s="52"/>
    </row>
    <row r="134" spans="1:39" ht="12.75" customHeight="1" x14ac:dyDescent="0.3">
      <c r="A134" s="25"/>
      <c r="B134" s="43"/>
      <c r="C134" s="44"/>
      <c r="D134" s="44"/>
      <c r="E134" s="44"/>
      <c r="F134" s="16"/>
      <c r="G134" s="16"/>
      <c r="H134" s="16"/>
      <c r="I134" s="20"/>
      <c r="J134" s="20"/>
      <c r="K134" s="45"/>
      <c r="L134" s="45"/>
      <c r="M134" s="46"/>
      <c r="N134" s="46"/>
      <c r="O134" s="46"/>
      <c r="P134" s="46"/>
      <c r="Q134" s="46"/>
      <c r="R134" s="46"/>
      <c r="S134" s="46"/>
      <c r="T134" s="16"/>
      <c r="U134" s="113"/>
      <c r="V134" s="22"/>
      <c r="W134" s="57" t="s">
        <v>121</v>
      </c>
      <c r="X134" s="57" t="s">
        <v>52</v>
      </c>
      <c r="Y134" s="57" t="s">
        <v>122</v>
      </c>
      <c r="Z134" s="52"/>
      <c r="AA134" s="52"/>
      <c r="AB134" s="52"/>
      <c r="AC134" s="52"/>
      <c r="AD134" s="52"/>
      <c r="AE134" s="52"/>
      <c r="AF134" s="52"/>
      <c r="AG134" s="52"/>
      <c r="AH134" s="52"/>
      <c r="AI134" s="53">
        <v>23</v>
      </c>
      <c r="AJ134" s="54" t="s">
        <v>123</v>
      </c>
      <c r="AK134" s="55"/>
      <c r="AL134" s="56" t="s">
        <v>55</v>
      </c>
      <c r="AM134" s="52"/>
    </row>
    <row r="135" spans="1:39" ht="12.75" customHeight="1" x14ac:dyDescent="0.3">
      <c r="A135" s="25"/>
      <c r="B135" s="43"/>
      <c r="C135" s="44"/>
      <c r="D135" s="44"/>
      <c r="E135" s="44"/>
      <c r="F135" s="16"/>
      <c r="G135" s="16"/>
      <c r="H135" s="16"/>
      <c r="I135" s="20"/>
      <c r="J135" s="20"/>
      <c r="K135" s="45"/>
      <c r="L135" s="45"/>
      <c r="M135" s="46"/>
      <c r="N135" s="46"/>
      <c r="O135" s="46"/>
      <c r="P135" s="46"/>
      <c r="Q135" s="46"/>
      <c r="R135" s="46"/>
      <c r="S135" s="46"/>
      <c r="T135" s="16"/>
      <c r="U135" s="113"/>
      <c r="V135" s="22"/>
      <c r="W135" s="60" t="s">
        <v>124</v>
      </c>
      <c r="X135" s="60" t="s">
        <v>52</v>
      </c>
      <c r="Y135" s="57" t="s">
        <v>125</v>
      </c>
      <c r="Z135" s="52"/>
      <c r="AA135" s="52"/>
      <c r="AB135" s="52"/>
      <c r="AC135" s="52"/>
      <c r="AD135" s="52"/>
      <c r="AE135" s="52"/>
      <c r="AF135" s="52"/>
      <c r="AG135" s="52"/>
      <c r="AH135" s="52"/>
      <c r="AI135" s="53">
        <v>27</v>
      </c>
      <c r="AJ135" s="54" t="s">
        <v>126</v>
      </c>
      <c r="AK135" s="55"/>
      <c r="AL135" s="56" t="s">
        <v>55</v>
      </c>
      <c r="AM135" s="52"/>
    </row>
    <row r="136" spans="1:39" ht="12.75" customHeight="1" x14ac:dyDescent="0.3">
      <c r="A136" s="25"/>
      <c r="B136" s="43"/>
      <c r="C136" s="44"/>
      <c r="D136" s="44"/>
      <c r="E136" s="44"/>
      <c r="F136" s="16"/>
      <c r="G136" s="16"/>
      <c r="H136" s="16"/>
      <c r="I136" s="20"/>
      <c r="J136" s="20"/>
      <c r="K136" s="45"/>
      <c r="L136" s="45"/>
      <c r="M136" s="46"/>
      <c r="N136" s="46"/>
      <c r="O136" s="46"/>
      <c r="P136" s="46"/>
      <c r="Q136" s="46"/>
      <c r="R136" s="46"/>
      <c r="S136" s="46"/>
      <c r="T136" s="16"/>
      <c r="U136" s="113"/>
      <c r="V136" s="22"/>
      <c r="W136" s="60" t="s">
        <v>127</v>
      </c>
      <c r="X136" s="60" t="s">
        <v>62</v>
      </c>
      <c r="Y136" s="60" t="s">
        <v>128</v>
      </c>
      <c r="Z136" s="52"/>
      <c r="AA136" s="52"/>
      <c r="AB136" s="52"/>
      <c r="AC136" s="52"/>
      <c r="AD136" s="52"/>
      <c r="AE136" s="52"/>
      <c r="AF136" s="52"/>
      <c r="AG136" s="52"/>
      <c r="AH136" s="52"/>
      <c r="AI136" s="53">
        <v>28</v>
      </c>
      <c r="AJ136" s="54" t="s">
        <v>129</v>
      </c>
      <c r="AK136" s="55"/>
      <c r="AL136" s="56" t="s">
        <v>55</v>
      </c>
      <c r="AM136" s="52"/>
    </row>
    <row r="137" spans="1:39" ht="12.75" customHeight="1" x14ac:dyDescent="0.3">
      <c r="A137" s="25"/>
      <c r="B137" s="43"/>
      <c r="C137" s="44"/>
      <c r="D137" s="44"/>
      <c r="E137" s="44"/>
      <c r="F137" s="16"/>
      <c r="G137" s="16"/>
      <c r="H137" s="16"/>
      <c r="I137" s="20"/>
      <c r="J137" s="20"/>
      <c r="K137" s="45"/>
      <c r="L137" s="45"/>
      <c r="M137" s="46"/>
      <c r="N137" s="46"/>
      <c r="O137" s="46"/>
      <c r="P137" s="46"/>
      <c r="Q137" s="46"/>
      <c r="R137" s="46"/>
      <c r="S137" s="46"/>
      <c r="T137" s="16"/>
      <c r="U137" s="113"/>
      <c r="V137" s="22"/>
      <c r="W137" s="60" t="s">
        <v>130</v>
      </c>
      <c r="X137" s="60" t="s">
        <v>62</v>
      </c>
      <c r="Y137" s="60" t="s">
        <v>131</v>
      </c>
      <c r="Z137" s="52"/>
      <c r="AA137" s="52"/>
      <c r="AB137" s="52"/>
      <c r="AC137" s="52"/>
      <c r="AD137" s="52"/>
      <c r="AE137" s="52"/>
      <c r="AF137" s="52"/>
      <c r="AG137" s="52"/>
      <c r="AH137" s="52"/>
      <c r="AI137" s="53">
        <v>29</v>
      </c>
      <c r="AJ137" s="54" t="s">
        <v>132</v>
      </c>
      <c r="AK137" s="55"/>
      <c r="AL137" s="56" t="s">
        <v>55</v>
      </c>
      <c r="AM137" s="52"/>
    </row>
    <row r="138" spans="1:39" ht="12.75" customHeight="1" x14ac:dyDescent="0.3">
      <c r="A138" s="25"/>
      <c r="B138" s="43"/>
      <c r="C138" s="44"/>
      <c r="D138" s="44"/>
      <c r="E138" s="44"/>
      <c r="F138" s="16"/>
      <c r="G138" s="16"/>
      <c r="H138" s="16"/>
      <c r="I138" s="20"/>
      <c r="J138" s="20"/>
      <c r="K138" s="45"/>
      <c r="L138" s="45"/>
      <c r="M138" s="46"/>
      <c r="N138" s="46"/>
      <c r="O138" s="46"/>
      <c r="P138" s="46"/>
      <c r="Q138" s="46"/>
      <c r="R138" s="46"/>
      <c r="S138" s="46"/>
      <c r="T138" s="16"/>
      <c r="U138" s="113"/>
      <c r="V138" s="22"/>
      <c r="W138" s="57" t="s">
        <v>133</v>
      </c>
      <c r="X138" s="57" t="s">
        <v>52</v>
      </c>
      <c r="Y138" s="57" t="s">
        <v>134</v>
      </c>
      <c r="Z138" s="52"/>
      <c r="AA138" s="52"/>
      <c r="AB138" s="52"/>
      <c r="AC138" s="52"/>
      <c r="AD138" s="52"/>
      <c r="AE138" s="52"/>
      <c r="AF138" s="52"/>
      <c r="AG138" s="52"/>
      <c r="AH138" s="52"/>
      <c r="AI138" s="53">
        <v>18</v>
      </c>
      <c r="AJ138" s="54" t="s">
        <v>135</v>
      </c>
      <c r="AK138" s="59">
        <f>N140+N160+N234+N277+N357</f>
        <v>0</v>
      </c>
      <c r="AL138" s="56" t="s">
        <v>55</v>
      </c>
      <c r="AM138" s="52"/>
    </row>
    <row r="139" spans="1:39" ht="12.75" customHeight="1" x14ac:dyDescent="0.3">
      <c r="A139" s="25"/>
      <c r="B139" s="43"/>
      <c r="C139" s="44"/>
      <c r="D139" s="44"/>
      <c r="E139" s="44"/>
      <c r="F139" s="16"/>
      <c r="G139" s="16"/>
      <c r="H139" s="16"/>
      <c r="I139" s="20"/>
      <c r="J139" s="20"/>
      <c r="K139" s="45"/>
      <c r="L139" s="45"/>
      <c r="M139" s="46"/>
      <c r="N139" s="46"/>
      <c r="O139" s="46"/>
      <c r="P139" s="46"/>
      <c r="Q139" s="46"/>
      <c r="R139" s="46"/>
      <c r="S139" s="46"/>
      <c r="T139" s="16"/>
      <c r="U139" s="113"/>
      <c r="V139" s="22"/>
      <c r="W139" s="57" t="s">
        <v>136</v>
      </c>
      <c r="X139" s="57" t="s">
        <v>62</v>
      </c>
      <c r="Y139" s="57" t="s">
        <v>137</v>
      </c>
      <c r="Z139" s="52"/>
      <c r="AA139" s="52"/>
      <c r="AB139" s="52"/>
      <c r="AC139" s="52"/>
      <c r="AD139" s="52"/>
      <c r="AE139" s="52"/>
      <c r="AF139" s="52"/>
      <c r="AG139" s="52"/>
      <c r="AH139" s="52"/>
      <c r="AI139" s="53">
        <v>19</v>
      </c>
      <c r="AJ139" s="54" t="s">
        <v>138</v>
      </c>
      <c r="AK139" s="55"/>
      <c r="AL139" s="56" t="s">
        <v>62</v>
      </c>
      <c r="AM139" s="52"/>
    </row>
    <row r="140" spans="1:39" ht="12.75" customHeight="1" x14ac:dyDescent="0.3">
      <c r="A140" s="25"/>
      <c r="B140" s="43"/>
      <c r="C140" s="44"/>
      <c r="D140" s="44"/>
      <c r="E140" s="44"/>
      <c r="F140" s="16"/>
      <c r="G140" s="16"/>
      <c r="H140" s="16"/>
      <c r="I140" s="20"/>
      <c r="J140" s="20"/>
      <c r="K140" s="45"/>
      <c r="L140" s="45"/>
      <c r="M140" s="46"/>
      <c r="N140" s="46"/>
      <c r="O140" s="46"/>
      <c r="P140" s="46"/>
      <c r="Q140" s="46"/>
      <c r="R140" s="46"/>
      <c r="S140" s="46"/>
      <c r="T140" s="16"/>
      <c r="U140" s="113"/>
      <c r="V140" s="22"/>
      <c r="W140" s="57" t="s">
        <v>139</v>
      </c>
      <c r="X140" s="57" t="s">
        <v>62</v>
      </c>
      <c r="Y140" s="57" t="s">
        <v>140</v>
      </c>
      <c r="Z140" s="52"/>
      <c r="AA140" s="52"/>
      <c r="AB140" s="52"/>
      <c r="AC140" s="52"/>
      <c r="AD140" s="52"/>
      <c r="AE140" s="52"/>
      <c r="AF140" s="52"/>
      <c r="AG140" s="52"/>
      <c r="AH140" s="52"/>
      <c r="AI140" s="53">
        <v>20</v>
      </c>
      <c r="AJ140" s="54" t="s">
        <v>141</v>
      </c>
      <c r="AK140" s="55"/>
      <c r="AL140" s="56" t="s">
        <v>62</v>
      </c>
      <c r="AM140" s="52"/>
    </row>
    <row r="141" spans="1:39" ht="12.75" customHeight="1" x14ac:dyDescent="0.3">
      <c r="A141" s="25"/>
      <c r="B141" s="43"/>
      <c r="C141" s="44"/>
      <c r="D141" s="44"/>
      <c r="E141" s="44"/>
      <c r="F141" s="16"/>
      <c r="G141" s="16"/>
      <c r="H141" s="16"/>
      <c r="I141" s="20"/>
      <c r="J141" s="20"/>
      <c r="K141" s="45"/>
      <c r="L141" s="45"/>
      <c r="M141" s="46"/>
      <c r="N141" s="46"/>
      <c r="O141" s="46"/>
      <c r="P141" s="46"/>
      <c r="Q141" s="46"/>
      <c r="R141" s="46"/>
      <c r="S141" s="46"/>
      <c r="T141" s="16"/>
      <c r="U141" s="113"/>
      <c r="V141" s="22"/>
      <c r="W141" s="57" t="s">
        <v>142</v>
      </c>
      <c r="X141" s="57" t="s">
        <v>52</v>
      </c>
      <c r="Y141" s="57" t="s">
        <v>143</v>
      </c>
      <c r="Z141" s="52"/>
      <c r="AA141" s="52"/>
      <c r="AB141" s="52"/>
      <c r="AC141" s="52"/>
      <c r="AD141" s="52"/>
      <c r="AE141" s="52"/>
      <c r="AF141" s="52"/>
      <c r="AG141" s="52"/>
      <c r="AH141" s="52"/>
      <c r="AI141" s="53">
        <v>15</v>
      </c>
      <c r="AJ141" s="54" t="s">
        <v>144</v>
      </c>
      <c r="AK141" s="55"/>
      <c r="AL141" s="56" t="s">
        <v>55</v>
      </c>
      <c r="AM141" s="52"/>
    </row>
    <row r="142" spans="1:39" ht="12.75" customHeight="1" x14ac:dyDescent="0.3">
      <c r="A142" s="25"/>
      <c r="B142" s="43"/>
      <c r="C142" s="44"/>
      <c r="D142" s="44"/>
      <c r="E142" s="44"/>
      <c r="F142" s="16"/>
      <c r="G142" s="16"/>
      <c r="H142" s="16"/>
      <c r="I142" s="20"/>
      <c r="J142" s="20"/>
      <c r="K142" s="45"/>
      <c r="L142" s="45"/>
      <c r="M142" s="46"/>
      <c r="N142" s="46"/>
      <c r="O142" s="46"/>
      <c r="P142" s="46"/>
      <c r="Q142" s="46"/>
      <c r="R142" s="46"/>
      <c r="S142" s="46"/>
      <c r="T142" s="16"/>
      <c r="U142" s="113"/>
      <c r="V142" s="22"/>
      <c r="W142" s="57" t="s">
        <v>145</v>
      </c>
      <c r="X142" s="57" t="s">
        <v>52</v>
      </c>
      <c r="Y142" s="57" t="s">
        <v>146</v>
      </c>
      <c r="Z142" s="52"/>
      <c r="AA142" s="52"/>
      <c r="AB142" s="52"/>
      <c r="AC142" s="52"/>
      <c r="AD142" s="52"/>
      <c r="AE142" s="52"/>
      <c r="AF142" s="52"/>
      <c r="AG142" s="52"/>
      <c r="AH142" s="52"/>
      <c r="AI142" s="53">
        <v>16</v>
      </c>
      <c r="AJ142" s="54" t="s">
        <v>147</v>
      </c>
      <c r="AK142" s="55"/>
      <c r="AL142" s="56" t="s">
        <v>55</v>
      </c>
      <c r="AM142" s="65">
        <f>N231+N274+N354</f>
        <v>0</v>
      </c>
    </row>
    <row r="143" spans="1:39" ht="12.75" customHeight="1" x14ac:dyDescent="0.3">
      <c r="A143" s="25"/>
      <c r="B143" s="43"/>
      <c r="C143" s="44"/>
      <c r="D143" s="44"/>
      <c r="E143" s="44"/>
      <c r="F143" s="16"/>
      <c r="G143" s="16"/>
      <c r="H143" s="16"/>
      <c r="I143" s="20"/>
      <c r="J143" s="20"/>
      <c r="K143" s="45"/>
      <c r="L143" s="45"/>
      <c r="M143" s="46"/>
      <c r="N143" s="46"/>
      <c r="O143" s="46"/>
      <c r="P143" s="46"/>
      <c r="Q143" s="46"/>
      <c r="R143" s="46"/>
      <c r="S143" s="46"/>
      <c r="T143" s="16"/>
      <c r="U143" s="113"/>
      <c r="V143" s="22"/>
      <c r="W143" s="57" t="s">
        <v>148</v>
      </c>
      <c r="X143" s="57" t="s">
        <v>52</v>
      </c>
      <c r="Y143" s="57" t="s">
        <v>149</v>
      </c>
      <c r="Z143" s="52"/>
      <c r="AA143" s="52"/>
      <c r="AB143" s="52"/>
      <c r="AC143" s="52"/>
      <c r="AD143" s="52"/>
      <c r="AE143" s="52"/>
      <c r="AF143" s="52"/>
      <c r="AG143" s="52"/>
      <c r="AH143" s="52"/>
      <c r="AI143" s="53">
        <v>17</v>
      </c>
      <c r="AJ143" s="54" t="s">
        <v>150</v>
      </c>
      <c r="AK143" s="55"/>
      <c r="AL143" s="56" t="s">
        <v>55</v>
      </c>
      <c r="AM143" s="52"/>
    </row>
    <row r="144" spans="1:39" ht="9.75" customHeight="1" x14ac:dyDescent="0.25">
      <c r="A144" s="25"/>
      <c r="B144" s="43"/>
      <c r="C144" s="44"/>
      <c r="D144" s="44"/>
      <c r="E144" s="44"/>
      <c r="F144" s="16"/>
      <c r="G144" s="16"/>
      <c r="H144" s="16"/>
      <c r="I144" s="20"/>
      <c r="J144" s="20"/>
      <c r="K144" s="45"/>
      <c r="L144" s="45"/>
      <c r="M144" s="46"/>
      <c r="N144" s="46"/>
      <c r="O144" s="46"/>
      <c r="P144" s="46"/>
      <c r="Q144" s="46"/>
      <c r="R144" s="46"/>
      <c r="S144" s="46"/>
      <c r="T144" s="16"/>
      <c r="U144" s="113"/>
      <c r="V144" s="22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</row>
    <row r="145" spans="1:39" ht="9.75" customHeight="1" x14ac:dyDescent="0.25">
      <c r="A145" s="25"/>
      <c r="B145" s="43"/>
      <c r="C145" s="44"/>
      <c r="D145" s="44"/>
      <c r="E145" s="44"/>
      <c r="F145" s="16"/>
      <c r="G145" s="16"/>
      <c r="H145" s="16"/>
      <c r="I145" s="20"/>
      <c r="J145" s="20"/>
      <c r="K145" s="45"/>
      <c r="L145" s="45"/>
      <c r="M145" s="46"/>
      <c r="N145" s="46"/>
      <c r="O145" s="46"/>
      <c r="P145" s="46"/>
      <c r="Q145" s="46"/>
      <c r="R145" s="46"/>
      <c r="S145" s="46"/>
      <c r="T145" s="16"/>
      <c r="U145" s="113"/>
      <c r="V145" s="22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</row>
    <row r="146" spans="1:39" ht="9.75" customHeight="1" x14ac:dyDescent="0.25">
      <c r="A146" s="25"/>
      <c r="B146" s="43"/>
      <c r="C146" s="44"/>
      <c r="D146" s="44"/>
      <c r="E146" s="44"/>
      <c r="F146" s="16"/>
      <c r="G146" s="16"/>
      <c r="H146" s="16"/>
      <c r="I146" s="20"/>
      <c r="J146" s="20"/>
      <c r="K146" s="45"/>
      <c r="L146" s="45"/>
      <c r="M146" s="46"/>
      <c r="N146" s="46"/>
      <c r="O146" s="46"/>
      <c r="P146" s="46"/>
      <c r="Q146" s="46"/>
      <c r="R146" s="46"/>
      <c r="S146" s="46"/>
      <c r="T146" s="16"/>
      <c r="U146" s="113"/>
      <c r="V146" s="22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</row>
    <row r="147" spans="1:39" ht="12.75" customHeight="1" x14ac:dyDescent="0.25">
      <c r="A147" s="25"/>
      <c r="B147" s="43"/>
      <c r="C147" s="44"/>
      <c r="D147" s="44"/>
      <c r="E147" s="44"/>
      <c r="F147" s="16"/>
      <c r="G147" s="16"/>
      <c r="H147" s="16"/>
      <c r="I147" s="20"/>
      <c r="J147" s="20"/>
      <c r="K147" s="45"/>
      <c r="L147" s="45"/>
      <c r="M147" s="46"/>
      <c r="N147" s="46"/>
      <c r="O147" s="46"/>
      <c r="P147" s="46"/>
      <c r="Q147" s="46"/>
      <c r="R147" s="46"/>
      <c r="S147" s="46"/>
      <c r="T147" s="16"/>
      <c r="U147" s="113"/>
      <c r="V147" s="22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</row>
    <row r="148" spans="1:39" ht="12.75" customHeight="1" x14ac:dyDescent="0.25">
      <c r="A148" s="25"/>
      <c r="B148" s="43"/>
      <c r="C148" s="44"/>
      <c r="D148" s="44"/>
      <c r="E148" s="44"/>
      <c r="F148" s="16"/>
      <c r="G148" s="16"/>
      <c r="H148" s="16"/>
      <c r="I148" s="20"/>
      <c r="J148" s="20"/>
      <c r="K148" s="45"/>
      <c r="L148" s="45"/>
      <c r="M148" s="46"/>
      <c r="N148" s="46"/>
      <c r="O148" s="46"/>
      <c r="P148" s="46"/>
      <c r="Q148" s="46"/>
      <c r="R148" s="46"/>
      <c r="S148" s="46"/>
      <c r="T148" s="16"/>
      <c r="U148" s="113"/>
      <c r="V148" s="22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</row>
    <row r="149" spans="1:39" ht="12.75" customHeight="1" x14ac:dyDescent="0.25">
      <c r="A149" s="25"/>
      <c r="B149" s="43"/>
      <c r="C149" s="44"/>
      <c r="D149" s="44"/>
      <c r="E149" s="44"/>
      <c r="F149" s="16"/>
      <c r="G149" s="16"/>
      <c r="H149" s="16"/>
      <c r="I149" s="20"/>
      <c r="J149" s="20"/>
      <c r="K149" s="45"/>
      <c r="L149" s="45"/>
      <c r="M149" s="46"/>
      <c r="N149" s="46"/>
      <c r="O149" s="46"/>
      <c r="P149" s="46"/>
      <c r="Q149" s="46"/>
      <c r="R149" s="46"/>
      <c r="S149" s="46"/>
      <c r="T149" s="16"/>
      <c r="U149" s="113"/>
      <c r="V149" s="22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</row>
    <row r="150" spans="1:39" ht="12.75" customHeight="1" x14ac:dyDescent="0.25">
      <c r="A150" s="25"/>
      <c r="B150" s="43"/>
      <c r="C150" s="44"/>
      <c r="D150" s="44"/>
      <c r="E150" s="44"/>
      <c r="F150" s="16"/>
      <c r="G150" s="16"/>
      <c r="H150" s="16"/>
      <c r="I150" s="20"/>
      <c r="J150" s="20"/>
      <c r="K150" s="45"/>
      <c r="L150" s="45"/>
      <c r="M150" s="46"/>
      <c r="N150" s="46"/>
      <c r="O150" s="46"/>
      <c r="P150" s="46"/>
      <c r="Q150" s="46"/>
      <c r="R150" s="46"/>
      <c r="S150" s="46"/>
      <c r="T150" s="16"/>
      <c r="U150" s="113"/>
      <c r="V150" s="22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</row>
    <row r="151" spans="1:39" ht="12.75" customHeight="1" x14ac:dyDescent="0.25">
      <c r="A151" s="25"/>
      <c r="B151" s="43"/>
      <c r="C151" s="44"/>
      <c r="D151" s="44"/>
      <c r="E151" s="44"/>
      <c r="F151" s="16"/>
      <c r="G151" s="16"/>
      <c r="H151" s="16"/>
      <c r="I151" s="20"/>
      <c r="J151" s="20"/>
      <c r="K151" s="45"/>
      <c r="L151" s="45"/>
      <c r="M151" s="46"/>
      <c r="N151" s="46"/>
      <c r="O151" s="46"/>
      <c r="P151" s="46"/>
      <c r="Q151" s="46"/>
      <c r="R151" s="46"/>
      <c r="S151" s="46"/>
      <c r="T151" s="16"/>
      <c r="U151" s="113"/>
      <c r="V151" s="22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</row>
    <row r="152" spans="1:39" ht="12.75" customHeight="1" x14ac:dyDescent="0.25">
      <c r="A152" s="25"/>
      <c r="B152" s="43"/>
      <c r="C152" s="44"/>
      <c r="D152" s="44"/>
      <c r="E152" s="44"/>
      <c r="F152" s="16"/>
      <c r="G152" s="16"/>
      <c r="H152" s="16"/>
      <c r="I152" s="20"/>
      <c r="J152" s="20"/>
      <c r="K152" s="45"/>
      <c r="L152" s="45"/>
      <c r="M152" s="46"/>
      <c r="N152" s="46"/>
      <c r="O152" s="46"/>
      <c r="P152" s="46"/>
      <c r="Q152" s="46"/>
      <c r="R152" s="46"/>
      <c r="S152" s="46"/>
      <c r="T152" s="16"/>
      <c r="U152" s="113"/>
      <c r="V152" s="22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</row>
    <row r="153" spans="1:39" ht="12.75" customHeight="1" x14ac:dyDescent="0.25">
      <c r="A153" s="25"/>
      <c r="B153" s="43"/>
      <c r="C153" s="44"/>
      <c r="D153" s="44"/>
      <c r="E153" s="44"/>
      <c r="F153" s="16"/>
      <c r="G153" s="16"/>
      <c r="H153" s="16"/>
      <c r="I153" s="20"/>
      <c r="J153" s="20"/>
      <c r="K153" s="45"/>
      <c r="L153" s="45"/>
      <c r="M153" s="46"/>
      <c r="N153" s="46"/>
      <c r="O153" s="46"/>
      <c r="P153" s="46"/>
      <c r="Q153" s="46"/>
      <c r="R153" s="46"/>
      <c r="S153" s="46"/>
      <c r="T153" s="16"/>
      <c r="U153" s="113"/>
      <c r="V153" s="22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</row>
    <row r="154" spans="1:39" ht="12.75" customHeight="1" x14ac:dyDescent="0.25">
      <c r="A154" s="25"/>
      <c r="B154" s="43"/>
      <c r="C154" s="44"/>
      <c r="D154" s="44"/>
      <c r="E154" s="44"/>
      <c r="F154" s="16"/>
      <c r="G154" s="16"/>
      <c r="H154" s="16"/>
      <c r="I154" s="20"/>
      <c r="J154" s="20"/>
      <c r="K154" s="45"/>
      <c r="L154" s="45"/>
      <c r="M154" s="46"/>
      <c r="N154" s="46"/>
      <c r="O154" s="46"/>
      <c r="P154" s="46"/>
      <c r="Q154" s="46"/>
      <c r="R154" s="46"/>
      <c r="S154" s="46"/>
      <c r="T154" s="16"/>
      <c r="U154" s="113"/>
      <c r="V154" s="22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</row>
    <row r="155" spans="1:39" ht="12.75" customHeight="1" x14ac:dyDescent="0.25">
      <c r="A155" s="25"/>
      <c r="B155" s="43"/>
      <c r="C155" s="44"/>
      <c r="D155" s="44"/>
      <c r="E155" s="44"/>
      <c r="F155" s="16"/>
      <c r="G155" s="16"/>
      <c r="H155" s="16"/>
      <c r="I155" s="20"/>
      <c r="J155" s="20"/>
      <c r="K155" s="45"/>
      <c r="L155" s="45"/>
      <c r="M155" s="46"/>
      <c r="N155" s="46"/>
      <c r="O155" s="46"/>
      <c r="P155" s="46"/>
      <c r="Q155" s="46"/>
      <c r="R155" s="46"/>
      <c r="S155" s="46"/>
      <c r="T155" s="16"/>
      <c r="U155" s="113"/>
      <c r="V155" s="22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</row>
    <row r="156" spans="1:39" ht="12.75" customHeight="1" x14ac:dyDescent="0.25">
      <c r="A156" s="25"/>
      <c r="B156" s="43"/>
      <c r="C156" s="44"/>
      <c r="D156" s="44"/>
      <c r="E156" s="44"/>
      <c r="F156" s="16"/>
      <c r="G156" s="16"/>
      <c r="H156" s="16"/>
      <c r="I156" s="20"/>
      <c r="J156" s="20"/>
      <c r="K156" s="45"/>
      <c r="L156" s="45"/>
      <c r="M156" s="46"/>
      <c r="N156" s="46"/>
      <c r="O156" s="46"/>
      <c r="P156" s="46"/>
      <c r="Q156" s="46"/>
      <c r="R156" s="46"/>
      <c r="S156" s="46"/>
      <c r="T156" s="16"/>
      <c r="U156" s="113"/>
      <c r="V156" s="22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</row>
    <row r="157" spans="1:39" ht="12.75" customHeight="1" x14ac:dyDescent="0.25">
      <c r="A157" s="25"/>
      <c r="B157" s="43"/>
      <c r="C157" s="44"/>
      <c r="D157" s="44"/>
      <c r="E157" s="44"/>
      <c r="F157" s="16"/>
      <c r="G157" s="16"/>
      <c r="H157" s="16"/>
      <c r="I157" s="20"/>
      <c r="J157" s="20"/>
      <c r="K157" s="45"/>
      <c r="L157" s="45"/>
      <c r="M157" s="46"/>
      <c r="N157" s="46"/>
      <c r="O157" s="46"/>
      <c r="P157" s="46"/>
      <c r="Q157" s="46"/>
      <c r="R157" s="46"/>
      <c r="S157" s="46"/>
      <c r="T157" s="16"/>
      <c r="U157" s="113"/>
      <c r="V157" s="22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</row>
    <row r="158" spans="1:39" ht="12.75" customHeight="1" x14ac:dyDescent="0.25">
      <c r="A158" s="25"/>
      <c r="B158" s="43"/>
      <c r="C158" s="44"/>
      <c r="D158" s="44"/>
      <c r="E158" s="44"/>
      <c r="F158" s="16"/>
      <c r="G158" s="16"/>
      <c r="H158" s="16"/>
      <c r="I158" s="20"/>
      <c r="J158" s="20"/>
      <c r="K158" s="45"/>
      <c r="L158" s="45"/>
      <c r="M158" s="46"/>
      <c r="N158" s="46"/>
      <c r="O158" s="46"/>
      <c r="P158" s="46"/>
      <c r="Q158" s="46"/>
      <c r="R158" s="46"/>
      <c r="S158" s="46"/>
      <c r="T158" s="16"/>
      <c r="U158" s="113"/>
      <c r="V158" s="22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</row>
    <row r="159" spans="1:39" ht="12.75" customHeight="1" x14ac:dyDescent="0.25">
      <c r="A159" s="25"/>
      <c r="B159" s="43"/>
      <c r="C159" s="44"/>
      <c r="D159" s="44"/>
      <c r="E159" s="44"/>
      <c r="F159" s="16"/>
      <c r="G159" s="16"/>
      <c r="H159" s="16"/>
      <c r="I159" s="20"/>
      <c r="J159" s="20"/>
      <c r="K159" s="45"/>
      <c r="L159" s="45"/>
      <c r="M159" s="46"/>
      <c r="N159" s="46"/>
      <c r="O159" s="46"/>
      <c r="P159" s="46"/>
      <c r="Q159" s="46"/>
      <c r="R159" s="46"/>
      <c r="S159" s="46"/>
      <c r="T159" s="16"/>
      <c r="U159" s="113"/>
      <c r="V159" s="22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</row>
    <row r="160" spans="1:39" ht="12.75" customHeight="1" x14ac:dyDescent="0.25">
      <c r="A160" s="25"/>
      <c r="B160" s="43"/>
      <c r="C160" s="44"/>
      <c r="D160" s="44"/>
      <c r="E160" s="44"/>
      <c r="F160" s="16"/>
      <c r="G160" s="16"/>
      <c r="H160" s="16"/>
      <c r="I160" s="20"/>
      <c r="J160" s="20"/>
      <c r="K160" s="45"/>
      <c r="L160" s="45"/>
      <c r="M160" s="46"/>
      <c r="N160" s="46"/>
      <c r="O160" s="46"/>
      <c r="P160" s="46"/>
      <c r="Q160" s="46"/>
      <c r="R160" s="46"/>
      <c r="S160" s="46"/>
      <c r="T160" s="16"/>
      <c r="U160" s="113"/>
      <c r="V160" s="22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</row>
    <row r="161" spans="1:39" ht="12.75" customHeight="1" x14ac:dyDescent="0.25">
      <c r="A161" s="25"/>
      <c r="B161" s="43"/>
      <c r="C161" s="44"/>
      <c r="D161" s="44"/>
      <c r="E161" s="44"/>
      <c r="F161" s="16"/>
      <c r="G161" s="16"/>
      <c r="H161" s="16"/>
      <c r="I161" s="20"/>
      <c r="J161" s="20"/>
      <c r="K161" s="45"/>
      <c r="L161" s="45"/>
      <c r="M161" s="46"/>
      <c r="N161" s="46"/>
      <c r="O161" s="46"/>
      <c r="P161" s="46"/>
      <c r="Q161" s="46"/>
      <c r="R161" s="46"/>
      <c r="S161" s="46"/>
      <c r="T161" s="16"/>
      <c r="U161" s="113"/>
      <c r="V161" s="22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</row>
    <row r="162" spans="1:39" ht="12.75" customHeight="1" x14ac:dyDescent="0.25">
      <c r="A162" s="25"/>
      <c r="B162" s="43"/>
      <c r="C162" s="44"/>
      <c r="D162" s="44"/>
      <c r="E162" s="44"/>
      <c r="F162" s="16"/>
      <c r="G162" s="16"/>
      <c r="H162" s="16"/>
      <c r="I162" s="20"/>
      <c r="J162" s="20"/>
      <c r="K162" s="45"/>
      <c r="L162" s="45"/>
      <c r="M162" s="46"/>
      <c r="N162" s="46"/>
      <c r="O162" s="46"/>
      <c r="P162" s="46"/>
      <c r="Q162" s="46"/>
      <c r="R162" s="46"/>
      <c r="S162" s="46"/>
      <c r="T162" s="16"/>
      <c r="U162" s="113"/>
      <c r="V162" s="22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</row>
    <row r="163" spans="1:39" ht="12.75" customHeight="1" x14ac:dyDescent="0.25">
      <c r="A163" s="25"/>
      <c r="B163" s="43"/>
      <c r="C163" s="44"/>
      <c r="D163" s="44"/>
      <c r="E163" s="44"/>
      <c r="F163" s="16"/>
      <c r="G163" s="16"/>
      <c r="H163" s="16"/>
      <c r="I163" s="20"/>
      <c r="J163" s="20"/>
      <c r="K163" s="45"/>
      <c r="L163" s="45"/>
      <c r="M163" s="46"/>
      <c r="N163" s="46"/>
      <c r="O163" s="46"/>
      <c r="P163" s="46"/>
      <c r="Q163" s="46"/>
      <c r="R163" s="46"/>
      <c r="S163" s="46"/>
      <c r="T163" s="16"/>
      <c r="U163" s="113"/>
      <c r="V163" s="22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</row>
    <row r="164" spans="1:39" ht="12.75" customHeight="1" x14ac:dyDescent="0.25">
      <c r="A164" s="25"/>
      <c r="B164" s="43"/>
      <c r="C164" s="44"/>
      <c r="D164" s="44"/>
      <c r="E164" s="44"/>
      <c r="F164" s="16"/>
      <c r="G164" s="16"/>
      <c r="H164" s="16"/>
      <c r="I164" s="20"/>
      <c r="J164" s="20"/>
      <c r="K164" s="45"/>
      <c r="L164" s="45"/>
      <c r="M164" s="46"/>
      <c r="N164" s="46"/>
      <c r="O164" s="46"/>
      <c r="P164" s="46"/>
      <c r="Q164" s="46"/>
      <c r="R164" s="46"/>
      <c r="S164" s="46"/>
      <c r="T164" s="16"/>
      <c r="U164" s="113"/>
      <c r="V164" s="22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</row>
    <row r="165" spans="1:39" ht="12.75" customHeight="1" x14ac:dyDescent="0.25">
      <c r="A165" s="25"/>
      <c r="B165" s="43"/>
      <c r="C165" s="44"/>
      <c r="D165" s="44"/>
      <c r="E165" s="44"/>
      <c r="F165" s="16"/>
      <c r="G165" s="16"/>
      <c r="H165" s="16"/>
      <c r="I165" s="20"/>
      <c r="J165" s="20"/>
      <c r="K165" s="45"/>
      <c r="L165" s="45"/>
      <c r="M165" s="46"/>
      <c r="N165" s="46"/>
      <c r="O165" s="46"/>
      <c r="P165" s="46"/>
      <c r="Q165" s="46"/>
      <c r="R165" s="46"/>
      <c r="S165" s="46"/>
      <c r="T165" s="16"/>
      <c r="U165" s="113"/>
      <c r="V165" s="22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</row>
    <row r="166" spans="1:39" ht="9.75" customHeight="1" x14ac:dyDescent="0.25">
      <c r="A166" s="25"/>
      <c r="B166" s="43"/>
      <c r="C166" s="44"/>
      <c r="D166" s="44"/>
      <c r="E166" s="44"/>
      <c r="F166" s="16"/>
      <c r="G166" s="16"/>
      <c r="H166" s="16"/>
      <c r="I166" s="20"/>
      <c r="J166" s="20"/>
      <c r="K166" s="45"/>
      <c r="L166" s="45"/>
      <c r="M166" s="46"/>
      <c r="N166" s="46"/>
      <c r="O166" s="46"/>
      <c r="P166" s="46"/>
      <c r="Q166" s="46"/>
      <c r="R166" s="46"/>
      <c r="S166" s="46"/>
      <c r="T166" s="16"/>
      <c r="U166" s="113"/>
      <c r="V166" s="2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 customHeight="1" x14ac:dyDescent="0.25">
      <c r="A167" s="25"/>
      <c r="B167" s="43"/>
      <c r="C167" s="44"/>
      <c r="D167" s="44"/>
      <c r="E167" s="44"/>
      <c r="F167" s="16"/>
      <c r="G167" s="16"/>
      <c r="H167" s="16"/>
      <c r="I167" s="20"/>
      <c r="J167" s="20"/>
      <c r="K167" s="45"/>
      <c r="L167" s="45"/>
      <c r="M167" s="46"/>
      <c r="N167" s="46"/>
      <c r="O167" s="46"/>
      <c r="P167" s="46"/>
      <c r="Q167" s="46"/>
      <c r="R167" s="46"/>
      <c r="S167" s="46"/>
      <c r="T167" s="16"/>
      <c r="U167" s="113"/>
      <c r="V167" s="22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</row>
    <row r="168" spans="1:39" ht="12.75" customHeight="1" x14ac:dyDescent="0.25">
      <c r="A168" s="25"/>
      <c r="B168" s="43"/>
      <c r="C168" s="44"/>
      <c r="D168" s="44"/>
      <c r="E168" s="44"/>
      <c r="F168" s="16"/>
      <c r="G168" s="16"/>
      <c r="H168" s="16"/>
      <c r="I168" s="20"/>
      <c r="J168" s="20"/>
      <c r="K168" s="45"/>
      <c r="L168" s="45"/>
      <c r="M168" s="46"/>
      <c r="N168" s="46"/>
      <c r="O168" s="46"/>
      <c r="P168" s="46"/>
      <c r="Q168" s="46"/>
      <c r="R168" s="46"/>
      <c r="S168" s="46"/>
      <c r="T168" s="16"/>
      <c r="U168" s="113"/>
      <c r="V168" s="22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</row>
    <row r="169" spans="1:39" ht="12.75" customHeight="1" x14ac:dyDescent="0.25">
      <c r="A169" s="25"/>
      <c r="B169" s="43"/>
      <c r="C169" s="44"/>
      <c r="D169" s="44"/>
      <c r="E169" s="44"/>
      <c r="F169" s="16"/>
      <c r="G169" s="16"/>
      <c r="H169" s="16"/>
      <c r="I169" s="20"/>
      <c r="J169" s="20"/>
      <c r="K169" s="45"/>
      <c r="L169" s="45"/>
      <c r="M169" s="46"/>
      <c r="N169" s="46"/>
      <c r="O169" s="46"/>
      <c r="P169" s="46"/>
      <c r="Q169" s="46"/>
      <c r="R169" s="46"/>
      <c r="S169" s="46"/>
      <c r="T169" s="16"/>
      <c r="U169" s="113"/>
      <c r="V169" s="22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</row>
    <row r="170" spans="1:39" ht="12.75" customHeight="1" x14ac:dyDescent="0.25">
      <c r="A170" s="25"/>
      <c r="B170" s="43"/>
      <c r="C170" s="44"/>
      <c r="D170" s="44"/>
      <c r="E170" s="44"/>
      <c r="F170" s="16"/>
      <c r="G170" s="16"/>
      <c r="H170" s="16"/>
      <c r="I170" s="20"/>
      <c r="J170" s="20"/>
      <c r="K170" s="45"/>
      <c r="L170" s="45"/>
      <c r="M170" s="46"/>
      <c r="N170" s="46"/>
      <c r="O170" s="46"/>
      <c r="P170" s="46"/>
      <c r="Q170" s="46"/>
      <c r="R170" s="46"/>
      <c r="S170" s="46"/>
      <c r="T170" s="16"/>
      <c r="U170" s="113"/>
      <c r="V170" s="22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</row>
    <row r="171" spans="1:39" ht="12.75" customHeight="1" x14ac:dyDescent="0.25">
      <c r="A171" s="25"/>
      <c r="B171" s="43"/>
      <c r="C171" s="44"/>
      <c r="D171" s="44"/>
      <c r="E171" s="44"/>
      <c r="F171" s="16"/>
      <c r="G171" s="16"/>
      <c r="H171" s="16"/>
      <c r="I171" s="20"/>
      <c r="J171" s="20"/>
      <c r="K171" s="45"/>
      <c r="L171" s="45"/>
      <c r="M171" s="46"/>
      <c r="N171" s="46"/>
      <c r="O171" s="46"/>
      <c r="P171" s="46"/>
      <c r="Q171" s="46"/>
      <c r="R171" s="46"/>
      <c r="S171" s="46"/>
      <c r="T171" s="16"/>
      <c r="U171" s="113"/>
      <c r="V171" s="22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</row>
    <row r="172" spans="1:39" ht="12.75" customHeight="1" x14ac:dyDescent="0.25">
      <c r="A172" s="25"/>
      <c r="B172" s="43"/>
      <c r="C172" s="44"/>
      <c r="D172" s="44"/>
      <c r="E172" s="44"/>
      <c r="F172" s="16"/>
      <c r="G172" s="16"/>
      <c r="H172" s="16"/>
      <c r="I172" s="20"/>
      <c r="J172" s="20"/>
      <c r="K172" s="45"/>
      <c r="L172" s="45"/>
      <c r="M172" s="46"/>
      <c r="N172" s="46"/>
      <c r="O172" s="46"/>
      <c r="P172" s="46"/>
      <c r="Q172" s="46"/>
      <c r="R172" s="46"/>
      <c r="S172" s="46"/>
      <c r="T172" s="16"/>
      <c r="U172" s="113"/>
      <c r="V172" s="22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</row>
    <row r="173" spans="1:39" ht="12.75" customHeight="1" x14ac:dyDescent="0.25">
      <c r="A173" s="25"/>
      <c r="B173" s="43"/>
      <c r="C173" s="44"/>
      <c r="D173" s="44"/>
      <c r="E173" s="44"/>
      <c r="F173" s="16"/>
      <c r="G173" s="16"/>
      <c r="H173" s="16"/>
      <c r="I173" s="20"/>
      <c r="J173" s="20"/>
      <c r="K173" s="45"/>
      <c r="L173" s="45"/>
      <c r="M173" s="46"/>
      <c r="N173" s="46"/>
      <c r="O173" s="46"/>
      <c r="P173" s="46"/>
      <c r="Q173" s="46"/>
      <c r="R173" s="46"/>
      <c r="S173" s="46"/>
      <c r="T173" s="16"/>
      <c r="U173" s="113"/>
      <c r="V173" s="22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</row>
    <row r="174" spans="1:39" ht="12.75" customHeight="1" x14ac:dyDescent="0.25">
      <c r="A174" s="25"/>
      <c r="B174" s="43"/>
      <c r="C174" s="44"/>
      <c r="D174" s="44"/>
      <c r="E174" s="44"/>
      <c r="F174" s="16"/>
      <c r="G174" s="16"/>
      <c r="H174" s="16"/>
      <c r="I174" s="20"/>
      <c r="J174" s="20"/>
      <c r="K174" s="45"/>
      <c r="L174" s="45"/>
      <c r="M174" s="46"/>
      <c r="N174" s="46"/>
      <c r="O174" s="46"/>
      <c r="P174" s="46"/>
      <c r="Q174" s="46"/>
      <c r="R174" s="46"/>
      <c r="S174" s="46"/>
      <c r="T174" s="16"/>
      <c r="U174" s="113"/>
      <c r="V174" s="22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</row>
    <row r="175" spans="1:39" ht="12.75" customHeight="1" x14ac:dyDescent="0.25">
      <c r="A175" s="25"/>
      <c r="B175" s="43"/>
      <c r="C175" s="44"/>
      <c r="D175" s="44"/>
      <c r="E175" s="44"/>
      <c r="F175" s="16"/>
      <c r="G175" s="16"/>
      <c r="H175" s="16"/>
      <c r="I175" s="20"/>
      <c r="J175" s="20"/>
      <c r="K175" s="45"/>
      <c r="L175" s="45"/>
      <c r="M175" s="46"/>
      <c r="N175" s="46"/>
      <c r="O175" s="46"/>
      <c r="P175" s="46"/>
      <c r="Q175" s="46"/>
      <c r="R175" s="46"/>
      <c r="S175" s="46"/>
      <c r="T175" s="16"/>
      <c r="U175" s="113"/>
      <c r="V175" s="22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</row>
    <row r="176" spans="1:39" ht="12.75" customHeight="1" x14ac:dyDescent="0.25">
      <c r="A176" s="25"/>
      <c r="B176" s="43"/>
      <c r="C176" s="44"/>
      <c r="D176" s="44"/>
      <c r="E176" s="44"/>
      <c r="F176" s="16"/>
      <c r="G176" s="16"/>
      <c r="H176" s="16"/>
      <c r="I176" s="20"/>
      <c r="J176" s="20"/>
      <c r="K176" s="45"/>
      <c r="L176" s="45"/>
      <c r="M176" s="46"/>
      <c r="N176" s="46"/>
      <c r="O176" s="46"/>
      <c r="P176" s="46"/>
      <c r="Q176" s="46"/>
      <c r="R176" s="46"/>
      <c r="S176" s="46"/>
      <c r="T176" s="16"/>
      <c r="U176" s="113"/>
      <c r="V176" s="22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</row>
    <row r="177" spans="1:39" ht="12.75" customHeight="1" x14ac:dyDescent="0.25">
      <c r="A177" s="25"/>
      <c r="B177" s="43"/>
      <c r="C177" s="44"/>
      <c r="D177" s="44"/>
      <c r="E177" s="44"/>
      <c r="F177" s="16"/>
      <c r="G177" s="16"/>
      <c r="H177" s="16"/>
      <c r="I177" s="20"/>
      <c r="J177" s="20"/>
      <c r="K177" s="45"/>
      <c r="L177" s="45"/>
      <c r="M177" s="46"/>
      <c r="N177" s="46"/>
      <c r="O177" s="46"/>
      <c r="P177" s="46"/>
      <c r="Q177" s="46"/>
      <c r="R177" s="46"/>
      <c r="S177" s="46"/>
      <c r="T177" s="16"/>
      <c r="U177" s="113"/>
      <c r="V177" s="22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</row>
    <row r="178" spans="1:39" ht="12.75" customHeight="1" x14ac:dyDescent="0.25">
      <c r="A178" s="25"/>
      <c r="B178" s="66"/>
      <c r="C178" s="67"/>
      <c r="D178" s="67"/>
      <c r="E178" s="67"/>
      <c r="F178" s="68"/>
      <c r="G178" s="68"/>
      <c r="H178" s="68"/>
      <c r="I178" s="20"/>
      <c r="J178" s="20"/>
      <c r="K178" s="14"/>
      <c r="L178" s="14"/>
      <c r="M178" s="16"/>
      <c r="N178" s="16"/>
      <c r="O178" s="16"/>
      <c r="P178" s="16"/>
      <c r="Q178" s="16"/>
      <c r="R178" s="16"/>
      <c r="S178" s="69"/>
      <c r="T178" s="16"/>
      <c r="U178" s="113"/>
      <c r="V178" s="70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</row>
    <row r="179" spans="1:39" ht="12.75" customHeight="1" x14ac:dyDescent="0.25">
      <c r="A179" s="25"/>
      <c r="B179" s="66"/>
      <c r="C179" s="71"/>
      <c r="D179" s="71"/>
      <c r="E179" s="71"/>
      <c r="F179" s="72"/>
      <c r="G179" s="72"/>
      <c r="H179" s="72"/>
      <c r="I179" s="73"/>
      <c r="J179" s="73"/>
      <c r="K179" s="45"/>
      <c r="L179" s="45"/>
      <c r="M179" s="16"/>
      <c r="N179" s="16"/>
      <c r="O179" s="16"/>
      <c r="P179" s="16"/>
      <c r="Q179" s="16"/>
      <c r="R179" s="16"/>
      <c r="S179" s="16"/>
      <c r="T179" s="16"/>
      <c r="U179" s="114"/>
      <c r="V179" s="70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</row>
    <row r="180" spans="1:39" ht="12.75" customHeight="1" x14ac:dyDescent="0.25">
      <c r="A180" s="25"/>
      <c r="B180" s="66"/>
      <c r="C180" s="67"/>
      <c r="D180" s="67"/>
      <c r="E180" s="67"/>
      <c r="F180" s="68"/>
      <c r="G180" s="68"/>
      <c r="H180" s="68"/>
      <c r="I180" s="74"/>
      <c r="J180" s="74"/>
      <c r="K180" s="75"/>
      <c r="L180" s="76"/>
      <c r="M180" s="16"/>
      <c r="N180" s="16"/>
      <c r="O180" s="16"/>
      <c r="P180" s="16"/>
      <c r="Q180" s="16"/>
      <c r="R180" s="16"/>
      <c r="S180" s="69"/>
      <c r="T180" s="16"/>
      <c r="U180" s="115"/>
      <c r="V180" s="70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</row>
    <row r="181" spans="1:39" ht="12.75" customHeight="1" x14ac:dyDescent="0.25">
      <c r="A181" s="25"/>
      <c r="B181" s="66"/>
      <c r="C181" s="67"/>
      <c r="D181" s="67"/>
      <c r="E181" s="67"/>
      <c r="F181" s="68"/>
      <c r="G181" s="68"/>
      <c r="H181" s="68"/>
      <c r="I181" s="20"/>
      <c r="J181" s="20"/>
      <c r="K181" s="14"/>
      <c r="L181" s="14"/>
      <c r="M181" s="16"/>
      <c r="N181" s="16"/>
      <c r="O181" s="16"/>
      <c r="P181" s="16"/>
      <c r="Q181" s="16"/>
      <c r="R181" s="16"/>
      <c r="S181" s="69"/>
      <c r="T181" s="16"/>
      <c r="U181" s="113"/>
      <c r="V181" s="70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</row>
    <row r="182" spans="1:39" ht="12.75" customHeight="1" x14ac:dyDescent="0.25">
      <c r="A182" s="25"/>
      <c r="B182" s="66"/>
      <c r="C182" s="67"/>
      <c r="D182" s="67"/>
      <c r="E182" s="67"/>
      <c r="F182" s="68"/>
      <c r="G182" s="68"/>
      <c r="H182" s="68"/>
      <c r="I182" s="20"/>
      <c r="J182" s="20"/>
      <c r="K182" s="77"/>
      <c r="L182" s="77"/>
      <c r="M182" s="16"/>
      <c r="N182" s="16"/>
      <c r="O182" s="16"/>
      <c r="P182" s="16"/>
      <c r="Q182" s="16"/>
      <c r="R182" s="16"/>
      <c r="S182" s="16"/>
      <c r="T182" s="16"/>
      <c r="U182" s="113"/>
      <c r="V182" s="70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</row>
    <row r="183" spans="1:39" ht="12.75" customHeight="1" x14ac:dyDescent="0.25">
      <c r="A183" s="25"/>
      <c r="B183" s="66"/>
      <c r="C183" s="67"/>
      <c r="D183" s="67"/>
      <c r="E183" s="67"/>
      <c r="F183" s="68"/>
      <c r="G183" s="68"/>
      <c r="H183" s="68"/>
      <c r="I183" s="74"/>
      <c r="J183" s="74"/>
      <c r="K183" s="78"/>
      <c r="L183" s="78"/>
      <c r="M183" s="46"/>
      <c r="N183" s="79"/>
      <c r="O183" s="79"/>
      <c r="P183" s="46"/>
      <c r="Q183" s="16"/>
      <c r="R183" s="16"/>
      <c r="S183" s="69"/>
      <c r="T183" s="16"/>
      <c r="U183" s="113"/>
      <c r="V183" s="70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</row>
    <row r="184" spans="1:39" ht="12.75" customHeight="1" x14ac:dyDescent="0.25">
      <c r="A184" s="25"/>
      <c r="B184" s="66"/>
      <c r="C184" s="67"/>
      <c r="D184" s="67"/>
      <c r="E184" s="67"/>
      <c r="F184" s="68"/>
      <c r="G184" s="68"/>
      <c r="H184" s="68"/>
      <c r="I184" s="20"/>
      <c r="J184" s="20"/>
      <c r="K184" s="14"/>
      <c r="L184" s="14"/>
      <c r="M184" s="16"/>
      <c r="N184" s="16"/>
      <c r="O184" s="16"/>
      <c r="P184" s="16"/>
      <c r="Q184" s="16"/>
      <c r="R184" s="16"/>
      <c r="S184" s="69"/>
      <c r="T184" s="16"/>
      <c r="U184" s="113"/>
      <c r="V184" s="70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</row>
    <row r="185" spans="1:39" ht="12.75" customHeight="1" x14ac:dyDescent="0.25">
      <c r="A185" s="25"/>
      <c r="B185" s="66"/>
      <c r="C185" s="71"/>
      <c r="D185" s="71"/>
      <c r="E185" s="71"/>
      <c r="F185" s="72"/>
      <c r="G185" s="72"/>
      <c r="H185" s="72"/>
      <c r="I185" s="73"/>
      <c r="J185" s="73"/>
      <c r="K185" s="45"/>
      <c r="L185" s="45"/>
      <c r="M185" s="16"/>
      <c r="N185" s="16"/>
      <c r="O185" s="16"/>
      <c r="P185" s="16"/>
      <c r="Q185" s="16"/>
      <c r="R185" s="16"/>
      <c r="S185" s="16"/>
      <c r="T185" s="16"/>
      <c r="U185" s="114"/>
      <c r="V185" s="70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</row>
    <row r="186" spans="1:39" ht="12.75" customHeight="1" x14ac:dyDescent="0.25">
      <c r="A186" s="25"/>
      <c r="B186" s="66"/>
      <c r="C186" s="67"/>
      <c r="D186" s="67"/>
      <c r="E186" s="67"/>
      <c r="F186" s="68"/>
      <c r="G186" s="68"/>
      <c r="H186" s="68"/>
      <c r="I186" s="74"/>
      <c r="J186" s="74"/>
      <c r="K186" s="75"/>
      <c r="L186" s="76"/>
      <c r="M186" s="16"/>
      <c r="N186" s="16"/>
      <c r="O186" s="16"/>
      <c r="P186" s="16"/>
      <c r="Q186" s="16"/>
      <c r="R186" s="16"/>
      <c r="S186" s="69"/>
      <c r="T186" s="16"/>
      <c r="U186" s="115"/>
      <c r="V186" s="70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</row>
    <row r="187" spans="1:39" ht="12.75" customHeight="1" x14ac:dyDescent="0.3">
      <c r="A187" s="25"/>
      <c r="B187" s="66"/>
      <c r="C187" s="67"/>
      <c r="D187" s="67"/>
      <c r="E187" s="67"/>
      <c r="F187" s="68"/>
      <c r="G187" s="68"/>
      <c r="H187" s="68"/>
      <c r="I187" s="20"/>
      <c r="J187" s="20"/>
      <c r="K187" s="14"/>
      <c r="L187" s="14"/>
      <c r="M187" s="16"/>
      <c r="N187" s="16"/>
      <c r="O187" s="16"/>
      <c r="P187" s="16"/>
      <c r="Q187" s="16"/>
      <c r="R187" s="16"/>
      <c r="S187" s="69"/>
      <c r="T187" s="16"/>
      <c r="U187" s="113"/>
      <c r="V187" s="70"/>
      <c r="W187" s="36"/>
      <c r="X187" s="36"/>
      <c r="Y187" s="36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80"/>
      <c r="AL187" s="52"/>
      <c r="AM187" s="52"/>
    </row>
    <row r="188" spans="1:39" ht="12.75" customHeight="1" x14ac:dyDescent="0.3">
      <c r="A188" s="25"/>
      <c r="B188" s="66"/>
      <c r="C188" s="67"/>
      <c r="D188" s="67"/>
      <c r="E188" s="67"/>
      <c r="F188" s="68"/>
      <c r="G188" s="68"/>
      <c r="H188" s="68"/>
      <c r="I188" s="20"/>
      <c r="J188" s="20"/>
      <c r="K188" s="77"/>
      <c r="L188" s="77"/>
      <c r="M188" s="16"/>
      <c r="N188" s="16"/>
      <c r="O188" s="16"/>
      <c r="P188" s="16"/>
      <c r="Q188" s="16"/>
      <c r="R188" s="16"/>
      <c r="S188" s="16"/>
      <c r="T188" s="16"/>
      <c r="U188" s="113"/>
      <c r="V188" s="70"/>
      <c r="W188" s="36"/>
      <c r="X188" s="36"/>
      <c r="Y188" s="36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80"/>
      <c r="AL188" s="52"/>
      <c r="AM188" s="52"/>
    </row>
    <row r="189" spans="1:39" ht="12.75" customHeight="1" x14ac:dyDescent="0.3">
      <c r="A189" s="25"/>
      <c r="B189" s="66"/>
      <c r="C189" s="67"/>
      <c r="D189" s="67"/>
      <c r="E189" s="67"/>
      <c r="F189" s="68"/>
      <c r="G189" s="68"/>
      <c r="H189" s="68"/>
      <c r="I189" s="74"/>
      <c r="J189" s="74"/>
      <c r="K189" s="78"/>
      <c r="L189" s="78"/>
      <c r="M189" s="46"/>
      <c r="N189" s="79"/>
      <c r="O189" s="79"/>
      <c r="P189" s="46"/>
      <c r="Q189" s="16"/>
      <c r="R189" s="16"/>
      <c r="S189" s="69"/>
      <c r="T189" s="16"/>
      <c r="U189" s="113"/>
      <c r="V189" s="70"/>
      <c r="W189" s="36"/>
      <c r="X189" s="36"/>
      <c r="Y189" s="36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80"/>
      <c r="AL189" s="52"/>
      <c r="AM189" s="52"/>
    </row>
    <row r="190" spans="1:39" ht="12.75" customHeight="1" x14ac:dyDescent="0.3">
      <c r="A190" s="25"/>
      <c r="B190" s="66"/>
      <c r="C190" s="67"/>
      <c r="D190" s="67"/>
      <c r="E190" s="67"/>
      <c r="F190" s="68"/>
      <c r="G190" s="68"/>
      <c r="H190" s="68"/>
      <c r="I190" s="20"/>
      <c r="J190" s="20"/>
      <c r="K190" s="14"/>
      <c r="L190" s="14"/>
      <c r="M190" s="16"/>
      <c r="N190" s="16"/>
      <c r="O190" s="16"/>
      <c r="P190" s="16"/>
      <c r="Q190" s="16"/>
      <c r="R190" s="16"/>
      <c r="S190" s="69"/>
      <c r="T190" s="16"/>
      <c r="U190" s="113"/>
      <c r="V190" s="70"/>
      <c r="W190" s="60" t="s">
        <v>151</v>
      </c>
      <c r="X190" s="60" t="s">
        <v>62</v>
      </c>
      <c r="Y190" s="60" t="s">
        <v>152</v>
      </c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80"/>
      <c r="AL190" s="52"/>
      <c r="AM190" s="52"/>
    </row>
    <row r="191" spans="1:39" ht="12.75" customHeight="1" x14ac:dyDescent="0.3">
      <c r="A191" s="25"/>
      <c r="B191" s="66"/>
      <c r="C191" s="67"/>
      <c r="D191" s="67"/>
      <c r="E191" s="67"/>
      <c r="F191" s="68"/>
      <c r="G191" s="68"/>
      <c r="H191" s="68"/>
      <c r="I191" s="74"/>
      <c r="J191" s="74"/>
      <c r="K191" s="78"/>
      <c r="L191" s="78"/>
      <c r="M191" s="46"/>
      <c r="N191" s="79"/>
      <c r="O191" s="79"/>
      <c r="P191" s="46"/>
      <c r="Q191" s="16"/>
      <c r="R191" s="16"/>
      <c r="S191" s="69"/>
      <c r="T191" s="16"/>
      <c r="U191" s="113"/>
      <c r="V191" s="70"/>
      <c r="W191" s="81" t="s">
        <v>153</v>
      </c>
      <c r="X191" s="81" t="s">
        <v>52</v>
      </c>
      <c r="Y191" s="81" t="s">
        <v>154</v>
      </c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80"/>
      <c r="AL191" s="52"/>
      <c r="AM191" s="52"/>
    </row>
    <row r="192" spans="1:39" ht="12.75" customHeight="1" x14ac:dyDescent="0.3">
      <c r="A192" s="25"/>
      <c r="B192" s="66"/>
      <c r="C192" s="67"/>
      <c r="D192" s="67"/>
      <c r="E192" s="67"/>
      <c r="F192" s="68"/>
      <c r="G192" s="68"/>
      <c r="H192" s="68"/>
      <c r="I192" s="20"/>
      <c r="J192" s="20"/>
      <c r="K192" s="14"/>
      <c r="L192" s="14"/>
      <c r="M192" s="16"/>
      <c r="N192" s="16"/>
      <c r="O192" s="16"/>
      <c r="P192" s="16"/>
      <c r="Q192" s="16"/>
      <c r="R192" s="16"/>
      <c r="S192" s="69"/>
      <c r="T192" s="16"/>
      <c r="U192" s="113"/>
      <c r="V192" s="70"/>
      <c r="W192" s="60" t="s">
        <v>155</v>
      </c>
      <c r="X192" s="60" t="s">
        <v>62</v>
      </c>
      <c r="Y192" s="60" t="s">
        <v>156</v>
      </c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80"/>
      <c r="AL192" s="52"/>
      <c r="AM192" s="52"/>
    </row>
    <row r="193" spans="1:39" ht="12.75" customHeight="1" x14ac:dyDescent="0.3">
      <c r="A193" s="25"/>
      <c r="B193" s="66"/>
      <c r="C193" s="71"/>
      <c r="D193" s="71"/>
      <c r="E193" s="71"/>
      <c r="F193" s="72"/>
      <c r="G193" s="72"/>
      <c r="H193" s="72"/>
      <c r="I193" s="73"/>
      <c r="J193" s="73"/>
      <c r="K193" s="45"/>
      <c r="L193" s="45"/>
      <c r="M193" s="16"/>
      <c r="N193" s="16"/>
      <c r="O193" s="16"/>
      <c r="P193" s="16"/>
      <c r="Q193" s="16"/>
      <c r="R193" s="16"/>
      <c r="S193" s="16"/>
      <c r="T193" s="16"/>
      <c r="U193" s="114"/>
      <c r="V193" s="70"/>
      <c r="W193" s="50" t="s">
        <v>157</v>
      </c>
      <c r="X193" s="50" t="s">
        <v>158</v>
      </c>
      <c r="Y193" s="50" t="s">
        <v>159</v>
      </c>
      <c r="Z193" s="51"/>
      <c r="AA193" s="51"/>
      <c r="AB193" s="52"/>
      <c r="AC193" s="52"/>
      <c r="AD193" s="52"/>
      <c r="AE193" s="52"/>
      <c r="AF193" s="52"/>
      <c r="AG193" s="52"/>
      <c r="AH193" s="52"/>
      <c r="AI193" s="53">
        <v>34</v>
      </c>
      <c r="AJ193" s="54" t="s">
        <v>160</v>
      </c>
      <c r="AK193" s="55"/>
      <c r="AL193" s="56" t="s">
        <v>55</v>
      </c>
      <c r="AM193" s="52"/>
    </row>
    <row r="194" spans="1:39" ht="12.75" customHeight="1" x14ac:dyDescent="0.3">
      <c r="A194" s="25"/>
      <c r="B194" s="66"/>
      <c r="C194" s="67"/>
      <c r="D194" s="67"/>
      <c r="E194" s="67"/>
      <c r="F194" s="68"/>
      <c r="G194" s="68"/>
      <c r="H194" s="68"/>
      <c r="I194" s="74"/>
      <c r="J194" s="74"/>
      <c r="K194" s="75"/>
      <c r="L194" s="76"/>
      <c r="M194" s="16"/>
      <c r="N194" s="16"/>
      <c r="O194" s="16"/>
      <c r="P194" s="16"/>
      <c r="Q194" s="16"/>
      <c r="R194" s="16"/>
      <c r="S194" s="69"/>
      <c r="T194" s="16"/>
      <c r="U194" s="115"/>
      <c r="V194" s="70"/>
      <c r="W194" s="81" t="s">
        <v>161</v>
      </c>
      <c r="X194" s="81" t="s">
        <v>52</v>
      </c>
      <c r="Y194" s="81" t="s">
        <v>162</v>
      </c>
      <c r="Z194" s="64"/>
      <c r="AA194" s="51"/>
      <c r="AB194" s="52"/>
      <c r="AC194" s="52"/>
      <c r="AD194" s="52"/>
      <c r="AE194" s="52"/>
      <c r="AF194" s="52"/>
      <c r="AG194" s="52"/>
      <c r="AH194" s="52"/>
      <c r="AI194" s="53">
        <v>35</v>
      </c>
      <c r="AJ194" s="54" t="s">
        <v>163</v>
      </c>
      <c r="AK194" s="55"/>
      <c r="AL194" s="56" t="s">
        <v>52</v>
      </c>
      <c r="AM194" s="52"/>
    </row>
    <row r="195" spans="1:39" ht="12.75" customHeight="1" x14ac:dyDescent="0.3">
      <c r="A195" s="25"/>
      <c r="B195" s="66"/>
      <c r="C195" s="67"/>
      <c r="D195" s="67"/>
      <c r="E195" s="67"/>
      <c r="F195" s="68"/>
      <c r="G195" s="68"/>
      <c r="H195" s="68"/>
      <c r="I195" s="20"/>
      <c r="J195" s="20"/>
      <c r="K195" s="14"/>
      <c r="L195" s="14"/>
      <c r="M195" s="16"/>
      <c r="N195" s="16"/>
      <c r="O195" s="16"/>
      <c r="P195" s="16"/>
      <c r="Q195" s="16"/>
      <c r="R195" s="16"/>
      <c r="S195" s="69"/>
      <c r="T195" s="16"/>
      <c r="U195" s="113"/>
      <c r="V195" s="70"/>
      <c r="W195" s="60" t="s">
        <v>164</v>
      </c>
      <c r="X195" s="60" t="s">
        <v>62</v>
      </c>
      <c r="Y195" s="60" t="s">
        <v>165</v>
      </c>
      <c r="Z195" s="61"/>
      <c r="AA195" s="51"/>
      <c r="AB195" s="52"/>
      <c r="AC195" s="52"/>
      <c r="AD195" s="52"/>
      <c r="AE195" s="52"/>
      <c r="AF195" s="52"/>
      <c r="AG195" s="52"/>
      <c r="AH195" s="52"/>
      <c r="AI195" s="53">
        <v>36</v>
      </c>
      <c r="AJ195" s="54" t="s">
        <v>166</v>
      </c>
      <c r="AK195" s="55"/>
      <c r="AL195" s="56" t="s">
        <v>55</v>
      </c>
      <c r="AM195" s="52"/>
    </row>
    <row r="196" spans="1:39" ht="12.75" customHeight="1" x14ac:dyDescent="0.3">
      <c r="A196" s="25"/>
      <c r="B196" s="66"/>
      <c r="C196" s="67"/>
      <c r="D196" s="67"/>
      <c r="E196" s="67"/>
      <c r="F196" s="68"/>
      <c r="G196" s="68"/>
      <c r="H196" s="68"/>
      <c r="I196" s="20"/>
      <c r="J196" s="20"/>
      <c r="K196" s="77"/>
      <c r="L196" s="77"/>
      <c r="M196" s="16"/>
      <c r="N196" s="16"/>
      <c r="O196" s="16"/>
      <c r="P196" s="16"/>
      <c r="Q196" s="16"/>
      <c r="R196" s="16"/>
      <c r="S196" s="16"/>
      <c r="T196" s="16"/>
      <c r="U196" s="113"/>
      <c r="V196" s="70"/>
      <c r="W196" s="60" t="s">
        <v>167</v>
      </c>
      <c r="X196" s="60" t="s">
        <v>52</v>
      </c>
      <c r="Y196" s="60" t="s">
        <v>168</v>
      </c>
      <c r="Z196" s="52"/>
      <c r="AA196" s="52"/>
      <c r="AB196" s="52"/>
      <c r="AC196" s="52"/>
      <c r="AD196" s="52"/>
      <c r="AE196" s="52"/>
      <c r="AF196" s="52"/>
      <c r="AG196" s="52"/>
      <c r="AH196" s="52"/>
      <c r="AI196" s="53">
        <v>43</v>
      </c>
      <c r="AJ196" s="54" t="s">
        <v>169</v>
      </c>
      <c r="AK196" s="55"/>
      <c r="AL196" s="56" t="s">
        <v>62</v>
      </c>
      <c r="AM196" s="52"/>
    </row>
    <row r="197" spans="1:39" ht="12.75" customHeight="1" x14ac:dyDescent="0.3">
      <c r="A197" s="25"/>
      <c r="B197" s="66"/>
      <c r="C197" s="67"/>
      <c r="D197" s="67"/>
      <c r="E197" s="67"/>
      <c r="F197" s="68"/>
      <c r="G197" s="68"/>
      <c r="H197" s="68"/>
      <c r="I197" s="74"/>
      <c r="J197" s="74"/>
      <c r="K197" s="78"/>
      <c r="L197" s="78"/>
      <c r="M197" s="46"/>
      <c r="N197" s="79"/>
      <c r="O197" s="79"/>
      <c r="P197" s="46"/>
      <c r="Q197" s="16"/>
      <c r="R197" s="16"/>
      <c r="S197" s="69"/>
      <c r="T197" s="16"/>
      <c r="U197" s="113"/>
      <c r="V197" s="70"/>
      <c r="W197" s="60" t="s">
        <v>170</v>
      </c>
      <c r="X197" s="60" t="s">
        <v>52</v>
      </c>
      <c r="Y197" s="60" t="s">
        <v>171</v>
      </c>
      <c r="Z197" s="52"/>
      <c r="AA197" s="52"/>
      <c r="AB197" s="52"/>
      <c r="AC197" s="52"/>
      <c r="AD197" s="52"/>
      <c r="AE197" s="52"/>
      <c r="AF197" s="52"/>
      <c r="AG197" s="52"/>
      <c r="AH197" s="52"/>
      <c r="AI197" s="53">
        <v>44</v>
      </c>
      <c r="AJ197" s="54" t="s">
        <v>172</v>
      </c>
      <c r="AK197" s="55"/>
      <c r="AL197" s="56" t="s">
        <v>55</v>
      </c>
      <c r="AM197" s="52"/>
    </row>
    <row r="198" spans="1:39" ht="12.75" customHeight="1" x14ac:dyDescent="0.3">
      <c r="A198" s="25"/>
      <c r="B198" s="66"/>
      <c r="C198" s="67"/>
      <c r="D198" s="67"/>
      <c r="E198" s="67"/>
      <c r="F198" s="68"/>
      <c r="G198" s="68"/>
      <c r="H198" s="68"/>
      <c r="I198" s="20"/>
      <c r="J198" s="20"/>
      <c r="K198" s="14"/>
      <c r="L198" s="14"/>
      <c r="M198" s="16"/>
      <c r="N198" s="16"/>
      <c r="O198" s="16"/>
      <c r="P198" s="16"/>
      <c r="Q198" s="16"/>
      <c r="R198" s="16"/>
      <c r="S198" s="69"/>
      <c r="T198" s="16"/>
      <c r="U198" s="113"/>
      <c r="V198" s="70"/>
      <c r="W198" s="60" t="s">
        <v>173</v>
      </c>
      <c r="X198" s="60" t="s">
        <v>52</v>
      </c>
      <c r="Y198" s="60" t="s">
        <v>174</v>
      </c>
      <c r="Z198" s="52"/>
      <c r="AA198" s="52"/>
      <c r="AB198" s="52"/>
      <c r="AC198" s="52"/>
      <c r="AD198" s="52"/>
      <c r="AE198" s="52"/>
      <c r="AF198" s="52"/>
      <c r="AG198" s="52"/>
      <c r="AH198" s="52"/>
      <c r="AI198" s="53">
        <v>45</v>
      </c>
      <c r="AJ198" s="54" t="s">
        <v>175</v>
      </c>
      <c r="AK198" s="55"/>
      <c r="AL198" s="56" t="s">
        <v>55</v>
      </c>
      <c r="AM198" s="52"/>
    </row>
    <row r="199" spans="1:39" ht="12.75" customHeight="1" x14ac:dyDescent="0.3">
      <c r="A199" s="25"/>
      <c r="B199" s="66"/>
      <c r="C199" s="71"/>
      <c r="D199" s="71"/>
      <c r="E199" s="71"/>
      <c r="F199" s="72"/>
      <c r="G199" s="72"/>
      <c r="H199" s="72"/>
      <c r="I199" s="73"/>
      <c r="J199" s="73"/>
      <c r="K199" s="45"/>
      <c r="L199" s="45"/>
      <c r="M199" s="16"/>
      <c r="N199" s="16"/>
      <c r="O199" s="16"/>
      <c r="P199" s="16"/>
      <c r="Q199" s="16"/>
      <c r="R199" s="16"/>
      <c r="S199" s="16"/>
      <c r="T199" s="16"/>
      <c r="U199" s="114"/>
      <c r="V199" s="70"/>
      <c r="W199" s="60" t="s">
        <v>176</v>
      </c>
      <c r="X199" s="60" t="s">
        <v>52</v>
      </c>
      <c r="Y199" s="60" t="s">
        <v>177</v>
      </c>
      <c r="Z199" s="52"/>
      <c r="AA199" s="52"/>
      <c r="AB199" s="52"/>
      <c r="AC199" s="52"/>
      <c r="AD199" s="52"/>
      <c r="AE199" s="52"/>
      <c r="AF199" s="52"/>
      <c r="AG199" s="52"/>
      <c r="AH199" s="52"/>
      <c r="AI199" s="53">
        <v>40</v>
      </c>
      <c r="AJ199" s="54" t="s">
        <v>178</v>
      </c>
      <c r="AK199" s="55"/>
      <c r="AL199" s="56" t="s">
        <v>55</v>
      </c>
      <c r="AM199" s="52"/>
    </row>
    <row r="200" spans="1:39" ht="12.75" customHeight="1" x14ac:dyDescent="0.3">
      <c r="A200" s="25"/>
      <c r="B200" s="66"/>
      <c r="C200" s="67"/>
      <c r="D200" s="67"/>
      <c r="E200" s="67"/>
      <c r="F200" s="68"/>
      <c r="G200" s="68"/>
      <c r="H200" s="68"/>
      <c r="I200" s="74"/>
      <c r="J200" s="74"/>
      <c r="K200" s="75"/>
      <c r="L200" s="76"/>
      <c r="M200" s="16"/>
      <c r="N200" s="16"/>
      <c r="O200" s="16"/>
      <c r="P200" s="16"/>
      <c r="Q200" s="16"/>
      <c r="R200" s="16"/>
      <c r="S200" s="69"/>
      <c r="T200" s="16"/>
      <c r="U200" s="115"/>
      <c r="V200" s="70"/>
      <c r="W200" s="60" t="s">
        <v>179</v>
      </c>
      <c r="X200" s="60" t="s">
        <v>52</v>
      </c>
      <c r="Y200" s="60" t="s">
        <v>180</v>
      </c>
      <c r="Z200" s="52"/>
      <c r="AA200" s="52"/>
      <c r="AB200" s="52"/>
      <c r="AC200" s="52"/>
      <c r="AD200" s="52"/>
      <c r="AE200" s="52"/>
      <c r="AF200" s="52"/>
      <c r="AG200" s="52"/>
      <c r="AH200" s="52"/>
      <c r="AI200" s="53">
        <v>41</v>
      </c>
      <c r="AJ200" s="54" t="s">
        <v>181</v>
      </c>
      <c r="AK200" s="55"/>
      <c r="AL200" s="56" t="s">
        <v>55</v>
      </c>
      <c r="AM200" s="52"/>
    </row>
    <row r="201" spans="1:39" ht="12.75" customHeight="1" x14ac:dyDescent="0.3">
      <c r="A201" s="25"/>
      <c r="B201" s="66"/>
      <c r="C201" s="67"/>
      <c r="D201" s="67"/>
      <c r="E201" s="67"/>
      <c r="F201" s="68"/>
      <c r="G201" s="68"/>
      <c r="H201" s="68"/>
      <c r="I201" s="20"/>
      <c r="J201" s="20"/>
      <c r="K201" s="14"/>
      <c r="L201" s="14"/>
      <c r="M201" s="16"/>
      <c r="N201" s="16"/>
      <c r="O201" s="16"/>
      <c r="P201" s="16"/>
      <c r="Q201" s="16"/>
      <c r="R201" s="16"/>
      <c r="S201" s="69"/>
      <c r="T201" s="16"/>
      <c r="U201" s="113"/>
      <c r="V201" s="70"/>
      <c r="W201" s="60" t="s">
        <v>182</v>
      </c>
      <c r="X201" s="60" t="s">
        <v>52</v>
      </c>
      <c r="Y201" s="60" t="s">
        <v>183</v>
      </c>
      <c r="Z201" s="52"/>
      <c r="AA201" s="52"/>
      <c r="AB201" s="52"/>
      <c r="AC201" s="52"/>
      <c r="AD201" s="52"/>
      <c r="AE201" s="52"/>
      <c r="AF201" s="52"/>
      <c r="AG201" s="52"/>
      <c r="AH201" s="52"/>
      <c r="AI201" s="53">
        <v>42</v>
      </c>
      <c r="AJ201" s="54" t="s">
        <v>172</v>
      </c>
      <c r="AK201" s="55"/>
      <c r="AL201" s="56" t="s">
        <v>55</v>
      </c>
      <c r="AM201" s="52"/>
    </row>
    <row r="202" spans="1:39" ht="12.75" customHeight="1" x14ac:dyDescent="0.3">
      <c r="A202" s="25"/>
      <c r="B202" s="66"/>
      <c r="C202" s="67"/>
      <c r="D202" s="67"/>
      <c r="E202" s="67"/>
      <c r="F202" s="68"/>
      <c r="G202" s="68"/>
      <c r="H202" s="68"/>
      <c r="I202" s="20"/>
      <c r="J202" s="20"/>
      <c r="K202" s="77"/>
      <c r="L202" s="77"/>
      <c r="M202" s="16"/>
      <c r="N202" s="16"/>
      <c r="O202" s="16"/>
      <c r="P202" s="16"/>
      <c r="Q202" s="16"/>
      <c r="R202" s="16"/>
      <c r="S202" s="16"/>
      <c r="T202" s="16"/>
      <c r="U202" s="113"/>
      <c r="V202" s="70"/>
      <c r="W202" s="60" t="s">
        <v>151</v>
      </c>
      <c r="X202" s="60" t="s">
        <v>62</v>
      </c>
      <c r="Y202" s="60" t="s">
        <v>152</v>
      </c>
      <c r="Z202" s="52"/>
      <c r="AA202" s="52"/>
      <c r="AB202" s="52"/>
      <c r="AC202" s="52"/>
      <c r="AD202" s="52"/>
      <c r="AE202" s="52"/>
      <c r="AF202" s="52"/>
      <c r="AG202" s="52"/>
      <c r="AH202" s="52"/>
      <c r="AI202" s="53">
        <v>37</v>
      </c>
      <c r="AJ202" s="54" t="s">
        <v>184</v>
      </c>
      <c r="AK202" s="55"/>
      <c r="AL202" s="56" t="s">
        <v>55</v>
      </c>
      <c r="AM202" s="52"/>
    </row>
    <row r="203" spans="1:39" ht="12.75" customHeight="1" x14ac:dyDescent="0.3">
      <c r="A203" s="25"/>
      <c r="B203" s="66"/>
      <c r="C203" s="67"/>
      <c r="D203" s="67"/>
      <c r="E203" s="67"/>
      <c r="F203" s="68"/>
      <c r="G203" s="68"/>
      <c r="H203" s="68"/>
      <c r="I203" s="74"/>
      <c r="J203" s="74"/>
      <c r="K203" s="78"/>
      <c r="L203" s="78"/>
      <c r="M203" s="46"/>
      <c r="N203" s="79"/>
      <c r="O203" s="79"/>
      <c r="P203" s="46"/>
      <c r="Q203" s="16"/>
      <c r="R203" s="16"/>
      <c r="S203" s="69"/>
      <c r="T203" s="16"/>
      <c r="U203" s="113"/>
      <c r="V203" s="70"/>
      <c r="W203" s="81" t="s">
        <v>153</v>
      </c>
      <c r="X203" s="81" t="s">
        <v>52</v>
      </c>
      <c r="Y203" s="81" t="s">
        <v>154</v>
      </c>
      <c r="Z203" s="64"/>
      <c r="AA203" s="52"/>
      <c r="AB203" s="52"/>
      <c r="AC203" s="52"/>
      <c r="AD203" s="52"/>
      <c r="AE203" s="52"/>
      <c r="AF203" s="52"/>
      <c r="AG203" s="52"/>
      <c r="AH203" s="52"/>
      <c r="AI203" s="53">
        <v>38</v>
      </c>
      <c r="AJ203" s="54" t="s">
        <v>185</v>
      </c>
      <c r="AK203" s="55"/>
      <c r="AL203" s="56" t="s">
        <v>62</v>
      </c>
      <c r="AM203" s="52"/>
    </row>
    <row r="204" spans="1:39" ht="12.75" customHeight="1" x14ac:dyDescent="0.3">
      <c r="A204" s="25"/>
      <c r="B204" s="66"/>
      <c r="C204" s="67"/>
      <c r="D204" s="67"/>
      <c r="E204" s="67"/>
      <c r="F204" s="68"/>
      <c r="G204" s="68"/>
      <c r="H204" s="68"/>
      <c r="I204" s="20"/>
      <c r="J204" s="20"/>
      <c r="K204" s="14"/>
      <c r="L204" s="14"/>
      <c r="M204" s="16"/>
      <c r="N204" s="16"/>
      <c r="O204" s="16"/>
      <c r="P204" s="16"/>
      <c r="Q204" s="16"/>
      <c r="R204" s="16"/>
      <c r="S204" s="69"/>
      <c r="T204" s="16"/>
      <c r="U204" s="113"/>
      <c r="V204" s="70"/>
      <c r="W204" s="81" t="s">
        <v>186</v>
      </c>
      <c r="X204" s="81" t="s">
        <v>52</v>
      </c>
      <c r="Y204" s="81" t="s">
        <v>187</v>
      </c>
      <c r="Z204" s="64"/>
      <c r="AA204" s="52"/>
      <c r="AB204" s="52"/>
      <c r="AC204" s="52"/>
      <c r="AD204" s="52"/>
      <c r="AE204" s="52"/>
      <c r="AF204" s="52"/>
      <c r="AG204" s="52"/>
      <c r="AH204" s="52"/>
      <c r="AI204" s="53">
        <v>39</v>
      </c>
      <c r="AJ204" s="54" t="s">
        <v>188</v>
      </c>
      <c r="AK204" s="55"/>
      <c r="AL204" s="56" t="s">
        <v>62</v>
      </c>
      <c r="AM204" s="52"/>
    </row>
    <row r="205" spans="1:39" ht="12.75" customHeight="1" x14ac:dyDescent="0.3">
      <c r="A205" s="25"/>
      <c r="B205" s="66"/>
      <c r="C205" s="67"/>
      <c r="D205" s="67"/>
      <c r="E205" s="67"/>
      <c r="F205" s="68"/>
      <c r="G205" s="68"/>
      <c r="H205" s="68"/>
      <c r="I205" s="74"/>
      <c r="J205" s="74"/>
      <c r="K205" s="78"/>
      <c r="L205" s="78"/>
      <c r="M205" s="46"/>
      <c r="N205" s="79"/>
      <c r="O205" s="79"/>
      <c r="P205" s="46"/>
      <c r="Q205" s="16"/>
      <c r="R205" s="16"/>
      <c r="S205" s="69"/>
      <c r="T205" s="16"/>
      <c r="U205" s="113"/>
      <c r="V205" s="70"/>
      <c r="W205" s="50" t="s">
        <v>189</v>
      </c>
      <c r="X205" s="50" t="s">
        <v>52</v>
      </c>
      <c r="Y205" s="50" t="s">
        <v>190</v>
      </c>
      <c r="Z205" s="51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80"/>
      <c r="AL205" s="52"/>
      <c r="AM205" s="52"/>
    </row>
    <row r="206" spans="1:39" ht="12.75" customHeight="1" x14ac:dyDescent="0.3">
      <c r="A206" s="25"/>
      <c r="B206" s="66"/>
      <c r="C206" s="67"/>
      <c r="D206" s="67"/>
      <c r="E206" s="67"/>
      <c r="F206" s="68"/>
      <c r="G206" s="68"/>
      <c r="H206" s="68"/>
      <c r="I206" s="20"/>
      <c r="J206" s="20"/>
      <c r="K206" s="14"/>
      <c r="L206" s="14"/>
      <c r="M206" s="16"/>
      <c r="N206" s="16"/>
      <c r="O206" s="16"/>
      <c r="P206" s="16"/>
      <c r="Q206" s="16"/>
      <c r="R206" s="16"/>
      <c r="S206" s="69"/>
      <c r="T206" s="16"/>
      <c r="U206" s="113"/>
      <c r="V206" s="70"/>
      <c r="W206" s="50" t="s">
        <v>191</v>
      </c>
      <c r="X206" s="50" t="s">
        <v>52</v>
      </c>
      <c r="Y206" s="50" t="s">
        <v>192</v>
      </c>
      <c r="Z206" s="51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80"/>
      <c r="AL206" s="52"/>
      <c r="AM206" s="52"/>
    </row>
    <row r="207" spans="1:39" ht="12.75" customHeight="1" x14ac:dyDescent="0.3">
      <c r="A207" s="25"/>
      <c r="B207" s="66"/>
      <c r="C207" s="71"/>
      <c r="D207" s="71"/>
      <c r="E207" s="71"/>
      <c r="F207" s="72"/>
      <c r="G207" s="72"/>
      <c r="H207" s="72"/>
      <c r="I207" s="73"/>
      <c r="J207" s="73"/>
      <c r="K207" s="45"/>
      <c r="L207" s="45"/>
      <c r="M207" s="16"/>
      <c r="N207" s="16"/>
      <c r="O207" s="16"/>
      <c r="P207" s="16"/>
      <c r="Q207" s="16"/>
      <c r="R207" s="16"/>
      <c r="S207" s="16"/>
      <c r="T207" s="16"/>
      <c r="U207" s="114"/>
      <c r="V207" s="70"/>
      <c r="W207" s="50" t="s">
        <v>193</v>
      </c>
      <c r="X207" s="50" t="s">
        <v>52</v>
      </c>
      <c r="Y207" s="50" t="s">
        <v>194</v>
      </c>
      <c r="Z207" s="51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80"/>
      <c r="AL207" s="52"/>
      <c r="AM207" s="52"/>
    </row>
    <row r="208" spans="1:39" ht="12.75" customHeight="1" x14ac:dyDescent="0.3">
      <c r="A208" s="25"/>
      <c r="B208" s="66"/>
      <c r="C208" s="67"/>
      <c r="D208" s="67"/>
      <c r="E208" s="67"/>
      <c r="F208" s="68"/>
      <c r="G208" s="68"/>
      <c r="H208" s="68"/>
      <c r="I208" s="74"/>
      <c r="J208" s="74"/>
      <c r="K208" s="75"/>
      <c r="L208" s="76"/>
      <c r="M208" s="16"/>
      <c r="N208" s="16"/>
      <c r="O208" s="16"/>
      <c r="P208" s="16"/>
      <c r="Q208" s="16"/>
      <c r="R208" s="16"/>
      <c r="S208" s="69"/>
      <c r="T208" s="16"/>
      <c r="U208" s="115"/>
      <c r="V208" s="70"/>
      <c r="W208" s="1"/>
      <c r="X208" s="1"/>
      <c r="Y208" s="1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80"/>
      <c r="AL208" s="52"/>
      <c r="AM208" s="52"/>
    </row>
    <row r="209" spans="1:39" ht="12.75" customHeight="1" x14ac:dyDescent="0.3">
      <c r="A209" s="25"/>
      <c r="B209" s="66"/>
      <c r="C209" s="67"/>
      <c r="D209" s="67"/>
      <c r="E209" s="67"/>
      <c r="F209" s="68"/>
      <c r="G209" s="68"/>
      <c r="H209" s="68"/>
      <c r="I209" s="20"/>
      <c r="J209" s="20"/>
      <c r="K209" s="14"/>
      <c r="L209" s="14"/>
      <c r="M209" s="16"/>
      <c r="N209" s="16"/>
      <c r="O209" s="16"/>
      <c r="P209" s="16"/>
      <c r="Q209" s="16"/>
      <c r="R209" s="16"/>
      <c r="S209" s="69"/>
      <c r="T209" s="16"/>
      <c r="U209" s="113"/>
      <c r="V209" s="70"/>
      <c r="W209" s="36"/>
      <c r="X209" s="36"/>
      <c r="Y209" s="36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80"/>
      <c r="AL209" s="52"/>
      <c r="AM209" s="52"/>
    </row>
    <row r="210" spans="1:39" ht="12.75" customHeight="1" x14ac:dyDescent="0.3">
      <c r="A210" s="25"/>
      <c r="B210" s="66"/>
      <c r="C210" s="67"/>
      <c r="D210" s="67"/>
      <c r="E210" s="67"/>
      <c r="F210" s="68"/>
      <c r="G210" s="68"/>
      <c r="H210" s="68"/>
      <c r="I210" s="20"/>
      <c r="J210" s="20"/>
      <c r="K210" s="77"/>
      <c r="L210" s="77"/>
      <c r="M210" s="16"/>
      <c r="N210" s="16"/>
      <c r="O210" s="16"/>
      <c r="P210" s="16"/>
      <c r="Q210" s="16"/>
      <c r="R210" s="16"/>
      <c r="S210" s="16"/>
      <c r="T210" s="16"/>
      <c r="U210" s="113"/>
      <c r="V210" s="70"/>
      <c r="W210" s="36"/>
      <c r="X210" s="36"/>
      <c r="Y210" s="36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80"/>
      <c r="AL210" s="52"/>
      <c r="AM210" s="52"/>
    </row>
    <row r="211" spans="1:39" ht="12.75" customHeight="1" x14ac:dyDescent="0.3">
      <c r="A211" s="25"/>
      <c r="B211" s="66"/>
      <c r="C211" s="67"/>
      <c r="D211" s="67"/>
      <c r="E211" s="67"/>
      <c r="F211" s="68"/>
      <c r="G211" s="68"/>
      <c r="H211" s="68"/>
      <c r="I211" s="74"/>
      <c r="J211" s="74"/>
      <c r="K211" s="78"/>
      <c r="L211" s="78"/>
      <c r="M211" s="46"/>
      <c r="N211" s="79"/>
      <c r="O211" s="79"/>
      <c r="P211" s="46"/>
      <c r="Q211" s="16"/>
      <c r="R211" s="16"/>
      <c r="S211" s="69"/>
      <c r="T211" s="16"/>
      <c r="U211" s="113"/>
      <c r="V211" s="70"/>
      <c r="W211" s="60" t="s">
        <v>195</v>
      </c>
      <c r="X211" s="60" t="s">
        <v>196</v>
      </c>
      <c r="Y211" s="60" t="s">
        <v>197</v>
      </c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80"/>
      <c r="AL211" s="52"/>
      <c r="AM211" s="52"/>
    </row>
    <row r="212" spans="1:39" ht="12.75" customHeight="1" x14ac:dyDescent="0.3">
      <c r="A212" s="25"/>
      <c r="B212" s="66"/>
      <c r="C212" s="67"/>
      <c r="D212" s="67"/>
      <c r="E212" s="67"/>
      <c r="F212" s="68"/>
      <c r="G212" s="68"/>
      <c r="H212" s="68"/>
      <c r="I212" s="20"/>
      <c r="J212" s="20"/>
      <c r="K212" s="14"/>
      <c r="L212" s="14"/>
      <c r="M212" s="16"/>
      <c r="N212" s="16"/>
      <c r="O212" s="16"/>
      <c r="P212" s="16"/>
      <c r="Q212" s="16"/>
      <c r="R212" s="16"/>
      <c r="S212" s="69"/>
      <c r="T212" s="16"/>
      <c r="U212" s="113"/>
      <c r="V212" s="70"/>
      <c r="W212" s="60" t="s">
        <v>198</v>
      </c>
      <c r="X212" s="60" t="s">
        <v>196</v>
      </c>
      <c r="Y212" s="60" t="s">
        <v>199</v>
      </c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80"/>
      <c r="AL212" s="52"/>
      <c r="AM212" s="52"/>
    </row>
    <row r="213" spans="1:39" ht="12.75" customHeight="1" x14ac:dyDescent="0.3">
      <c r="A213" s="25"/>
      <c r="B213" s="66"/>
      <c r="C213" s="71"/>
      <c r="D213" s="71"/>
      <c r="E213" s="71"/>
      <c r="F213" s="72"/>
      <c r="G213" s="72"/>
      <c r="H213" s="72"/>
      <c r="I213" s="73"/>
      <c r="J213" s="73"/>
      <c r="K213" s="45"/>
      <c r="L213" s="45"/>
      <c r="M213" s="16"/>
      <c r="N213" s="16"/>
      <c r="O213" s="16"/>
      <c r="P213" s="16"/>
      <c r="Q213" s="16"/>
      <c r="R213" s="16"/>
      <c r="S213" s="16"/>
      <c r="T213" s="16"/>
      <c r="U213" s="114"/>
      <c r="V213" s="70"/>
      <c r="W213" s="60" t="s">
        <v>200</v>
      </c>
      <c r="X213" s="60" t="s">
        <v>52</v>
      </c>
      <c r="Y213" s="60" t="s">
        <v>201</v>
      </c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80"/>
      <c r="AL213" s="52"/>
      <c r="AM213" s="52"/>
    </row>
    <row r="214" spans="1:39" ht="12.75" customHeight="1" x14ac:dyDescent="0.3">
      <c r="A214" s="25"/>
      <c r="B214" s="66"/>
      <c r="C214" s="67"/>
      <c r="D214" s="67"/>
      <c r="E214" s="67"/>
      <c r="F214" s="68"/>
      <c r="G214" s="68"/>
      <c r="H214" s="68"/>
      <c r="I214" s="74"/>
      <c r="J214" s="74"/>
      <c r="K214" s="75"/>
      <c r="L214" s="76"/>
      <c r="M214" s="16"/>
      <c r="N214" s="16"/>
      <c r="O214" s="16"/>
      <c r="P214" s="16"/>
      <c r="Q214" s="16"/>
      <c r="R214" s="16"/>
      <c r="S214" s="69"/>
      <c r="T214" s="16"/>
      <c r="U214" s="115"/>
      <c r="V214" s="70"/>
      <c r="W214" s="36"/>
      <c r="X214" s="36"/>
      <c r="Y214" s="36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80"/>
      <c r="AL214" s="52"/>
      <c r="AM214" s="52"/>
    </row>
    <row r="215" spans="1:39" ht="12.75" customHeight="1" x14ac:dyDescent="0.3">
      <c r="A215" s="25"/>
      <c r="B215" s="66"/>
      <c r="C215" s="67"/>
      <c r="D215" s="67"/>
      <c r="E215" s="67"/>
      <c r="F215" s="68"/>
      <c r="G215" s="68"/>
      <c r="H215" s="68"/>
      <c r="I215" s="20"/>
      <c r="J215" s="20"/>
      <c r="K215" s="14"/>
      <c r="L215" s="14"/>
      <c r="M215" s="16"/>
      <c r="N215" s="16"/>
      <c r="O215" s="16"/>
      <c r="P215" s="16"/>
      <c r="Q215" s="16"/>
      <c r="R215" s="16"/>
      <c r="S215" s="69"/>
      <c r="T215" s="16"/>
      <c r="U215" s="113"/>
      <c r="V215" s="70"/>
      <c r="W215" s="36"/>
      <c r="X215" s="36"/>
      <c r="Y215" s="36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80"/>
      <c r="AL215" s="52"/>
      <c r="AM215" s="52"/>
    </row>
    <row r="216" spans="1:39" ht="12.75" customHeight="1" x14ac:dyDescent="0.3">
      <c r="A216" s="25"/>
      <c r="B216" s="66"/>
      <c r="C216" s="67"/>
      <c r="D216" s="67"/>
      <c r="E216" s="67"/>
      <c r="F216" s="68"/>
      <c r="G216" s="68"/>
      <c r="H216" s="68"/>
      <c r="I216" s="20"/>
      <c r="J216" s="20"/>
      <c r="K216" s="77"/>
      <c r="L216" s="77"/>
      <c r="M216" s="16"/>
      <c r="N216" s="16"/>
      <c r="O216" s="16"/>
      <c r="P216" s="16"/>
      <c r="Q216" s="16"/>
      <c r="R216" s="16"/>
      <c r="S216" s="16"/>
      <c r="T216" s="16"/>
      <c r="U216" s="113"/>
      <c r="V216" s="70"/>
      <c r="W216" s="36"/>
      <c r="X216" s="36"/>
      <c r="Y216" s="36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80"/>
      <c r="AL216" s="52"/>
      <c r="AM216" s="52"/>
    </row>
    <row r="217" spans="1:39" ht="12.75" customHeight="1" x14ac:dyDescent="0.3">
      <c r="A217" s="25"/>
      <c r="B217" s="66"/>
      <c r="C217" s="67"/>
      <c r="D217" s="67"/>
      <c r="E217" s="67"/>
      <c r="F217" s="68"/>
      <c r="G217" s="68"/>
      <c r="H217" s="68"/>
      <c r="I217" s="74"/>
      <c r="J217" s="74"/>
      <c r="K217" s="78"/>
      <c r="L217" s="78"/>
      <c r="M217" s="46"/>
      <c r="N217" s="79"/>
      <c r="O217" s="79"/>
      <c r="P217" s="46"/>
      <c r="Q217" s="16"/>
      <c r="R217" s="16"/>
      <c r="S217" s="69"/>
      <c r="T217" s="16"/>
      <c r="U217" s="113"/>
      <c r="V217" s="70"/>
      <c r="W217" s="60" t="s">
        <v>202</v>
      </c>
      <c r="X217" s="60" t="s">
        <v>52</v>
      </c>
      <c r="Y217" s="60" t="s">
        <v>203</v>
      </c>
      <c r="Z217" s="52"/>
      <c r="AA217" s="52"/>
      <c r="AB217" s="52"/>
      <c r="AC217" s="52"/>
      <c r="AD217" s="52"/>
      <c r="AE217" s="52"/>
      <c r="AF217" s="52"/>
      <c r="AG217" s="52"/>
      <c r="AH217" s="52"/>
      <c r="AI217" s="53">
        <v>46</v>
      </c>
      <c r="AJ217" s="54" t="s">
        <v>204</v>
      </c>
      <c r="AK217" s="55"/>
      <c r="AL217" s="56" t="s">
        <v>55</v>
      </c>
      <c r="AM217" s="52"/>
    </row>
    <row r="218" spans="1:39" ht="12.75" customHeight="1" x14ac:dyDescent="0.3">
      <c r="A218" s="25"/>
      <c r="B218" s="66"/>
      <c r="C218" s="67"/>
      <c r="D218" s="67"/>
      <c r="E218" s="67"/>
      <c r="F218" s="68"/>
      <c r="G218" s="68"/>
      <c r="H218" s="68"/>
      <c r="I218" s="20"/>
      <c r="J218" s="20"/>
      <c r="K218" s="14"/>
      <c r="L218" s="14"/>
      <c r="M218" s="16"/>
      <c r="N218" s="16"/>
      <c r="O218" s="16"/>
      <c r="P218" s="16"/>
      <c r="Q218" s="16"/>
      <c r="R218" s="16"/>
      <c r="S218" s="69"/>
      <c r="T218" s="16"/>
      <c r="U218" s="113"/>
      <c r="V218" s="70"/>
      <c r="W218" s="60" t="s">
        <v>205</v>
      </c>
      <c r="X218" s="60" t="s">
        <v>52</v>
      </c>
      <c r="Y218" s="60" t="s">
        <v>206</v>
      </c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80"/>
      <c r="AL218" s="52"/>
      <c r="AM218" s="52"/>
    </row>
    <row r="219" spans="1:39" ht="12.75" customHeight="1" x14ac:dyDescent="0.3">
      <c r="A219" s="25"/>
      <c r="B219" s="66"/>
      <c r="C219" s="67"/>
      <c r="D219" s="67"/>
      <c r="E219" s="67"/>
      <c r="F219" s="68"/>
      <c r="G219" s="68"/>
      <c r="H219" s="68"/>
      <c r="I219" s="74"/>
      <c r="J219" s="74"/>
      <c r="K219" s="78"/>
      <c r="L219" s="78"/>
      <c r="M219" s="46"/>
      <c r="N219" s="79"/>
      <c r="O219" s="79"/>
      <c r="P219" s="46"/>
      <c r="Q219" s="16"/>
      <c r="R219" s="16"/>
      <c r="S219" s="69"/>
      <c r="T219" s="16"/>
      <c r="U219" s="113"/>
      <c r="V219" s="70"/>
      <c r="W219" s="60" t="s">
        <v>207</v>
      </c>
      <c r="X219" s="60" t="s">
        <v>52</v>
      </c>
      <c r="Y219" s="60" t="s">
        <v>208</v>
      </c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80"/>
      <c r="AL219" s="52"/>
      <c r="AM219" s="52"/>
    </row>
    <row r="220" spans="1:39" ht="9.75" customHeight="1" x14ac:dyDescent="0.25">
      <c r="A220" s="25"/>
      <c r="B220" s="66"/>
      <c r="C220" s="67"/>
      <c r="D220" s="67"/>
      <c r="E220" s="67"/>
      <c r="F220" s="68"/>
      <c r="G220" s="68"/>
      <c r="H220" s="68"/>
      <c r="I220" s="20"/>
      <c r="J220" s="20"/>
      <c r="K220" s="14"/>
      <c r="L220" s="14"/>
      <c r="M220" s="16"/>
      <c r="N220" s="16"/>
      <c r="O220" s="16"/>
      <c r="P220" s="16"/>
      <c r="Q220" s="16"/>
      <c r="R220" s="16"/>
      <c r="S220" s="69"/>
      <c r="T220" s="16"/>
      <c r="U220" s="113"/>
      <c r="V220" s="70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</row>
    <row r="221" spans="1:39" ht="9.75" customHeight="1" x14ac:dyDescent="0.25">
      <c r="A221" s="25"/>
      <c r="B221" s="66"/>
      <c r="C221" s="71"/>
      <c r="D221" s="71"/>
      <c r="E221" s="71"/>
      <c r="F221" s="72"/>
      <c r="G221" s="72"/>
      <c r="H221" s="72"/>
      <c r="I221" s="73"/>
      <c r="J221" s="73"/>
      <c r="K221" s="45"/>
      <c r="L221" s="45"/>
      <c r="M221" s="16"/>
      <c r="N221" s="16"/>
      <c r="O221" s="16"/>
      <c r="P221" s="16"/>
      <c r="Q221" s="16"/>
      <c r="R221" s="16"/>
      <c r="S221" s="16"/>
      <c r="T221" s="16"/>
      <c r="U221" s="114"/>
      <c r="V221" s="70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</row>
    <row r="222" spans="1:39" ht="9.75" customHeight="1" x14ac:dyDescent="0.25">
      <c r="A222" s="25"/>
      <c r="B222" s="66"/>
      <c r="C222" s="67"/>
      <c r="D222" s="67"/>
      <c r="E222" s="67"/>
      <c r="F222" s="68"/>
      <c r="G222" s="68"/>
      <c r="H222" s="68"/>
      <c r="I222" s="74"/>
      <c r="J222" s="74"/>
      <c r="K222" s="75"/>
      <c r="L222" s="76"/>
      <c r="M222" s="16"/>
      <c r="N222" s="16"/>
      <c r="O222" s="16"/>
      <c r="P222" s="16"/>
      <c r="Q222" s="16"/>
      <c r="R222" s="16"/>
      <c r="S222" s="69"/>
      <c r="T222" s="16"/>
      <c r="U222" s="115"/>
      <c r="V222" s="70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</row>
    <row r="223" spans="1:39" ht="12.75" customHeight="1" x14ac:dyDescent="0.3">
      <c r="A223" s="25"/>
      <c r="B223" s="66"/>
      <c r="C223" s="67"/>
      <c r="D223" s="67"/>
      <c r="E223" s="67"/>
      <c r="F223" s="68"/>
      <c r="G223" s="68"/>
      <c r="H223" s="68"/>
      <c r="I223" s="20"/>
      <c r="J223" s="20"/>
      <c r="K223" s="14"/>
      <c r="L223" s="14"/>
      <c r="M223" s="16"/>
      <c r="N223" s="16"/>
      <c r="O223" s="16"/>
      <c r="P223" s="16"/>
      <c r="Q223" s="16"/>
      <c r="R223" s="16"/>
      <c r="S223" s="69"/>
      <c r="T223" s="16"/>
      <c r="U223" s="113"/>
      <c r="V223" s="70"/>
      <c r="W223" s="60"/>
      <c r="X223" s="60"/>
      <c r="Y223" s="60"/>
      <c r="Z223" s="52"/>
      <c r="AA223" s="52"/>
      <c r="AB223" s="52"/>
      <c r="AC223" s="52"/>
      <c r="AD223" s="52"/>
      <c r="AE223" s="52"/>
      <c r="AF223" s="52"/>
      <c r="AG223" s="52"/>
      <c r="AH223" s="52"/>
      <c r="AI223" s="53"/>
      <c r="AJ223" s="54"/>
      <c r="AK223" s="55"/>
      <c r="AL223" s="56"/>
      <c r="AM223" s="52"/>
    </row>
    <row r="224" spans="1:39" ht="12.75" customHeight="1" x14ac:dyDescent="0.3">
      <c r="A224" s="25"/>
      <c r="B224" s="66"/>
      <c r="C224" s="67"/>
      <c r="D224" s="67"/>
      <c r="E224" s="67"/>
      <c r="F224" s="68"/>
      <c r="G224" s="68"/>
      <c r="H224" s="68"/>
      <c r="I224" s="20"/>
      <c r="J224" s="20"/>
      <c r="K224" s="77"/>
      <c r="L224" s="77"/>
      <c r="M224" s="16"/>
      <c r="N224" s="16"/>
      <c r="O224" s="16"/>
      <c r="P224" s="16"/>
      <c r="Q224" s="16"/>
      <c r="R224" s="16"/>
      <c r="S224" s="16"/>
      <c r="T224" s="16"/>
      <c r="U224" s="113"/>
      <c r="V224" s="70"/>
      <c r="W224" s="60"/>
      <c r="X224" s="60"/>
      <c r="Y224" s="60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80"/>
      <c r="AL224" s="52"/>
      <c r="AM224" s="52"/>
    </row>
    <row r="225" spans="1:39" ht="12.75" customHeight="1" x14ac:dyDescent="0.3">
      <c r="A225" s="25"/>
      <c r="B225" s="66"/>
      <c r="C225" s="67"/>
      <c r="D225" s="67"/>
      <c r="E225" s="67"/>
      <c r="F225" s="68"/>
      <c r="G225" s="68"/>
      <c r="H225" s="68"/>
      <c r="I225" s="74"/>
      <c r="J225" s="74"/>
      <c r="K225" s="78"/>
      <c r="L225" s="78"/>
      <c r="M225" s="46"/>
      <c r="N225" s="79"/>
      <c r="O225" s="79"/>
      <c r="P225" s="46"/>
      <c r="Q225" s="16"/>
      <c r="R225" s="16"/>
      <c r="S225" s="69"/>
      <c r="T225" s="16"/>
      <c r="U225" s="113"/>
      <c r="V225" s="70"/>
      <c r="W225" s="60"/>
      <c r="X225" s="60"/>
      <c r="Y225" s="60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80"/>
      <c r="AL225" s="52"/>
      <c r="AM225" s="52"/>
    </row>
    <row r="226" spans="1:39" ht="12.75" customHeight="1" x14ac:dyDescent="0.3">
      <c r="A226" s="25"/>
      <c r="B226" s="66"/>
      <c r="C226" s="67"/>
      <c r="D226" s="67"/>
      <c r="E226" s="67"/>
      <c r="F226" s="68"/>
      <c r="G226" s="68"/>
      <c r="H226" s="68"/>
      <c r="I226" s="20"/>
      <c r="J226" s="20"/>
      <c r="K226" s="14"/>
      <c r="L226" s="14"/>
      <c r="M226" s="16"/>
      <c r="N226" s="16"/>
      <c r="O226" s="16"/>
      <c r="P226" s="16"/>
      <c r="Q226" s="16"/>
      <c r="R226" s="16"/>
      <c r="S226" s="69"/>
      <c r="T226" s="16"/>
      <c r="U226" s="113"/>
      <c r="V226" s="70"/>
      <c r="W226" s="60"/>
      <c r="X226" s="60"/>
      <c r="Y226" s="60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80"/>
      <c r="AL226" s="52"/>
      <c r="AM226" s="52"/>
    </row>
    <row r="227" spans="1:39" ht="12.75" customHeight="1" x14ac:dyDescent="0.25">
      <c r="A227" s="25"/>
      <c r="B227" s="66"/>
      <c r="C227" s="71"/>
      <c r="D227" s="71"/>
      <c r="E227" s="71"/>
      <c r="F227" s="72"/>
      <c r="G227" s="72"/>
      <c r="H227" s="72"/>
      <c r="I227" s="73"/>
      <c r="J227" s="73"/>
      <c r="K227" s="45"/>
      <c r="L227" s="45"/>
      <c r="M227" s="16"/>
      <c r="N227" s="16"/>
      <c r="O227" s="16"/>
      <c r="P227" s="16"/>
      <c r="Q227" s="16"/>
      <c r="R227" s="16"/>
      <c r="S227" s="16"/>
      <c r="T227" s="16"/>
      <c r="U227" s="114"/>
      <c r="V227" s="70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</row>
    <row r="228" spans="1:39" ht="12.75" customHeight="1" x14ac:dyDescent="0.25">
      <c r="A228" s="25"/>
      <c r="B228" s="66"/>
      <c r="C228" s="67"/>
      <c r="D228" s="67"/>
      <c r="E228" s="67"/>
      <c r="F228" s="68"/>
      <c r="G228" s="68"/>
      <c r="H228" s="68"/>
      <c r="I228" s="74"/>
      <c r="J228" s="74"/>
      <c r="K228" s="75"/>
      <c r="L228" s="76"/>
      <c r="M228" s="16"/>
      <c r="N228" s="16"/>
      <c r="O228" s="16"/>
      <c r="P228" s="16"/>
      <c r="Q228" s="16"/>
      <c r="R228" s="16"/>
      <c r="S228" s="69"/>
      <c r="T228" s="16"/>
      <c r="U228" s="115"/>
      <c r="V228" s="70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</row>
    <row r="229" spans="1:39" ht="12.75" customHeight="1" x14ac:dyDescent="0.25">
      <c r="A229" s="25"/>
      <c r="B229" s="66"/>
      <c r="C229" s="67"/>
      <c r="D229" s="67"/>
      <c r="E229" s="67"/>
      <c r="F229" s="68"/>
      <c r="G229" s="68"/>
      <c r="H229" s="68"/>
      <c r="I229" s="20"/>
      <c r="J229" s="20"/>
      <c r="K229" s="14"/>
      <c r="L229" s="14"/>
      <c r="M229" s="16"/>
      <c r="N229" s="16"/>
      <c r="O229" s="16"/>
      <c r="P229" s="16"/>
      <c r="Q229" s="16"/>
      <c r="R229" s="16"/>
      <c r="S229" s="69"/>
      <c r="T229" s="16"/>
      <c r="U229" s="113"/>
      <c r="V229" s="70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</row>
    <row r="230" spans="1:39" ht="12.75" customHeight="1" x14ac:dyDescent="0.25">
      <c r="A230" s="25"/>
      <c r="B230" s="66"/>
      <c r="C230" s="67"/>
      <c r="D230" s="67"/>
      <c r="E230" s="67"/>
      <c r="F230" s="68"/>
      <c r="G230" s="68"/>
      <c r="H230" s="68"/>
      <c r="I230" s="20"/>
      <c r="J230" s="20"/>
      <c r="K230" s="77"/>
      <c r="L230" s="77"/>
      <c r="M230" s="16"/>
      <c r="N230" s="16"/>
      <c r="O230" s="16"/>
      <c r="P230" s="16"/>
      <c r="Q230" s="16"/>
      <c r="R230" s="16"/>
      <c r="S230" s="16"/>
      <c r="T230" s="16"/>
      <c r="U230" s="113"/>
      <c r="V230" s="70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</row>
    <row r="231" spans="1:39" ht="12.75" customHeight="1" x14ac:dyDescent="0.25">
      <c r="A231" s="25"/>
      <c r="B231" s="66"/>
      <c r="C231" s="67"/>
      <c r="D231" s="67"/>
      <c r="E231" s="67"/>
      <c r="F231" s="68"/>
      <c r="G231" s="68"/>
      <c r="H231" s="68"/>
      <c r="I231" s="74"/>
      <c r="J231" s="74"/>
      <c r="K231" s="78"/>
      <c r="L231" s="78"/>
      <c r="M231" s="46"/>
      <c r="N231" s="79"/>
      <c r="O231" s="79"/>
      <c r="P231" s="46"/>
      <c r="Q231" s="16"/>
      <c r="R231" s="16"/>
      <c r="S231" s="69"/>
      <c r="T231" s="16"/>
      <c r="U231" s="113"/>
      <c r="V231" s="70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</row>
    <row r="232" spans="1:39" ht="12.75" customHeight="1" x14ac:dyDescent="0.25">
      <c r="A232" s="25"/>
      <c r="B232" s="66"/>
      <c r="C232" s="67"/>
      <c r="D232" s="67"/>
      <c r="E232" s="67"/>
      <c r="F232" s="68"/>
      <c r="G232" s="68"/>
      <c r="H232" s="68"/>
      <c r="I232" s="20"/>
      <c r="J232" s="20"/>
      <c r="K232" s="14"/>
      <c r="L232" s="14"/>
      <c r="M232" s="16"/>
      <c r="N232" s="16"/>
      <c r="O232" s="16"/>
      <c r="P232" s="16"/>
      <c r="Q232" s="16"/>
      <c r="R232" s="16"/>
      <c r="S232" s="69"/>
      <c r="T232" s="16"/>
      <c r="U232" s="113"/>
      <c r="V232" s="70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</row>
    <row r="233" spans="1:39" ht="12.75" customHeight="1" x14ac:dyDescent="0.25">
      <c r="A233" s="25"/>
      <c r="B233" s="66"/>
      <c r="C233" s="67"/>
      <c r="D233" s="67"/>
      <c r="E233" s="67"/>
      <c r="F233" s="68"/>
      <c r="G233" s="68"/>
      <c r="H233" s="68"/>
      <c r="I233" s="74"/>
      <c r="J233" s="74"/>
      <c r="K233" s="78"/>
      <c r="L233" s="78"/>
      <c r="M233" s="46"/>
      <c r="N233" s="79"/>
      <c r="O233" s="79"/>
      <c r="P233" s="46"/>
      <c r="Q233" s="16"/>
      <c r="R233" s="16"/>
      <c r="S233" s="69"/>
      <c r="T233" s="16"/>
      <c r="U233" s="113"/>
      <c r="V233" s="70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</row>
    <row r="234" spans="1:39" ht="12.75" customHeight="1" x14ac:dyDescent="0.25">
      <c r="A234" s="25"/>
      <c r="B234" s="66"/>
      <c r="C234" s="67"/>
      <c r="D234" s="67"/>
      <c r="E234" s="67"/>
      <c r="F234" s="68"/>
      <c r="G234" s="68"/>
      <c r="H234" s="68"/>
      <c r="I234" s="20"/>
      <c r="J234" s="20"/>
      <c r="K234" s="14"/>
      <c r="L234" s="14"/>
      <c r="M234" s="16"/>
      <c r="N234" s="16"/>
      <c r="O234" s="16"/>
      <c r="P234" s="16"/>
      <c r="Q234" s="16"/>
      <c r="R234" s="16"/>
      <c r="S234" s="69"/>
      <c r="T234" s="16"/>
      <c r="U234" s="113"/>
      <c r="V234" s="70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</row>
    <row r="235" spans="1:39" ht="12.75" customHeight="1" x14ac:dyDescent="0.25">
      <c r="A235" s="25"/>
      <c r="B235" s="66"/>
      <c r="C235" s="71"/>
      <c r="D235" s="71"/>
      <c r="E235" s="71"/>
      <c r="F235" s="72"/>
      <c r="G235" s="72"/>
      <c r="H235" s="72"/>
      <c r="I235" s="73"/>
      <c r="J235" s="73"/>
      <c r="K235" s="45"/>
      <c r="L235" s="45"/>
      <c r="M235" s="16"/>
      <c r="N235" s="16"/>
      <c r="O235" s="16"/>
      <c r="P235" s="16"/>
      <c r="Q235" s="16"/>
      <c r="R235" s="16"/>
      <c r="S235" s="16"/>
      <c r="T235" s="16"/>
      <c r="U235" s="114"/>
      <c r="V235" s="70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</row>
    <row r="236" spans="1:39" ht="12.75" customHeight="1" x14ac:dyDescent="0.25">
      <c r="A236" s="25"/>
      <c r="B236" s="66"/>
      <c r="C236" s="67"/>
      <c r="D236" s="67"/>
      <c r="E236" s="67"/>
      <c r="F236" s="68"/>
      <c r="G236" s="68"/>
      <c r="H236" s="68"/>
      <c r="I236" s="74"/>
      <c r="J236" s="74"/>
      <c r="K236" s="75"/>
      <c r="L236" s="76"/>
      <c r="M236" s="16"/>
      <c r="N236" s="16"/>
      <c r="O236" s="16"/>
      <c r="P236" s="16"/>
      <c r="Q236" s="16"/>
      <c r="R236" s="16"/>
      <c r="S236" s="69"/>
      <c r="T236" s="16"/>
      <c r="U236" s="115"/>
      <c r="V236" s="70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</row>
    <row r="237" spans="1:39" ht="12.75" customHeight="1" x14ac:dyDescent="0.25">
      <c r="A237" s="25"/>
      <c r="B237" s="66"/>
      <c r="C237" s="67"/>
      <c r="D237" s="67"/>
      <c r="E237" s="67"/>
      <c r="F237" s="68"/>
      <c r="G237" s="68"/>
      <c r="H237" s="68"/>
      <c r="I237" s="20"/>
      <c r="J237" s="20"/>
      <c r="K237" s="14"/>
      <c r="L237" s="14"/>
      <c r="M237" s="16"/>
      <c r="N237" s="16"/>
      <c r="O237" s="16"/>
      <c r="P237" s="16"/>
      <c r="Q237" s="16"/>
      <c r="R237" s="16"/>
      <c r="S237" s="69"/>
      <c r="T237" s="16"/>
      <c r="U237" s="113"/>
      <c r="V237" s="70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</row>
    <row r="238" spans="1:39" ht="12.75" customHeight="1" x14ac:dyDescent="0.25">
      <c r="A238" s="25"/>
      <c r="B238" s="66"/>
      <c r="C238" s="67"/>
      <c r="D238" s="67"/>
      <c r="E238" s="67"/>
      <c r="F238" s="68"/>
      <c r="G238" s="68"/>
      <c r="H238" s="68"/>
      <c r="I238" s="20"/>
      <c r="J238" s="20"/>
      <c r="K238" s="77"/>
      <c r="L238" s="77"/>
      <c r="M238" s="16"/>
      <c r="N238" s="16"/>
      <c r="O238" s="16"/>
      <c r="P238" s="16"/>
      <c r="Q238" s="16"/>
      <c r="R238" s="16"/>
      <c r="S238" s="16"/>
      <c r="T238" s="16"/>
      <c r="U238" s="113"/>
      <c r="V238" s="70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</row>
    <row r="239" spans="1:39" ht="12.75" customHeight="1" x14ac:dyDescent="0.25">
      <c r="A239" s="25"/>
      <c r="B239" s="66"/>
      <c r="C239" s="67"/>
      <c r="D239" s="67"/>
      <c r="E239" s="67"/>
      <c r="F239" s="68"/>
      <c r="G239" s="68"/>
      <c r="H239" s="68"/>
      <c r="I239" s="74"/>
      <c r="J239" s="74"/>
      <c r="K239" s="78"/>
      <c r="L239" s="78"/>
      <c r="M239" s="46"/>
      <c r="N239" s="79"/>
      <c r="O239" s="79"/>
      <c r="P239" s="46"/>
      <c r="Q239" s="16"/>
      <c r="R239" s="16"/>
      <c r="S239" s="69"/>
      <c r="T239" s="16"/>
      <c r="U239" s="113"/>
      <c r="V239" s="70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</row>
    <row r="240" spans="1:39" ht="12.75" customHeight="1" x14ac:dyDescent="0.25">
      <c r="A240" s="25"/>
      <c r="B240" s="66"/>
      <c r="C240" s="67"/>
      <c r="D240" s="67"/>
      <c r="E240" s="67"/>
      <c r="F240" s="68"/>
      <c r="G240" s="68"/>
      <c r="H240" s="68"/>
      <c r="I240" s="20"/>
      <c r="J240" s="20"/>
      <c r="K240" s="14"/>
      <c r="L240" s="14"/>
      <c r="M240" s="16"/>
      <c r="N240" s="16"/>
      <c r="O240" s="16"/>
      <c r="P240" s="16"/>
      <c r="Q240" s="16"/>
      <c r="R240" s="16"/>
      <c r="S240" s="69"/>
      <c r="T240" s="16"/>
      <c r="U240" s="113"/>
      <c r="V240" s="70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</row>
    <row r="241" spans="1:39" ht="12.75" customHeight="1" x14ac:dyDescent="0.25">
      <c r="A241" s="25"/>
      <c r="B241" s="66"/>
      <c r="C241" s="71"/>
      <c r="D241" s="71"/>
      <c r="E241" s="71"/>
      <c r="F241" s="72"/>
      <c r="G241" s="72"/>
      <c r="H241" s="72"/>
      <c r="I241" s="73"/>
      <c r="J241" s="73"/>
      <c r="K241" s="45"/>
      <c r="L241" s="45"/>
      <c r="M241" s="16"/>
      <c r="N241" s="16"/>
      <c r="O241" s="16"/>
      <c r="P241" s="16"/>
      <c r="Q241" s="16"/>
      <c r="R241" s="16"/>
      <c r="S241" s="16"/>
      <c r="T241" s="16"/>
      <c r="U241" s="114"/>
      <c r="V241" s="70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</row>
    <row r="242" spans="1:39" ht="12.75" customHeight="1" x14ac:dyDescent="0.25">
      <c r="A242" s="25"/>
      <c r="B242" s="66"/>
      <c r="C242" s="67"/>
      <c r="D242" s="67"/>
      <c r="E242" s="67"/>
      <c r="F242" s="68"/>
      <c r="G242" s="68"/>
      <c r="H242" s="68"/>
      <c r="I242" s="74"/>
      <c r="J242" s="74"/>
      <c r="K242" s="75"/>
      <c r="L242" s="76"/>
      <c r="M242" s="16"/>
      <c r="N242" s="16"/>
      <c r="O242" s="16"/>
      <c r="P242" s="16"/>
      <c r="Q242" s="16"/>
      <c r="R242" s="16"/>
      <c r="S242" s="69"/>
      <c r="T242" s="16"/>
      <c r="U242" s="115"/>
      <c r="V242" s="70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</row>
    <row r="243" spans="1:39" ht="12.75" customHeight="1" x14ac:dyDescent="0.25">
      <c r="A243" s="25"/>
      <c r="B243" s="66"/>
      <c r="C243" s="67"/>
      <c r="D243" s="67"/>
      <c r="E243" s="67"/>
      <c r="F243" s="68"/>
      <c r="G243" s="68"/>
      <c r="H243" s="68"/>
      <c r="I243" s="20"/>
      <c r="J243" s="20"/>
      <c r="K243" s="14"/>
      <c r="L243" s="14"/>
      <c r="M243" s="16"/>
      <c r="N243" s="16"/>
      <c r="O243" s="16"/>
      <c r="P243" s="16"/>
      <c r="Q243" s="16"/>
      <c r="R243" s="16"/>
      <c r="S243" s="69"/>
      <c r="T243" s="16"/>
      <c r="U243" s="113"/>
      <c r="V243" s="70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</row>
    <row r="244" spans="1:39" ht="12.75" customHeight="1" x14ac:dyDescent="0.25">
      <c r="A244" s="25"/>
      <c r="B244" s="66"/>
      <c r="C244" s="67"/>
      <c r="D244" s="67"/>
      <c r="E244" s="67"/>
      <c r="F244" s="68"/>
      <c r="G244" s="68"/>
      <c r="H244" s="68"/>
      <c r="I244" s="20"/>
      <c r="J244" s="20"/>
      <c r="K244" s="77"/>
      <c r="L244" s="77"/>
      <c r="M244" s="16"/>
      <c r="N244" s="16"/>
      <c r="O244" s="16"/>
      <c r="P244" s="16"/>
      <c r="Q244" s="16"/>
      <c r="R244" s="16"/>
      <c r="S244" s="16"/>
      <c r="T244" s="16"/>
      <c r="U244" s="113"/>
      <c r="V244" s="70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</row>
    <row r="245" spans="1:39" ht="12.75" customHeight="1" x14ac:dyDescent="0.25">
      <c r="A245" s="25"/>
      <c r="B245" s="66"/>
      <c r="C245" s="67"/>
      <c r="D245" s="67"/>
      <c r="E245" s="67"/>
      <c r="F245" s="68"/>
      <c r="G245" s="68"/>
      <c r="H245" s="68"/>
      <c r="I245" s="74"/>
      <c r="J245" s="74"/>
      <c r="K245" s="78"/>
      <c r="L245" s="78"/>
      <c r="M245" s="46"/>
      <c r="N245" s="79"/>
      <c r="O245" s="79"/>
      <c r="P245" s="46"/>
      <c r="Q245" s="16"/>
      <c r="R245" s="16"/>
      <c r="S245" s="69"/>
      <c r="T245" s="16"/>
      <c r="U245" s="113"/>
      <c r="V245" s="70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</row>
    <row r="246" spans="1:39" ht="12.75" customHeight="1" x14ac:dyDescent="0.25">
      <c r="A246" s="25"/>
      <c r="B246" s="66"/>
      <c r="C246" s="67"/>
      <c r="D246" s="67"/>
      <c r="E246" s="67"/>
      <c r="F246" s="68"/>
      <c r="G246" s="68"/>
      <c r="H246" s="68"/>
      <c r="I246" s="20"/>
      <c r="J246" s="20"/>
      <c r="K246" s="14"/>
      <c r="L246" s="14"/>
      <c r="M246" s="16"/>
      <c r="N246" s="16"/>
      <c r="O246" s="16"/>
      <c r="P246" s="16"/>
      <c r="Q246" s="16"/>
      <c r="R246" s="16"/>
      <c r="S246" s="69"/>
      <c r="T246" s="16"/>
      <c r="U246" s="113"/>
      <c r="V246" s="70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</row>
    <row r="247" spans="1:39" ht="12.75" customHeight="1" x14ac:dyDescent="0.25">
      <c r="A247" s="25"/>
      <c r="B247" s="66"/>
      <c r="C247" s="67"/>
      <c r="D247" s="67"/>
      <c r="E247" s="67"/>
      <c r="F247" s="68"/>
      <c r="G247" s="68"/>
      <c r="H247" s="68"/>
      <c r="I247" s="74"/>
      <c r="J247" s="74"/>
      <c r="K247" s="78"/>
      <c r="L247" s="78"/>
      <c r="M247" s="46"/>
      <c r="N247" s="79"/>
      <c r="O247" s="79"/>
      <c r="P247" s="46"/>
      <c r="Q247" s="16"/>
      <c r="R247" s="16"/>
      <c r="S247" s="69"/>
      <c r="T247" s="16"/>
      <c r="U247" s="113"/>
      <c r="V247" s="70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</row>
    <row r="248" spans="1:39" ht="12.75" customHeight="1" x14ac:dyDescent="0.25">
      <c r="A248" s="25"/>
      <c r="B248" s="66"/>
      <c r="C248" s="67"/>
      <c r="D248" s="67"/>
      <c r="E248" s="67"/>
      <c r="F248" s="68"/>
      <c r="G248" s="68"/>
      <c r="H248" s="68"/>
      <c r="I248" s="20"/>
      <c r="J248" s="20"/>
      <c r="K248" s="14"/>
      <c r="L248" s="14"/>
      <c r="M248" s="16"/>
      <c r="N248" s="16"/>
      <c r="O248" s="16"/>
      <c r="P248" s="16"/>
      <c r="Q248" s="16"/>
      <c r="R248" s="16"/>
      <c r="S248" s="69"/>
      <c r="T248" s="16"/>
      <c r="U248" s="113"/>
      <c r="V248" s="70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</row>
    <row r="249" spans="1:39" ht="12.75" customHeight="1" x14ac:dyDescent="0.25">
      <c r="A249" s="25"/>
      <c r="B249" s="66"/>
      <c r="C249" s="71"/>
      <c r="D249" s="71"/>
      <c r="E249" s="71"/>
      <c r="F249" s="72"/>
      <c r="G249" s="72"/>
      <c r="H249" s="72"/>
      <c r="I249" s="73"/>
      <c r="J249" s="73"/>
      <c r="K249" s="45"/>
      <c r="L249" s="45"/>
      <c r="M249" s="16"/>
      <c r="N249" s="16"/>
      <c r="O249" s="16"/>
      <c r="P249" s="16"/>
      <c r="Q249" s="16"/>
      <c r="R249" s="16"/>
      <c r="S249" s="16"/>
      <c r="T249" s="16"/>
      <c r="U249" s="114"/>
      <c r="V249" s="70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</row>
    <row r="250" spans="1:39" ht="12.75" customHeight="1" x14ac:dyDescent="0.25">
      <c r="A250" s="25"/>
      <c r="B250" s="66"/>
      <c r="C250" s="67"/>
      <c r="D250" s="67"/>
      <c r="E250" s="67"/>
      <c r="F250" s="68"/>
      <c r="G250" s="68"/>
      <c r="H250" s="68"/>
      <c r="I250" s="74"/>
      <c r="J250" s="74"/>
      <c r="K250" s="75"/>
      <c r="L250" s="76"/>
      <c r="M250" s="16"/>
      <c r="N250" s="16"/>
      <c r="O250" s="16"/>
      <c r="P250" s="16"/>
      <c r="Q250" s="16"/>
      <c r="R250" s="16"/>
      <c r="S250" s="69"/>
      <c r="T250" s="16"/>
      <c r="U250" s="115"/>
      <c r="V250" s="70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</row>
    <row r="251" spans="1:39" ht="12.75" customHeight="1" x14ac:dyDescent="0.25">
      <c r="A251" s="25"/>
      <c r="B251" s="66"/>
      <c r="C251" s="67"/>
      <c r="D251" s="67"/>
      <c r="E251" s="67"/>
      <c r="F251" s="68"/>
      <c r="G251" s="68"/>
      <c r="H251" s="68"/>
      <c r="I251" s="20"/>
      <c r="J251" s="20"/>
      <c r="K251" s="14"/>
      <c r="L251" s="14"/>
      <c r="M251" s="16"/>
      <c r="N251" s="16"/>
      <c r="O251" s="16"/>
      <c r="P251" s="16"/>
      <c r="Q251" s="16"/>
      <c r="R251" s="16"/>
      <c r="S251" s="69"/>
      <c r="T251" s="16"/>
      <c r="U251" s="113"/>
      <c r="V251" s="70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</row>
    <row r="252" spans="1:39" ht="12.75" customHeight="1" x14ac:dyDescent="0.25">
      <c r="A252" s="25"/>
      <c r="B252" s="66"/>
      <c r="C252" s="67"/>
      <c r="D252" s="67"/>
      <c r="E252" s="67"/>
      <c r="F252" s="68"/>
      <c r="G252" s="68"/>
      <c r="H252" s="68"/>
      <c r="I252" s="20"/>
      <c r="J252" s="20"/>
      <c r="K252" s="77"/>
      <c r="L252" s="77"/>
      <c r="M252" s="16"/>
      <c r="N252" s="16"/>
      <c r="O252" s="16"/>
      <c r="P252" s="16"/>
      <c r="Q252" s="16"/>
      <c r="R252" s="16"/>
      <c r="S252" s="16"/>
      <c r="T252" s="16"/>
      <c r="U252" s="113"/>
      <c r="V252" s="70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</row>
    <row r="253" spans="1:39" ht="12.75" customHeight="1" x14ac:dyDescent="0.25">
      <c r="A253" s="25"/>
      <c r="B253" s="66"/>
      <c r="C253" s="67"/>
      <c r="D253" s="67"/>
      <c r="E253" s="67"/>
      <c r="F253" s="68"/>
      <c r="G253" s="68"/>
      <c r="H253" s="68"/>
      <c r="I253" s="74"/>
      <c r="J253" s="74"/>
      <c r="K253" s="78"/>
      <c r="L253" s="78"/>
      <c r="M253" s="46"/>
      <c r="N253" s="79"/>
      <c r="O253" s="79"/>
      <c r="P253" s="46"/>
      <c r="Q253" s="16"/>
      <c r="R253" s="16"/>
      <c r="S253" s="69"/>
      <c r="T253" s="16"/>
      <c r="U253" s="113"/>
      <c r="V253" s="70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</row>
    <row r="254" spans="1:39" ht="12.75" customHeight="1" x14ac:dyDescent="0.25">
      <c r="A254" s="25"/>
      <c r="B254" s="66"/>
      <c r="C254" s="67"/>
      <c r="D254" s="67"/>
      <c r="E254" s="67"/>
      <c r="F254" s="68"/>
      <c r="G254" s="68"/>
      <c r="H254" s="68"/>
      <c r="I254" s="20"/>
      <c r="J254" s="20"/>
      <c r="K254" s="14"/>
      <c r="L254" s="14"/>
      <c r="M254" s="16"/>
      <c r="N254" s="16"/>
      <c r="O254" s="16"/>
      <c r="P254" s="16"/>
      <c r="Q254" s="16"/>
      <c r="R254" s="16"/>
      <c r="S254" s="69"/>
      <c r="T254" s="16"/>
      <c r="U254" s="113"/>
      <c r="V254" s="70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</row>
    <row r="255" spans="1:39" ht="12.75" customHeight="1" x14ac:dyDescent="0.25">
      <c r="A255" s="25"/>
      <c r="B255" s="66"/>
      <c r="C255" s="71"/>
      <c r="D255" s="71"/>
      <c r="E255" s="71"/>
      <c r="F255" s="72"/>
      <c r="G255" s="72"/>
      <c r="H255" s="72"/>
      <c r="I255" s="73"/>
      <c r="J255" s="73"/>
      <c r="K255" s="45"/>
      <c r="L255" s="45"/>
      <c r="M255" s="16"/>
      <c r="N255" s="16"/>
      <c r="O255" s="16"/>
      <c r="P255" s="16"/>
      <c r="Q255" s="16"/>
      <c r="R255" s="16"/>
      <c r="S255" s="16"/>
      <c r="T255" s="16"/>
      <c r="U255" s="114"/>
      <c r="V255" s="70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</row>
    <row r="256" spans="1:39" ht="12.75" customHeight="1" x14ac:dyDescent="0.25">
      <c r="A256" s="25"/>
      <c r="B256" s="66"/>
      <c r="C256" s="67"/>
      <c r="D256" s="67"/>
      <c r="E256" s="67"/>
      <c r="F256" s="68"/>
      <c r="G256" s="68"/>
      <c r="H256" s="68"/>
      <c r="I256" s="74"/>
      <c r="J256" s="74"/>
      <c r="K256" s="75"/>
      <c r="L256" s="76"/>
      <c r="M256" s="16"/>
      <c r="N256" s="16"/>
      <c r="O256" s="16"/>
      <c r="P256" s="16"/>
      <c r="Q256" s="16"/>
      <c r="R256" s="16"/>
      <c r="S256" s="69"/>
      <c r="T256" s="16"/>
      <c r="U256" s="115"/>
      <c r="V256" s="70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</row>
    <row r="257" spans="1:39" ht="12.75" customHeight="1" x14ac:dyDescent="0.25">
      <c r="A257" s="25"/>
      <c r="B257" s="66"/>
      <c r="C257" s="67"/>
      <c r="D257" s="67"/>
      <c r="E257" s="67"/>
      <c r="F257" s="68"/>
      <c r="G257" s="68"/>
      <c r="H257" s="68"/>
      <c r="I257" s="20"/>
      <c r="J257" s="20"/>
      <c r="K257" s="14"/>
      <c r="L257" s="14"/>
      <c r="M257" s="16"/>
      <c r="N257" s="16"/>
      <c r="O257" s="16"/>
      <c r="P257" s="16"/>
      <c r="Q257" s="16"/>
      <c r="R257" s="16"/>
      <c r="S257" s="69"/>
      <c r="T257" s="16"/>
      <c r="U257" s="113"/>
      <c r="V257" s="70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</row>
    <row r="258" spans="1:39" ht="12.75" customHeight="1" x14ac:dyDescent="0.25">
      <c r="A258" s="25"/>
      <c r="B258" s="66"/>
      <c r="C258" s="67"/>
      <c r="D258" s="67"/>
      <c r="E258" s="67"/>
      <c r="F258" s="68"/>
      <c r="G258" s="68"/>
      <c r="H258" s="68"/>
      <c r="I258" s="20"/>
      <c r="J258" s="20"/>
      <c r="K258" s="77"/>
      <c r="L258" s="77"/>
      <c r="M258" s="16"/>
      <c r="N258" s="16"/>
      <c r="O258" s="16"/>
      <c r="P258" s="16"/>
      <c r="Q258" s="16"/>
      <c r="R258" s="16"/>
      <c r="S258" s="16"/>
      <c r="T258" s="16"/>
      <c r="U258" s="113"/>
      <c r="V258" s="70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</row>
    <row r="259" spans="1:39" ht="12.75" customHeight="1" x14ac:dyDescent="0.25">
      <c r="A259" s="25"/>
      <c r="B259" s="66"/>
      <c r="C259" s="67"/>
      <c r="D259" s="67"/>
      <c r="E259" s="67"/>
      <c r="F259" s="68"/>
      <c r="G259" s="68"/>
      <c r="H259" s="68"/>
      <c r="I259" s="74"/>
      <c r="J259" s="74"/>
      <c r="K259" s="78"/>
      <c r="L259" s="78"/>
      <c r="M259" s="46"/>
      <c r="N259" s="79"/>
      <c r="O259" s="79"/>
      <c r="P259" s="46"/>
      <c r="Q259" s="16"/>
      <c r="R259" s="16"/>
      <c r="S259" s="69"/>
      <c r="T259" s="16"/>
      <c r="U259" s="113"/>
      <c r="V259" s="70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</row>
    <row r="260" spans="1:39" ht="12.75" customHeight="1" x14ac:dyDescent="0.25">
      <c r="A260" s="25"/>
      <c r="B260" s="66"/>
      <c r="C260" s="67"/>
      <c r="D260" s="67"/>
      <c r="E260" s="67"/>
      <c r="F260" s="68"/>
      <c r="G260" s="68"/>
      <c r="H260" s="68"/>
      <c r="I260" s="20"/>
      <c r="J260" s="20"/>
      <c r="K260" s="14"/>
      <c r="L260" s="14"/>
      <c r="M260" s="16"/>
      <c r="N260" s="16"/>
      <c r="O260" s="16"/>
      <c r="P260" s="16"/>
      <c r="Q260" s="16"/>
      <c r="R260" s="16"/>
      <c r="S260" s="69"/>
      <c r="T260" s="16"/>
      <c r="U260" s="113"/>
      <c r="V260" s="70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</row>
    <row r="261" spans="1:39" ht="12.75" customHeight="1" x14ac:dyDescent="0.25">
      <c r="A261" s="25"/>
      <c r="B261" s="66"/>
      <c r="C261" s="67"/>
      <c r="D261" s="67"/>
      <c r="E261" s="67"/>
      <c r="F261" s="68"/>
      <c r="G261" s="68"/>
      <c r="H261" s="68"/>
      <c r="I261" s="74"/>
      <c r="J261" s="74"/>
      <c r="K261" s="78"/>
      <c r="L261" s="78"/>
      <c r="M261" s="46"/>
      <c r="N261" s="79"/>
      <c r="O261" s="79"/>
      <c r="P261" s="46"/>
      <c r="Q261" s="16"/>
      <c r="R261" s="16"/>
      <c r="S261" s="69"/>
      <c r="T261" s="16"/>
      <c r="U261" s="113"/>
      <c r="V261" s="70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</row>
    <row r="262" spans="1:39" ht="12.75" customHeight="1" x14ac:dyDescent="0.25">
      <c r="A262" s="25"/>
      <c r="B262" s="66"/>
      <c r="C262" s="67"/>
      <c r="D262" s="67"/>
      <c r="E262" s="67"/>
      <c r="F262" s="68"/>
      <c r="G262" s="68"/>
      <c r="H262" s="68"/>
      <c r="I262" s="20"/>
      <c r="J262" s="20"/>
      <c r="K262" s="14"/>
      <c r="L262" s="14"/>
      <c r="M262" s="16"/>
      <c r="N262" s="16"/>
      <c r="O262" s="16"/>
      <c r="P262" s="16"/>
      <c r="Q262" s="16"/>
      <c r="R262" s="16"/>
      <c r="S262" s="69"/>
      <c r="T262" s="16"/>
      <c r="U262" s="113"/>
      <c r="V262" s="70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</row>
    <row r="263" spans="1:39" ht="12.75" customHeight="1" x14ac:dyDescent="0.25">
      <c r="A263" s="25"/>
      <c r="B263" s="66"/>
      <c r="C263" s="71"/>
      <c r="D263" s="71"/>
      <c r="E263" s="71"/>
      <c r="F263" s="72"/>
      <c r="G263" s="72"/>
      <c r="H263" s="72"/>
      <c r="I263" s="73"/>
      <c r="J263" s="73"/>
      <c r="K263" s="45"/>
      <c r="L263" s="45"/>
      <c r="M263" s="16"/>
      <c r="N263" s="16"/>
      <c r="O263" s="16"/>
      <c r="P263" s="16"/>
      <c r="Q263" s="16"/>
      <c r="R263" s="16"/>
      <c r="S263" s="16"/>
      <c r="T263" s="16"/>
      <c r="U263" s="114"/>
      <c r="V263" s="70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</row>
    <row r="264" spans="1:39" ht="12.75" customHeight="1" x14ac:dyDescent="0.25">
      <c r="A264" s="25"/>
      <c r="B264" s="66"/>
      <c r="C264" s="67"/>
      <c r="D264" s="67"/>
      <c r="E264" s="67"/>
      <c r="F264" s="68"/>
      <c r="G264" s="68"/>
      <c r="H264" s="68"/>
      <c r="I264" s="74"/>
      <c r="J264" s="74"/>
      <c r="K264" s="75"/>
      <c r="L264" s="76"/>
      <c r="M264" s="16"/>
      <c r="N264" s="16"/>
      <c r="O264" s="16"/>
      <c r="P264" s="16"/>
      <c r="Q264" s="16"/>
      <c r="R264" s="16"/>
      <c r="S264" s="69"/>
      <c r="T264" s="16"/>
      <c r="U264" s="115"/>
      <c r="V264" s="70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</row>
    <row r="265" spans="1:39" ht="12.75" customHeight="1" x14ac:dyDescent="0.25">
      <c r="A265" s="25"/>
      <c r="B265" s="66"/>
      <c r="C265" s="67"/>
      <c r="D265" s="67"/>
      <c r="E265" s="67"/>
      <c r="F265" s="68"/>
      <c r="G265" s="68"/>
      <c r="H265" s="68"/>
      <c r="I265" s="20"/>
      <c r="J265" s="20"/>
      <c r="K265" s="14"/>
      <c r="L265" s="14"/>
      <c r="M265" s="16"/>
      <c r="N265" s="16"/>
      <c r="O265" s="16"/>
      <c r="P265" s="16"/>
      <c r="Q265" s="16"/>
      <c r="R265" s="16"/>
      <c r="S265" s="69"/>
      <c r="T265" s="16"/>
      <c r="U265" s="113"/>
      <c r="V265" s="70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</row>
    <row r="266" spans="1:39" ht="12.75" customHeight="1" x14ac:dyDescent="0.25">
      <c r="A266" s="25"/>
      <c r="B266" s="66"/>
      <c r="C266" s="67"/>
      <c r="D266" s="67"/>
      <c r="E266" s="67"/>
      <c r="F266" s="68"/>
      <c r="G266" s="68"/>
      <c r="H266" s="68"/>
      <c r="I266" s="20"/>
      <c r="J266" s="20"/>
      <c r="K266" s="77"/>
      <c r="L266" s="77"/>
      <c r="M266" s="16"/>
      <c r="N266" s="16"/>
      <c r="O266" s="16"/>
      <c r="P266" s="16"/>
      <c r="Q266" s="16"/>
      <c r="R266" s="16"/>
      <c r="S266" s="16"/>
      <c r="T266" s="16"/>
      <c r="U266" s="113"/>
      <c r="V266" s="70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</row>
    <row r="267" spans="1:39" ht="12.75" customHeight="1" x14ac:dyDescent="0.25">
      <c r="A267" s="25"/>
      <c r="B267" s="66"/>
      <c r="C267" s="67"/>
      <c r="D267" s="67"/>
      <c r="E267" s="67"/>
      <c r="F267" s="68"/>
      <c r="G267" s="68"/>
      <c r="H267" s="68"/>
      <c r="I267" s="74"/>
      <c r="J267" s="74"/>
      <c r="K267" s="78"/>
      <c r="L267" s="78"/>
      <c r="M267" s="46"/>
      <c r="N267" s="79"/>
      <c r="O267" s="79"/>
      <c r="P267" s="46"/>
      <c r="Q267" s="16"/>
      <c r="R267" s="16"/>
      <c r="S267" s="69"/>
      <c r="T267" s="16"/>
      <c r="U267" s="113"/>
      <c r="V267" s="70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</row>
    <row r="268" spans="1:39" ht="12.75" customHeight="1" x14ac:dyDescent="0.25">
      <c r="A268" s="25"/>
      <c r="B268" s="66"/>
      <c r="C268" s="67"/>
      <c r="D268" s="67"/>
      <c r="E268" s="67"/>
      <c r="F268" s="68"/>
      <c r="G268" s="68"/>
      <c r="H268" s="68"/>
      <c r="I268" s="20"/>
      <c r="J268" s="20"/>
      <c r="K268" s="14"/>
      <c r="L268" s="14"/>
      <c r="M268" s="16"/>
      <c r="N268" s="16"/>
      <c r="O268" s="16"/>
      <c r="P268" s="16"/>
      <c r="Q268" s="16"/>
      <c r="R268" s="16"/>
      <c r="S268" s="69"/>
      <c r="T268" s="16"/>
      <c r="U268" s="113"/>
      <c r="V268" s="70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</row>
    <row r="269" spans="1:39" ht="12.75" customHeight="1" x14ac:dyDescent="0.25">
      <c r="A269" s="25"/>
      <c r="B269" s="66"/>
      <c r="C269" s="71"/>
      <c r="D269" s="71"/>
      <c r="E269" s="71"/>
      <c r="F269" s="72"/>
      <c r="G269" s="72"/>
      <c r="H269" s="72"/>
      <c r="I269" s="73"/>
      <c r="J269" s="73"/>
      <c r="K269" s="45"/>
      <c r="L269" s="45"/>
      <c r="M269" s="16"/>
      <c r="N269" s="16"/>
      <c r="O269" s="16"/>
      <c r="P269" s="16"/>
      <c r="Q269" s="16"/>
      <c r="R269" s="16"/>
      <c r="S269" s="16"/>
      <c r="T269" s="16"/>
      <c r="U269" s="114"/>
      <c r="V269" s="70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</row>
    <row r="270" spans="1:39" ht="12.75" customHeight="1" x14ac:dyDescent="0.25">
      <c r="A270" s="25"/>
      <c r="B270" s="66"/>
      <c r="C270" s="67"/>
      <c r="D270" s="67"/>
      <c r="E270" s="67"/>
      <c r="F270" s="68"/>
      <c r="G270" s="68"/>
      <c r="H270" s="68"/>
      <c r="I270" s="74"/>
      <c r="J270" s="74"/>
      <c r="K270" s="75"/>
      <c r="L270" s="76"/>
      <c r="M270" s="16"/>
      <c r="N270" s="16"/>
      <c r="O270" s="16"/>
      <c r="P270" s="16"/>
      <c r="Q270" s="16"/>
      <c r="R270" s="16"/>
      <c r="S270" s="69"/>
      <c r="T270" s="16"/>
      <c r="U270" s="115"/>
      <c r="V270" s="70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</row>
    <row r="271" spans="1:39" ht="12.75" customHeight="1" x14ac:dyDescent="0.25">
      <c r="A271" s="25"/>
      <c r="B271" s="66"/>
      <c r="C271" s="67"/>
      <c r="D271" s="67"/>
      <c r="E271" s="67"/>
      <c r="F271" s="68"/>
      <c r="G271" s="68"/>
      <c r="H271" s="68"/>
      <c r="I271" s="20"/>
      <c r="J271" s="20"/>
      <c r="K271" s="14"/>
      <c r="L271" s="14"/>
      <c r="M271" s="16"/>
      <c r="N271" s="16"/>
      <c r="O271" s="16"/>
      <c r="P271" s="16"/>
      <c r="Q271" s="16"/>
      <c r="R271" s="16"/>
      <c r="S271" s="69"/>
      <c r="T271" s="16"/>
      <c r="U271" s="113"/>
      <c r="V271" s="70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</row>
    <row r="272" spans="1:39" ht="12.75" customHeight="1" x14ac:dyDescent="0.25">
      <c r="A272" s="25"/>
      <c r="B272" s="66"/>
      <c r="C272" s="67"/>
      <c r="D272" s="67"/>
      <c r="E272" s="67"/>
      <c r="F272" s="68"/>
      <c r="G272" s="68"/>
      <c r="H272" s="68"/>
      <c r="I272" s="20"/>
      <c r="J272" s="20"/>
      <c r="K272" s="77"/>
      <c r="L272" s="77"/>
      <c r="M272" s="16"/>
      <c r="N272" s="16"/>
      <c r="O272" s="16"/>
      <c r="P272" s="16"/>
      <c r="Q272" s="16"/>
      <c r="R272" s="16"/>
      <c r="S272" s="16"/>
      <c r="T272" s="16"/>
      <c r="U272" s="113"/>
      <c r="V272" s="70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</row>
    <row r="273" spans="1:39" ht="9.75" customHeight="1" x14ac:dyDescent="0.25">
      <c r="A273" s="25"/>
      <c r="B273" s="66"/>
      <c r="C273" s="67"/>
      <c r="D273" s="67"/>
      <c r="E273" s="67"/>
      <c r="F273" s="68"/>
      <c r="G273" s="68"/>
      <c r="H273" s="68"/>
      <c r="I273" s="74"/>
      <c r="J273" s="74"/>
      <c r="K273" s="78"/>
      <c r="L273" s="78"/>
      <c r="M273" s="46"/>
      <c r="N273" s="79"/>
      <c r="O273" s="79"/>
      <c r="P273" s="46"/>
      <c r="Q273" s="16"/>
      <c r="R273" s="16"/>
      <c r="S273" s="69"/>
      <c r="T273" s="16"/>
      <c r="U273" s="113"/>
      <c r="V273" s="70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9.75" customHeight="1" x14ac:dyDescent="0.25">
      <c r="A274" s="25"/>
      <c r="B274" s="66"/>
      <c r="C274" s="67"/>
      <c r="D274" s="67"/>
      <c r="E274" s="67"/>
      <c r="F274" s="68"/>
      <c r="G274" s="68"/>
      <c r="H274" s="68"/>
      <c r="I274" s="20"/>
      <c r="J274" s="20"/>
      <c r="K274" s="14"/>
      <c r="L274" s="14"/>
      <c r="M274" s="16"/>
      <c r="N274" s="16"/>
      <c r="O274" s="16"/>
      <c r="P274" s="16"/>
      <c r="Q274" s="16"/>
      <c r="R274" s="16"/>
      <c r="S274" s="69"/>
      <c r="T274" s="16"/>
      <c r="U274" s="113"/>
      <c r="V274" s="70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2.75" customHeight="1" x14ac:dyDescent="0.25">
      <c r="A275" s="25"/>
      <c r="B275" s="66"/>
      <c r="C275" s="67"/>
      <c r="D275" s="67"/>
      <c r="E275" s="67"/>
      <c r="F275" s="68"/>
      <c r="G275" s="68"/>
      <c r="H275" s="68"/>
      <c r="I275" s="74"/>
      <c r="J275" s="74"/>
      <c r="K275" s="78"/>
      <c r="L275" s="78"/>
      <c r="M275" s="46"/>
      <c r="N275" s="79"/>
      <c r="O275" s="79"/>
      <c r="P275" s="46"/>
      <c r="Q275" s="16"/>
      <c r="R275" s="16"/>
      <c r="S275" s="69"/>
      <c r="T275" s="16"/>
      <c r="U275" s="113"/>
      <c r="V275" s="70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</row>
    <row r="276" spans="1:39" ht="9.75" customHeight="1" x14ac:dyDescent="0.25">
      <c r="A276" s="25"/>
      <c r="B276" s="66"/>
      <c r="C276" s="67"/>
      <c r="D276" s="67"/>
      <c r="E276" s="67"/>
      <c r="F276" s="68"/>
      <c r="G276" s="68"/>
      <c r="H276" s="68"/>
      <c r="I276" s="20"/>
      <c r="J276" s="20"/>
      <c r="K276" s="14"/>
      <c r="L276" s="14"/>
      <c r="M276" s="16"/>
      <c r="N276" s="16"/>
      <c r="O276" s="16"/>
      <c r="P276" s="16"/>
      <c r="Q276" s="16"/>
      <c r="R276" s="16"/>
      <c r="S276" s="69"/>
      <c r="T276" s="16"/>
      <c r="U276" s="113"/>
      <c r="V276" s="70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2.75" customHeight="1" x14ac:dyDescent="0.25">
      <c r="A277" s="25"/>
      <c r="B277" s="66"/>
      <c r="C277" s="71"/>
      <c r="D277" s="71"/>
      <c r="E277" s="71"/>
      <c r="F277" s="72"/>
      <c r="G277" s="72"/>
      <c r="H277" s="72"/>
      <c r="I277" s="73"/>
      <c r="J277" s="73"/>
      <c r="K277" s="45"/>
      <c r="L277" s="45"/>
      <c r="M277" s="16"/>
      <c r="N277" s="16"/>
      <c r="O277" s="16"/>
      <c r="P277" s="16"/>
      <c r="Q277" s="16"/>
      <c r="R277" s="16"/>
      <c r="S277" s="16"/>
      <c r="T277" s="16"/>
      <c r="U277" s="114"/>
      <c r="V277" s="70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</row>
    <row r="278" spans="1:39" ht="12.75" customHeight="1" x14ac:dyDescent="0.25">
      <c r="A278" s="25"/>
      <c r="B278" s="66"/>
      <c r="C278" s="67"/>
      <c r="D278" s="67"/>
      <c r="E278" s="67"/>
      <c r="F278" s="68"/>
      <c r="G278" s="68"/>
      <c r="H278" s="68"/>
      <c r="I278" s="74"/>
      <c r="J278" s="74"/>
      <c r="K278" s="75"/>
      <c r="L278" s="76"/>
      <c r="M278" s="16"/>
      <c r="N278" s="16"/>
      <c r="O278" s="16"/>
      <c r="P278" s="16"/>
      <c r="Q278" s="16"/>
      <c r="R278" s="16"/>
      <c r="S278" s="69"/>
      <c r="T278" s="16"/>
      <c r="U278" s="115"/>
      <c r="V278" s="70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</row>
    <row r="279" spans="1:39" ht="12.75" customHeight="1" x14ac:dyDescent="0.25">
      <c r="A279" s="25"/>
      <c r="B279" s="66"/>
      <c r="C279" s="67"/>
      <c r="D279" s="67"/>
      <c r="E279" s="67"/>
      <c r="F279" s="68"/>
      <c r="G279" s="68"/>
      <c r="H279" s="68"/>
      <c r="I279" s="20"/>
      <c r="J279" s="20"/>
      <c r="K279" s="14"/>
      <c r="L279" s="14"/>
      <c r="M279" s="16"/>
      <c r="N279" s="16"/>
      <c r="O279" s="16"/>
      <c r="P279" s="16"/>
      <c r="Q279" s="16"/>
      <c r="R279" s="16"/>
      <c r="S279" s="69"/>
      <c r="T279" s="16"/>
      <c r="U279" s="113"/>
      <c r="V279" s="70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</row>
    <row r="280" spans="1:39" ht="12.75" customHeight="1" x14ac:dyDescent="0.25">
      <c r="A280" s="25"/>
      <c r="B280" s="66"/>
      <c r="C280" s="67"/>
      <c r="D280" s="67"/>
      <c r="E280" s="67"/>
      <c r="F280" s="68"/>
      <c r="G280" s="68"/>
      <c r="H280" s="68"/>
      <c r="I280" s="20"/>
      <c r="J280" s="20"/>
      <c r="K280" s="77"/>
      <c r="L280" s="77"/>
      <c r="M280" s="16"/>
      <c r="N280" s="16"/>
      <c r="O280" s="16"/>
      <c r="P280" s="16"/>
      <c r="Q280" s="16"/>
      <c r="R280" s="16"/>
      <c r="S280" s="16"/>
      <c r="T280" s="16"/>
      <c r="U280" s="113"/>
      <c r="V280" s="70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</row>
    <row r="281" spans="1:39" ht="12.75" customHeight="1" x14ac:dyDescent="0.25">
      <c r="A281" s="25"/>
      <c r="B281" s="66"/>
      <c r="C281" s="67"/>
      <c r="D281" s="67"/>
      <c r="E281" s="67"/>
      <c r="F281" s="68"/>
      <c r="G281" s="68"/>
      <c r="H281" s="68"/>
      <c r="I281" s="74"/>
      <c r="J281" s="74"/>
      <c r="K281" s="78"/>
      <c r="L281" s="78"/>
      <c r="M281" s="46"/>
      <c r="N281" s="79"/>
      <c r="O281" s="79"/>
      <c r="P281" s="46"/>
      <c r="Q281" s="16"/>
      <c r="R281" s="16"/>
      <c r="S281" s="69"/>
      <c r="T281" s="16"/>
      <c r="U281" s="113"/>
      <c r="V281" s="70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</row>
    <row r="282" spans="1:39" ht="12.75" customHeight="1" x14ac:dyDescent="0.25">
      <c r="A282" s="25"/>
      <c r="B282" s="66"/>
      <c r="C282" s="67"/>
      <c r="D282" s="67"/>
      <c r="E282" s="67"/>
      <c r="F282" s="68"/>
      <c r="G282" s="68"/>
      <c r="H282" s="68"/>
      <c r="I282" s="20"/>
      <c r="J282" s="20"/>
      <c r="K282" s="14"/>
      <c r="L282" s="14"/>
      <c r="M282" s="16"/>
      <c r="N282" s="16"/>
      <c r="O282" s="16"/>
      <c r="P282" s="16"/>
      <c r="Q282" s="16"/>
      <c r="R282" s="16"/>
      <c r="S282" s="69"/>
      <c r="T282" s="16"/>
      <c r="U282" s="113"/>
      <c r="V282" s="70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</row>
    <row r="283" spans="1:39" ht="12.75" customHeight="1" x14ac:dyDescent="0.25">
      <c r="A283" s="25"/>
      <c r="B283" s="66"/>
      <c r="C283" s="71"/>
      <c r="D283" s="71"/>
      <c r="E283" s="71"/>
      <c r="F283" s="72"/>
      <c r="G283" s="72"/>
      <c r="H283" s="72"/>
      <c r="I283" s="73"/>
      <c r="J283" s="73"/>
      <c r="K283" s="45"/>
      <c r="L283" s="45"/>
      <c r="M283" s="16"/>
      <c r="N283" s="16"/>
      <c r="O283" s="16"/>
      <c r="P283" s="16"/>
      <c r="Q283" s="16"/>
      <c r="R283" s="16"/>
      <c r="S283" s="16"/>
      <c r="T283" s="16"/>
      <c r="U283" s="114"/>
      <c r="V283" s="70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</row>
    <row r="284" spans="1:39" ht="12.75" customHeight="1" x14ac:dyDescent="0.25">
      <c r="A284" s="25"/>
      <c r="B284" s="66"/>
      <c r="C284" s="67"/>
      <c r="D284" s="67"/>
      <c r="E284" s="67"/>
      <c r="F284" s="68"/>
      <c r="G284" s="68"/>
      <c r="H284" s="68"/>
      <c r="I284" s="74"/>
      <c r="J284" s="74"/>
      <c r="K284" s="75"/>
      <c r="L284" s="76"/>
      <c r="M284" s="16"/>
      <c r="N284" s="16"/>
      <c r="O284" s="16"/>
      <c r="P284" s="16"/>
      <c r="Q284" s="16"/>
      <c r="R284" s="16"/>
      <c r="S284" s="69"/>
      <c r="T284" s="16"/>
      <c r="U284" s="115"/>
      <c r="V284" s="70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</row>
    <row r="285" spans="1:39" ht="12.75" customHeight="1" x14ac:dyDescent="0.3">
      <c r="A285" s="25"/>
      <c r="B285" s="66"/>
      <c r="C285" s="67"/>
      <c r="D285" s="67"/>
      <c r="E285" s="67"/>
      <c r="F285" s="68"/>
      <c r="G285" s="68"/>
      <c r="H285" s="68"/>
      <c r="I285" s="20"/>
      <c r="J285" s="20"/>
      <c r="K285" s="14"/>
      <c r="L285" s="14"/>
      <c r="M285" s="16"/>
      <c r="N285" s="16"/>
      <c r="O285" s="16"/>
      <c r="P285" s="16"/>
      <c r="Q285" s="16"/>
      <c r="R285" s="16"/>
      <c r="S285" s="69"/>
      <c r="T285" s="16"/>
      <c r="U285" s="113"/>
      <c r="V285" s="70"/>
      <c r="W285" s="36"/>
      <c r="X285" s="36"/>
      <c r="Y285" s="36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80"/>
      <c r="AL285" s="52"/>
      <c r="AM285" s="52"/>
    </row>
    <row r="286" spans="1:39" ht="12.75" customHeight="1" x14ac:dyDescent="0.3">
      <c r="A286" s="25"/>
      <c r="B286" s="66"/>
      <c r="C286" s="67"/>
      <c r="D286" s="67"/>
      <c r="E286" s="67"/>
      <c r="F286" s="68"/>
      <c r="G286" s="68"/>
      <c r="H286" s="68"/>
      <c r="I286" s="20"/>
      <c r="J286" s="20"/>
      <c r="K286" s="77"/>
      <c r="L286" s="77"/>
      <c r="M286" s="16"/>
      <c r="N286" s="16"/>
      <c r="O286" s="16"/>
      <c r="P286" s="16"/>
      <c r="Q286" s="16"/>
      <c r="R286" s="16"/>
      <c r="S286" s="16"/>
      <c r="T286" s="16"/>
      <c r="U286" s="113"/>
      <c r="V286" s="70"/>
      <c r="W286" s="36"/>
      <c r="X286" s="36"/>
      <c r="Y286" s="36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80"/>
      <c r="AL286" s="52"/>
      <c r="AM286" s="52"/>
    </row>
    <row r="287" spans="1:39" ht="12.75" customHeight="1" x14ac:dyDescent="0.3">
      <c r="A287" s="25"/>
      <c r="B287" s="66"/>
      <c r="C287" s="67"/>
      <c r="D287" s="67"/>
      <c r="E287" s="67"/>
      <c r="F287" s="68"/>
      <c r="G287" s="68"/>
      <c r="H287" s="68"/>
      <c r="I287" s="74"/>
      <c r="J287" s="74"/>
      <c r="K287" s="78"/>
      <c r="L287" s="78"/>
      <c r="M287" s="46"/>
      <c r="N287" s="79"/>
      <c r="O287" s="79"/>
      <c r="P287" s="46"/>
      <c r="Q287" s="16"/>
      <c r="R287" s="16"/>
      <c r="S287" s="69"/>
      <c r="T287" s="16"/>
      <c r="U287" s="113"/>
      <c r="V287" s="70"/>
      <c r="W287" s="36"/>
      <c r="X287" s="36"/>
      <c r="Y287" s="36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80"/>
      <c r="AL287" s="52"/>
      <c r="AM287" s="52"/>
    </row>
    <row r="288" spans="1:39" ht="12.75" customHeight="1" x14ac:dyDescent="0.3">
      <c r="A288" s="25"/>
      <c r="B288" s="66"/>
      <c r="C288" s="67"/>
      <c r="D288" s="67"/>
      <c r="E288" s="67"/>
      <c r="F288" s="68"/>
      <c r="G288" s="68"/>
      <c r="H288" s="68"/>
      <c r="I288" s="20"/>
      <c r="J288" s="20"/>
      <c r="K288" s="14"/>
      <c r="L288" s="14"/>
      <c r="M288" s="16"/>
      <c r="N288" s="16"/>
      <c r="O288" s="16"/>
      <c r="P288" s="16"/>
      <c r="Q288" s="16"/>
      <c r="R288" s="16"/>
      <c r="S288" s="69"/>
      <c r="T288" s="16"/>
      <c r="U288" s="113"/>
      <c r="V288" s="70"/>
      <c r="W288" s="36"/>
      <c r="X288" s="36"/>
      <c r="Y288" s="36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80"/>
      <c r="AL288" s="52"/>
      <c r="AM288" s="52"/>
    </row>
    <row r="289" spans="1:39" ht="12.75" customHeight="1" x14ac:dyDescent="0.3">
      <c r="A289" s="25"/>
      <c r="B289" s="66"/>
      <c r="C289" s="67"/>
      <c r="D289" s="67"/>
      <c r="E289" s="67"/>
      <c r="F289" s="68"/>
      <c r="G289" s="68"/>
      <c r="H289" s="68"/>
      <c r="I289" s="74"/>
      <c r="J289" s="74"/>
      <c r="K289" s="78"/>
      <c r="L289" s="78"/>
      <c r="M289" s="46"/>
      <c r="N289" s="79"/>
      <c r="O289" s="79"/>
      <c r="P289" s="46"/>
      <c r="Q289" s="16"/>
      <c r="R289" s="16"/>
      <c r="S289" s="69"/>
      <c r="T289" s="16"/>
      <c r="U289" s="113"/>
      <c r="V289" s="70"/>
      <c r="W289" s="36"/>
      <c r="X289" s="36"/>
      <c r="Y289" s="36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80"/>
      <c r="AL289" s="52"/>
      <c r="AM289" s="52"/>
    </row>
    <row r="290" spans="1:39" ht="12.75" customHeight="1" x14ac:dyDescent="0.3">
      <c r="A290" s="25"/>
      <c r="B290" s="66"/>
      <c r="C290" s="67"/>
      <c r="D290" s="67"/>
      <c r="E290" s="67"/>
      <c r="F290" s="68"/>
      <c r="G290" s="68"/>
      <c r="H290" s="68"/>
      <c r="I290" s="20"/>
      <c r="J290" s="20"/>
      <c r="K290" s="14"/>
      <c r="L290" s="14"/>
      <c r="M290" s="16"/>
      <c r="N290" s="16"/>
      <c r="O290" s="16"/>
      <c r="P290" s="16"/>
      <c r="Q290" s="16"/>
      <c r="R290" s="16"/>
      <c r="S290" s="69"/>
      <c r="T290" s="16"/>
      <c r="U290" s="113"/>
      <c r="V290" s="70"/>
      <c r="W290" s="36"/>
      <c r="X290" s="36"/>
      <c r="Y290" s="36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80"/>
      <c r="AL290" s="52"/>
      <c r="AM290" s="52"/>
    </row>
    <row r="291" spans="1:39" ht="12.75" customHeight="1" x14ac:dyDescent="0.3">
      <c r="A291" s="25"/>
      <c r="B291" s="66"/>
      <c r="C291" s="71"/>
      <c r="D291" s="71"/>
      <c r="E291" s="71"/>
      <c r="F291" s="72"/>
      <c r="G291" s="72"/>
      <c r="H291" s="72"/>
      <c r="I291" s="73"/>
      <c r="J291" s="73"/>
      <c r="K291" s="45"/>
      <c r="L291" s="45"/>
      <c r="M291" s="16"/>
      <c r="N291" s="16"/>
      <c r="O291" s="16"/>
      <c r="P291" s="16"/>
      <c r="Q291" s="16"/>
      <c r="R291" s="16"/>
      <c r="S291" s="16"/>
      <c r="T291" s="16"/>
      <c r="U291" s="114"/>
      <c r="V291" s="70"/>
      <c r="W291" s="36"/>
      <c r="X291" s="36"/>
      <c r="Y291" s="36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80"/>
      <c r="AL291" s="52"/>
      <c r="AM291" s="52"/>
    </row>
    <row r="292" spans="1:39" ht="12.75" customHeight="1" x14ac:dyDescent="0.3">
      <c r="A292" s="25"/>
      <c r="B292" s="66"/>
      <c r="C292" s="67"/>
      <c r="D292" s="67"/>
      <c r="E292" s="67"/>
      <c r="F292" s="68"/>
      <c r="G292" s="68"/>
      <c r="H292" s="68"/>
      <c r="I292" s="74"/>
      <c r="J292" s="74"/>
      <c r="K292" s="75"/>
      <c r="L292" s="76"/>
      <c r="M292" s="16"/>
      <c r="N292" s="16"/>
      <c r="O292" s="16"/>
      <c r="P292" s="16"/>
      <c r="Q292" s="16"/>
      <c r="R292" s="16"/>
      <c r="S292" s="69"/>
      <c r="T292" s="16"/>
      <c r="U292" s="115"/>
      <c r="V292" s="70"/>
      <c r="W292" s="36"/>
      <c r="X292" s="36"/>
      <c r="Y292" s="36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80"/>
      <c r="AL292" s="52"/>
      <c r="AM292" s="52"/>
    </row>
    <row r="293" spans="1:39" ht="12.75" customHeight="1" x14ac:dyDescent="0.3">
      <c r="A293" s="25"/>
      <c r="B293" s="66"/>
      <c r="C293" s="67"/>
      <c r="D293" s="67"/>
      <c r="E293" s="67"/>
      <c r="F293" s="68"/>
      <c r="G293" s="68"/>
      <c r="H293" s="68"/>
      <c r="I293" s="20"/>
      <c r="J293" s="20"/>
      <c r="K293" s="14"/>
      <c r="L293" s="14"/>
      <c r="M293" s="16"/>
      <c r="N293" s="16"/>
      <c r="O293" s="16"/>
      <c r="P293" s="16"/>
      <c r="Q293" s="16"/>
      <c r="R293" s="16"/>
      <c r="S293" s="69"/>
      <c r="T293" s="16"/>
      <c r="U293" s="113"/>
      <c r="V293" s="70"/>
      <c r="W293" s="36"/>
      <c r="X293" s="36"/>
      <c r="Y293" s="36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80"/>
      <c r="AL293" s="52"/>
      <c r="AM293" s="52"/>
    </row>
    <row r="294" spans="1:39" ht="12.75" customHeight="1" x14ac:dyDescent="0.3">
      <c r="A294" s="25"/>
      <c r="B294" s="66"/>
      <c r="C294" s="67"/>
      <c r="D294" s="67"/>
      <c r="E294" s="67"/>
      <c r="F294" s="68"/>
      <c r="G294" s="68"/>
      <c r="H294" s="68"/>
      <c r="I294" s="20"/>
      <c r="J294" s="20"/>
      <c r="K294" s="77"/>
      <c r="L294" s="77"/>
      <c r="M294" s="16"/>
      <c r="N294" s="16"/>
      <c r="O294" s="16"/>
      <c r="P294" s="16"/>
      <c r="Q294" s="16"/>
      <c r="R294" s="16"/>
      <c r="S294" s="16"/>
      <c r="T294" s="16"/>
      <c r="U294" s="113"/>
      <c r="V294" s="70"/>
      <c r="W294" s="36"/>
      <c r="X294" s="36"/>
      <c r="Y294" s="36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80"/>
      <c r="AL294" s="52"/>
      <c r="AM294" s="52"/>
    </row>
    <row r="295" spans="1:39" ht="12.75" customHeight="1" x14ac:dyDescent="0.3">
      <c r="A295" s="25"/>
      <c r="B295" s="66"/>
      <c r="C295" s="67"/>
      <c r="D295" s="67"/>
      <c r="E295" s="67"/>
      <c r="F295" s="68"/>
      <c r="G295" s="68"/>
      <c r="H295" s="68"/>
      <c r="I295" s="74"/>
      <c r="J295" s="74"/>
      <c r="K295" s="78"/>
      <c r="L295" s="78"/>
      <c r="M295" s="46"/>
      <c r="N295" s="79"/>
      <c r="O295" s="79"/>
      <c r="P295" s="46"/>
      <c r="Q295" s="16"/>
      <c r="R295" s="16"/>
      <c r="S295" s="69"/>
      <c r="T295" s="16"/>
      <c r="U295" s="113"/>
      <c r="V295" s="70"/>
      <c r="W295" s="36"/>
      <c r="X295" s="36"/>
      <c r="Y295" s="36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80"/>
      <c r="AL295" s="52"/>
      <c r="AM295" s="52"/>
    </row>
    <row r="296" spans="1:39" ht="12.75" customHeight="1" x14ac:dyDescent="0.3">
      <c r="A296" s="25"/>
      <c r="B296" s="66"/>
      <c r="C296" s="67"/>
      <c r="D296" s="67"/>
      <c r="E296" s="67"/>
      <c r="F296" s="68"/>
      <c r="G296" s="68"/>
      <c r="H296" s="68"/>
      <c r="I296" s="20"/>
      <c r="J296" s="20"/>
      <c r="K296" s="14"/>
      <c r="L296" s="14"/>
      <c r="M296" s="16"/>
      <c r="N296" s="16"/>
      <c r="O296" s="16"/>
      <c r="P296" s="16"/>
      <c r="Q296" s="16"/>
      <c r="R296" s="16"/>
      <c r="S296" s="69"/>
      <c r="T296" s="16"/>
      <c r="U296" s="113"/>
      <c r="V296" s="70"/>
      <c r="W296" s="36"/>
      <c r="X296" s="36"/>
      <c r="Y296" s="36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80"/>
      <c r="AL296" s="52"/>
      <c r="AM296" s="52"/>
    </row>
    <row r="297" spans="1:39" ht="12.75" customHeight="1" x14ac:dyDescent="0.3">
      <c r="A297" s="25"/>
      <c r="B297" s="66"/>
      <c r="C297" s="71"/>
      <c r="D297" s="71"/>
      <c r="E297" s="71"/>
      <c r="F297" s="72"/>
      <c r="G297" s="72"/>
      <c r="H297" s="72"/>
      <c r="I297" s="73"/>
      <c r="J297" s="73"/>
      <c r="K297" s="45"/>
      <c r="L297" s="45"/>
      <c r="M297" s="16"/>
      <c r="N297" s="16"/>
      <c r="O297" s="16"/>
      <c r="P297" s="16"/>
      <c r="Q297" s="16"/>
      <c r="R297" s="16"/>
      <c r="S297" s="16"/>
      <c r="T297" s="16"/>
      <c r="U297" s="114"/>
      <c r="V297" s="70"/>
      <c r="W297" s="36"/>
      <c r="X297" s="36"/>
      <c r="Y297" s="36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80"/>
      <c r="AL297" s="52"/>
      <c r="AM297" s="52"/>
    </row>
    <row r="298" spans="1:39" ht="12.75" customHeight="1" x14ac:dyDescent="0.3">
      <c r="A298" s="25"/>
      <c r="B298" s="66"/>
      <c r="C298" s="67"/>
      <c r="D298" s="67"/>
      <c r="E298" s="67"/>
      <c r="F298" s="68"/>
      <c r="G298" s="68"/>
      <c r="H298" s="68"/>
      <c r="I298" s="74"/>
      <c r="J298" s="74"/>
      <c r="K298" s="75"/>
      <c r="L298" s="76"/>
      <c r="M298" s="16"/>
      <c r="N298" s="16"/>
      <c r="O298" s="16"/>
      <c r="P298" s="16"/>
      <c r="Q298" s="16"/>
      <c r="R298" s="16"/>
      <c r="S298" s="69"/>
      <c r="T298" s="16"/>
      <c r="U298" s="115"/>
      <c r="V298" s="70"/>
      <c r="W298" s="36"/>
      <c r="X298" s="36"/>
      <c r="Y298" s="36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80"/>
      <c r="AL298" s="52"/>
      <c r="AM298" s="52"/>
    </row>
    <row r="299" spans="1:39" ht="12.75" customHeight="1" x14ac:dyDescent="0.3">
      <c r="A299" s="25"/>
      <c r="B299" s="66"/>
      <c r="C299" s="67"/>
      <c r="D299" s="67"/>
      <c r="E299" s="67"/>
      <c r="F299" s="68"/>
      <c r="G299" s="68"/>
      <c r="H299" s="68"/>
      <c r="I299" s="20"/>
      <c r="J299" s="20"/>
      <c r="K299" s="14"/>
      <c r="L299" s="14"/>
      <c r="M299" s="16"/>
      <c r="N299" s="16"/>
      <c r="O299" s="16"/>
      <c r="P299" s="16"/>
      <c r="Q299" s="16"/>
      <c r="R299" s="16"/>
      <c r="S299" s="69"/>
      <c r="T299" s="16"/>
      <c r="U299" s="113"/>
      <c r="V299" s="70"/>
      <c r="W299" s="36"/>
      <c r="X299" s="36"/>
      <c r="Y299" s="36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80"/>
      <c r="AL299" s="52"/>
      <c r="AM299" s="52"/>
    </row>
    <row r="300" spans="1:39" ht="12.75" customHeight="1" x14ac:dyDescent="0.3">
      <c r="A300" s="25"/>
      <c r="B300" s="66"/>
      <c r="C300" s="67"/>
      <c r="D300" s="67"/>
      <c r="E300" s="67"/>
      <c r="F300" s="68"/>
      <c r="G300" s="68"/>
      <c r="H300" s="68"/>
      <c r="I300" s="20"/>
      <c r="J300" s="20"/>
      <c r="K300" s="77"/>
      <c r="L300" s="77"/>
      <c r="M300" s="16"/>
      <c r="N300" s="16"/>
      <c r="O300" s="16"/>
      <c r="P300" s="16"/>
      <c r="Q300" s="16"/>
      <c r="R300" s="16"/>
      <c r="S300" s="16"/>
      <c r="T300" s="16"/>
      <c r="U300" s="113"/>
      <c r="V300" s="70"/>
      <c r="W300" s="36"/>
      <c r="X300" s="36"/>
      <c r="Y300" s="36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80"/>
      <c r="AL300" s="52"/>
      <c r="AM300" s="52"/>
    </row>
    <row r="301" spans="1:39" ht="12.75" customHeight="1" x14ac:dyDescent="0.3">
      <c r="A301" s="25"/>
      <c r="B301" s="66"/>
      <c r="C301" s="67"/>
      <c r="D301" s="67"/>
      <c r="E301" s="67"/>
      <c r="F301" s="68"/>
      <c r="G301" s="68"/>
      <c r="H301" s="68"/>
      <c r="I301" s="74"/>
      <c r="J301" s="74"/>
      <c r="K301" s="78"/>
      <c r="L301" s="78"/>
      <c r="M301" s="46"/>
      <c r="N301" s="79"/>
      <c r="O301" s="79"/>
      <c r="P301" s="46"/>
      <c r="Q301" s="16"/>
      <c r="R301" s="16"/>
      <c r="S301" s="69"/>
      <c r="T301" s="16"/>
      <c r="U301" s="113"/>
      <c r="V301" s="70"/>
      <c r="W301" s="36"/>
      <c r="X301" s="36"/>
      <c r="Y301" s="36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80"/>
      <c r="AL301" s="52"/>
      <c r="AM301" s="52"/>
    </row>
    <row r="302" spans="1:39" ht="12.75" customHeight="1" x14ac:dyDescent="0.3">
      <c r="A302" s="25"/>
      <c r="B302" s="66"/>
      <c r="C302" s="67"/>
      <c r="D302" s="67"/>
      <c r="E302" s="67"/>
      <c r="F302" s="68"/>
      <c r="G302" s="68"/>
      <c r="H302" s="68"/>
      <c r="I302" s="20"/>
      <c r="J302" s="20"/>
      <c r="K302" s="14"/>
      <c r="L302" s="14"/>
      <c r="M302" s="16"/>
      <c r="N302" s="16"/>
      <c r="O302" s="16"/>
      <c r="P302" s="16"/>
      <c r="Q302" s="16"/>
      <c r="R302" s="16"/>
      <c r="S302" s="69"/>
      <c r="T302" s="16"/>
      <c r="U302" s="113"/>
      <c r="V302" s="70"/>
      <c r="W302" s="36"/>
      <c r="X302" s="36"/>
      <c r="Y302" s="36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80"/>
      <c r="AL302" s="52"/>
      <c r="AM302" s="52"/>
    </row>
    <row r="303" spans="1:39" ht="12.75" customHeight="1" x14ac:dyDescent="0.3">
      <c r="A303" s="25"/>
      <c r="B303" s="66"/>
      <c r="C303" s="67"/>
      <c r="D303" s="67"/>
      <c r="E303" s="67"/>
      <c r="F303" s="68"/>
      <c r="G303" s="68"/>
      <c r="H303" s="68"/>
      <c r="I303" s="74"/>
      <c r="J303" s="74"/>
      <c r="K303" s="78"/>
      <c r="L303" s="78"/>
      <c r="M303" s="46"/>
      <c r="N303" s="79"/>
      <c r="O303" s="79"/>
      <c r="P303" s="46"/>
      <c r="Q303" s="16"/>
      <c r="R303" s="16"/>
      <c r="S303" s="69"/>
      <c r="T303" s="16"/>
      <c r="U303" s="113"/>
      <c r="V303" s="70"/>
      <c r="W303" s="36"/>
      <c r="X303" s="36"/>
      <c r="Y303" s="36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80"/>
      <c r="AL303" s="52"/>
      <c r="AM303" s="52"/>
    </row>
    <row r="304" spans="1:39" ht="12.75" customHeight="1" x14ac:dyDescent="0.3">
      <c r="A304" s="25"/>
      <c r="B304" s="66"/>
      <c r="C304" s="67"/>
      <c r="D304" s="67"/>
      <c r="E304" s="67"/>
      <c r="F304" s="68"/>
      <c r="G304" s="68"/>
      <c r="H304" s="68"/>
      <c r="I304" s="20"/>
      <c r="J304" s="20"/>
      <c r="K304" s="14"/>
      <c r="L304" s="14"/>
      <c r="M304" s="16"/>
      <c r="N304" s="16"/>
      <c r="O304" s="16"/>
      <c r="P304" s="16"/>
      <c r="Q304" s="16"/>
      <c r="R304" s="16"/>
      <c r="S304" s="69"/>
      <c r="T304" s="16"/>
      <c r="U304" s="113"/>
      <c r="V304" s="70"/>
      <c r="W304" s="36"/>
      <c r="X304" s="36"/>
      <c r="Y304" s="36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80"/>
      <c r="AL304" s="52"/>
      <c r="AM304" s="52"/>
    </row>
    <row r="305" spans="1:39" ht="12.75" customHeight="1" x14ac:dyDescent="0.3">
      <c r="A305" s="25"/>
      <c r="B305" s="66"/>
      <c r="C305" s="71"/>
      <c r="D305" s="71"/>
      <c r="E305" s="71"/>
      <c r="F305" s="72"/>
      <c r="G305" s="72"/>
      <c r="H305" s="72"/>
      <c r="I305" s="73"/>
      <c r="J305" s="73"/>
      <c r="K305" s="45"/>
      <c r="L305" s="45"/>
      <c r="M305" s="16"/>
      <c r="N305" s="16"/>
      <c r="O305" s="16"/>
      <c r="P305" s="16"/>
      <c r="Q305" s="16"/>
      <c r="R305" s="16"/>
      <c r="S305" s="16"/>
      <c r="T305" s="16"/>
      <c r="U305" s="114"/>
      <c r="V305" s="70"/>
      <c r="W305" s="36"/>
      <c r="X305" s="36"/>
      <c r="Y305" s="36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80"/>
      <c r="AL305" s="52"/>
      <c r="AM305" s="52"/>
    </row>
    <row r="306" spans="1:39" ht="12.75" customHeight="1" x14ac:dyDescent="0.3">
      <c r="A306" s="25"/>
      <c r="B306" s="66"/>
      <c r="C306" s="67"/>
      <c r="D306" s="67"/>
      <c r="E306" s="67"/>
      <c r="F306" s="68"/>
      <c r="G306" s="68"/>
      <c r="H306" s="68"/>
      <c r="I306" s="74"/>
      <c r="J306" s="74"/>
      <c r="K306" s="75"/>
      <c r="L306" s="76"/>
      <c r="M306" s="16"/>
      <c r="N306" s="16"/>
      <c r="O306" s="16"/>
      <c r="P306" s="16"/>
      <c r="Q306" s="16"/>
      <c r="R306" s="16"/>
      <c r="S306" s="69"/>
      <c r="T306" s="16"/>
      <c r="U306" s="115"/>
      <c r="V306" s="70"/>
      <c r="W306" s="36"/>
      <c r="X306" s="36"/>
      <c r="Y306" s="36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80"/>
      <c r="AL306" s="52"/>
      <c r="AM306" s="52"/>
    </row>
    <row r="307" spans="1:39" ht="12.75" customHeight="1" x14ac:dyDescent="0.3">
      <c r="A307" s="25"/>
      <c r="B307" s="66"/>
      <c r="C307" s="67"/>
      <c r="D307" s="67"/>
      <c r="E307" s="67"/>
      <c r="F307" s="68"/>
      <c r="G307" s="68"/>
      <c r="H307" s="68"/>
      <c r="I307" s="20"/>
      <c r="J307" s="20"/>
      <c r="K307" s="14"/>
      <c r="L307" s="14"/>
      <c r="M307" s="16"/>
      <c r="N307" s="16"/>
      <c r="O307" s="16"/>
      <c r="P307" s="16"/>
      <c r="Q307" s="16"/>
      <c r="R307" s="16"/>
      <c r="S307" s="69"/>
      <c r="T307" s="16"/>
      <c r="U307" s="113"/>
      <c r="V307" s="70"/>
      <c r="W307" s="36"/>
      <c r="X307" s="36"/>
      <c r="Y307" s="36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80"/>
      <c r="AL307" s="52"/>
      <c r="AM307" s="52"/>
    </row>
    <row r="308" spans="1:39" ht="12.75" customHeight="1" x14ac:dyDescent="0.3">
      <c r="A308" s="25"/>
      <c r="B308" s="66"/>
      <c r="C308" s="67"/>
      <c r="D308" s="67"/>
      <c r="E308" s="67"/>
      <c r="F308" s="68"/>
      <c r="G308" s="68"/>
      <c r="H308" s="68"/>
      <c r="I308" s="20"/>
      <c r="J308" s="20"/>
      <c r="K308" s="77"/>
      <c r="L308" s="77"/>
      <c r="M308" s="16"/>
      <c r="N308" s="16"/>
      <c r="O308" s="16"/>
      <c r="P308" s="16"/>
      <c r="Q308" s="16"/>
      <c r="R308" s="16"/>
      <c r="S308" s="16"/>
      <c r="T308" s="16"/>
      <c r="U308" s="113"/>
      <c r="V308" s="70"/>
      <c r="W308" s="36"/>
      <c r="X308" s="36"/>
      <c r="Y308" s="36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80"/>
      <c r="AL308" s="52"/>
      <c r="AM308" s="52"/>
    </row>
    <row r="309" spans="1:39" ht="12.75" customHeight="1" x14ac:dyDescent="0.3">
      <c r="A309" s="25"/>
      <c r="B309" s="66"/>
      <c r="C309" s="67"/>
      <c r="D309" s="67"/>
      <c r="E309" s="67"/>
      <c r="F309" s="68"/>
      <c r="G309" s="68"/>
      <c r="H309" s="68"/>
      <c r="I309" s="74"/>
      <c r="J309" s="74"/>
      <c r="K309" s="78"/>
      <c r="L309" s="78"/>
      <c r="M309" s="46"/>
      <c r="N309" s="79"/>
      <c r="O309" s="79"/>
      <c r="P309" s="46"/>
      <c r="Q309" s="16"/>
      <c r="R309" s="16"/>
      <c r="S309" s="69"/>
      <c r="T309" s="16"/>
      <c r="U309" s="113"/>
      <c r="V309" s="70"/>
      <c r="W309" s="36"/>
      <c r="X309" s="36"/>
      <c r="Y309" s="36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80"/>
      <c r="AL309" s="52"/>
      <c r="AM309" s="52"/>
    </row>
    <row r="310" spans="1:39" ht="12.75" customHeight="1" x14ac:dyDescent="0.3">
      <c r="A310" s="25"/>
      <c r="B310" s="66"/>
      <c r="C310" s="67"/>
      <c r="D310" s="67"/>
      <c r="E310" s="67"/>
      <c r="F310" s="68"/>
      <c r="G310" s="68"/>
      <c r="H310" s="68"/>
      <c r="I310" s="20"/>
      <c r="J310" s="20"/>
      <c r="K310" s="14"/>
      <c r="L310" s="14"/>
      <c r="M310" s="16"/>
      <c r="N310" s="16"/>
      <c r="O310" s="16"/>
      <c r="P310" s="16"/>
      <c r="Q310" s="16"/>
      <c r="R310" s="16"/>
      <c r="S310" s="69"/>
      <c r="T310" s="16"/>
      <c r="U310" s="113"/>
      <c r="V310" s="70"/>
      <c r="W310" s="36"/>
      <c r="X310" s="36"/>
      <c r="Y310" s="36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80"/>
      <c r="AL310" s="52"/>
      <c r="AM310" s="52"/>
    </row>
    <row r="311" spans="1:39" ht="12.75" customHeight="1" x14ac:dyDescent="0.3">
      <c r="A311" s="25"/>
      <c r="B311" s="66"/>
      <c r="C311" s="71"/>
      <c r="D311" s="71"/>
      <c r="E311" s="71"/>
      <c r="F311" s="72"/>
      <c r="G311" s="72"/>
      <c r="H311" s="72"/>
      <c r="I311" s="73"/>
      <c r="J311" s="73"/>
      <c r="K311" s="45"/>
      <c r="L311" s="45"/>
      <c r="M311" s="16"/>
      <c r="N311" s="16"/>
      <c r="O311" s="16"/>
      <c r="P311" s="16"/>
      <c r="Q311" s="16"/>
      <c r="R311" s="16"/>
      <c r="S311" s="16"/>
      <c r="T311" s="16"/>
      <c r="U311" s="114"/>
      <c r="V311" s="70"/>
      <c r="W311" s="36"/>
      <c r="X311" s="36"/>
      <c r="Y311" s="36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80"/>
      <c r="AL311" s="52"/>
      <c r="AM311" s="52"/>
    </row>
    <row r="312" spans="1:39" ht="12.75" customHeight="1" x14ac:dyDescent="0.3">
      <c r="A312" s="25"/>
      <c r="B312" s="66"/>
      <c r="C312" s="67"/>
      <c r="D312" s="67"/>
      <c r="E312" s="67"/>
      <c r="F312" s="68"/>
      <c r="G312" s="68"/>
      <c r="H312" s="68"/>
      <c r="I312" s="74"/>
      <c r="J312" s="74"/>
      <c r="K312" s="75"/>
      <c r="L312" s="76"/>
      <c r="M312" s="16"/>
      <c r="N312" s="16"/>
      <c r="O312" s="16"/>
      <c r="P312" s="16"/>
      <c r="Q312" s="16"/>
      <c r="R312" s="16"/>
      <c r="S312" s="69"/>
      <c r="T312" s="16"/>
      <c r="U312" s="115"/>
      <c r="V312" s="70"/>
      <c r="W312" s="36"/>
      <c r="X312" s="36"/>
      <c r="Y312" s="36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80"/>
      <c r="AL312" s="52"/>
      <c r="AM312" s="52"/>
    </row>
    <row r="313" spans="1:39" ht="12.75" customHeight="1" x14ac:dyDescent="0.3">
      <c r="A313" s="25"/>
      <c r="B313" s="66"/>
      <c r="C313" s="67"/>
      <c r="D313" s="67"/>
      <c r="E313" s="67"/>
      <c r="F313" s="68"/>
      <c r="G313" s="68"/>
      <c r="H313" s="68"/>
      <c r="I313" s="20"/>
      <c r="J313" s="20"/>
      <c r="K313" s="14"/>
      <c r="L313" s="14"/>
      <c r="M313" s="16"/>
      <c r="N313" s="16"/>
      <c r="O313" s="16"/>
      <c r="P313" s="16"/>
      <c r="Q313" s="16"/>
      <c r="R313" s="16"/>
      <c r="S313" s="69"/>
      <c r="T313" s="16"/>
      <c r="U313" s="113"/>
      <c r="V313" s="70"/>
      <c r="W313" s="36"/>
      <c r="X313" s="36"/>
      <c r="Y313" s="36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80"/>
      <c r="AL313" s="52"/>
      <c r="AM313" s="52"/>
    </row>
    <row r="314" spans="1:39" ht="12.75" customHeight="1" x14ac:dyDescent="0.3">
      <c r="A314" s="25"/>
      <c r="B314" s="66"/>
      <c r="C314" s="67"/>
      <c r="D314" s="67"/>
      <c r="E314" s="67"/>
      <c r="F314" s="68"/>
      <c r="G314" s="68"/>
      <c r="H314" s="68"/>
      <c r="I314" s="20"/>
      <c r="J314" s="20"/>
      <c r="K314" s="77"/>
      <c r="L314" s="77"/>
      <c r="M314" s="16"/>
      <c r="N314" s="16"/>
      <c r="O314" s="16"/>
      <c r="P314" s="16"/>
      <c r="Q314" s="16"/>
      <c r="R314" s="16"/>
      <c r="S314" s="16"/>
      <c r="T314" s="16"/>
      <c r="U314" s="113"/>
      <c r="V314" s="70"/>
      <c r="W314" s="36"/>
      <c r="X314" s="36"/>
      <c r="Y314" s="36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80"/>
      <c r="AL314" s="52"/>
      <c r="AM314" s="52"/>
    </row>
    <row r="315" spans="1:39" ht="12.75" customHeight="1" x14ac:dyDescent="0.3">
      <c r="A315" s="25"/>
      <c r="B315" s="66"/>
      <c r="C315" s="67"/>
      <c r="D315" s="67"/>
      <c r="E315" s="67"/>
      <c r="F315" s="68"/>
      <c r="G315" s="68"/>
      <c r="H315" s="68"/>
      <c r="I315" s="74"/>
      <c r="J315" s="74"/>
      <c r="K315" s="78"/>
      <c r="L315" s="78"/>
      <c r="M315" s="46"/>
      <c r="N315" s="79"/>
      <c r="O315" s="79"/>
      <c r="P315" s="46"/>
      <c r="Q315" s="16"/>
      <c r="R315" s="16"/>
      <c r="S315" s="69"/>
      <c r="T315" s="16"/>
      <c r="U315" s="113"/>
      <c r="V315" s="70"/>
      <c r="W315" s="36"/>
      <c r="X315" s="36"/>
      <c r="Y315" s="36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80"/>
      <c r="AL315" s="52"/>
      <c r="AM315" s="52"/>
    </row>
    <row r="316" spans="1:39" ht="12.75" customHeight="1" x14ac:dyDescent="0.3">
      <c r="A316" s="25"/>
      <c r="B316" s="66"/>
      <c r="C316" s="67"/>
      <c r="D316" s="67"/>
      <c r="E316" s="67"/>
      <c r="F316" s="68"/>
      <c r="G316" s="68"/>
      <c r="H316" s="68"/>
      <c r="I316" s="20"/>
      <c r="J316" s="20"/>
      <c r="K316" s="14"/>
      <c r="L316" s="14"/>
      <c r="M316" s="16"/>
      <c r="N316" s="16"/>
      <c r="O316" s="16"/>
      <c r="P316" s="16"/>
      <c r="Q316" s="16"/>
      <c r="R316" s="16"/>
      <c r="S316" s="69"/>
      <c r="T316" s="16"/>
      <c r="U316" s="113"/>
      <c r="V316" s="70"/>
      <c r="W316" s="36"/>
      <c r="X316" s="36"/>
      <c r="Y316" s="36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80"/>
      <c r="AL316" s="52"/>
      <c r="AM316" s="52"/>
    </row>
    <row r="317" spans="1:39" ht="12.75" customHeight="1" x14ac:dyDescent="0.3">
      <c r="A317" s="25"/>
      <c r="B317" s="66"/>
      <c r="C317" s="67"/>
      <c r="D317" s="67"/>
      <c r="E317" s="67"/>
      <c r="F317" s="68"/>
      <c r="G317" s="68"/>
      <c r="H317" s="68"/>
      <c r="I317" s="74"/>
      <c r="J317" s="74"/>
      <c r="K317" s="78"/>
      <c r="L317" s="78"/>
      <c r="M317" s="46"/>
      <c r="N317" s="79"/>
      <c r="O317" s="79"/>
      <c r="P317" s="46"/>
      <c r="Q317" s="16"/>
      <c r="R317" s="16"/>
      <c r="S317" s="69"/>
      <c r="T317" s="16"/>
      <c r="U317" s="113"/>
      <c r="V317" s="70"/>
      <c r="W317" s="36"/>
      <c r="X317" s="36"/>
      <c r="Y317" s="36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80"/>
      <c r="AL317" s="52"/>
      <c r="AM317" s="52"/>
    </row>
    <row r="318" spans="1:39" ht="12.75" customHeight="1" x14ac:dyDescent="0.3">
      <c r="A318" s="25"/>
      <c r="B318" s="66"/>
      <c r="C318" s="67"/>
      <c r="D318" s="67"/>
      <c r="E318" s="67"/>
      <c r="F318" s="68"/>
      <c r="G318" s="68"/>
      <c r="H318" s="68"/>
      <c r="I318" s="20"/>
      <c r="J318" s="20"/>
      <c r="K318" s="14"/>
      <c r="L318" s="14"/>
      <c r="M318" s="16"/>
      <c r="N318" s="16"/>
      <c r="O318" s="16"/>
      <c r="P318" s="16"/>
      <c r="Q318" s="16"/>
      <c r="R318" s="16"/>
      <c r="S318" s="69"/>
      <c r="T318" s="16"/>
      <c r="U318" s="113"/>
      <c r="V318" s="70"/>
      <c r="W318" s="36"/>
      <c r="X318" s="36"/>
      <c r="Y318" s="36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80"/>
      <c r="AL318" s="52"/>
      <c r="AM318" s="52"/>
    </row>
    <row r="319" spans="1:39" ht="12.75" customHeight="1" x14ac:dyDescent="0.3">
      <c r="A319" s="25"/>
      <c r="B319" s="66"/>
      <c r="C319" s="71"/>
      <c r="D319" s="71"/>
      <c r="E319" s="71"/>
      <c r="F319" s="72"/>
      <c r="G319" s="72"/>
      <c r="H319" s="72"/>
      <c r="I319" s="73"/>
      <c r="J319" s="73"/>
      <c r="K319" s="45"/>
      <c r="L319" s="45"/>
      <c r="M319" s="16"/>
      <c r="N319" s="16"/>
      <c r="O319" s="16"/>
      <c r="P319" s="16"/>
      <c r="Q319" s="16"/>
      <c r="R319" s="16"/>
      <c r="S319" s="16"/>
      <c r="T319" s="16"/>
      <c r="U319" s="114"/>
      <c r="V319" s="70"/>
      <c r="W319" s="36"/>
      <c r="X319" s="36"/>
      <c r="Y319" s="36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80"/>
      <c r="AL319" s="52"/>
      <c r="AM319" s="52"/>
    </row>
    <row r="320" spans="1:39" ht="12.75" customHeight="1" x14ac:dyDescent="0.3">
      <c r="A320" s="25"/>
      <c r="B320" s="66"/>
      <c r="C320" s="67"/>
      <c r="D320" s="67"/>
      <c r="E320" s="67"/>
      <c r="F320" s="68"/>
      <c r="G320" s="68"/>
      <c r="H320" s="68"/>
      <c r="I320" s="74"/>
      <c r="J320" s="74"/>
      <c r="K320" s="75"/>
      <c r="L320" s="76"/>
      <c r="M320" s="16"/>
      <c r="N320" s="16"/>
      <c r="O320" s="16"/>
      <c r="P320" s="16"/>
      <c r="Q320" s="16"/>
      <c r="R320" s="16"/>
      <c r="S320" s="69"/>
      <c r="T320" s="16"/>
      <c r="U320" s="115"/>
      <c r="V320" s="70"/>
      <c r="W320" s="36"/>
      <c r="X320" s="36"/>
      <c r="Y320" s="36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80"/>
      <c r="AL320" s="52"/>
      <c r="AM320" s="52"/>
    </row>
    <row r="321" spans="1:39" ht="12.75" customHeight="1" x14ac:dyDescent="0.3">
      <c r="A321" s="25"/>
      <c r="B321" s="66"/>
      <c r="C321" s="67"/>
      <c r="D321" s="67"/>
      <c r="E321" s="67"/>
      <c r="F321" s="68"/>
      <c r="G321" s="68"/>
      <c r="H321" s="68"/>
      <c r="I321" s="20"/>
      <c r="J321" s="20"/>
      <c r="K321" s="14"/>
      <c r="L321" s="14"/>
      <c r="M321" s="16"/>
      <c r="N321" s="16"/>
      <c r="O321" s="16"/>
      <c r="P321" s="16"/>
      <c r="Q321" s="16"/>
      <c r="R321" s="16"/>
      <c r="S321" s="69"/>
      <c r="T321" s="16"/>
      <c r="U321" s="113"/>
      <c r="V321" s="70"/>
      <c r="W321" s="36"/>
      <c r="X321" s="36"/>
      <c r="Y321" s="36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80"/>
      <c r="AL321" s="52"/>
      <c r="AM321" s="52"/>
    </row>
    <row r="322" spans="1:39" ht="12.75" customHeight="1" x14ac:dyDescent="0.3">
      <c r="A322" s="25"/>
      <c r="B322" s="66"/>
      <c r="C322" s="67"/>
      <c r="D322" s="67"/>
      <c r="E322" s="67"/>
      <c r="F322" s="68"/>
      <c r="G322" s="68"/>
      <c r="H322" s="68"/>
      <c r="I322" s="20"/>
      <c r="J322" s="20"/>
      <c r="K322" s="77"/>
      <c r="L322" s="77"/>
      <c r="M322" s="16"/>
      <c r="N322" s="16"/>
      <c r="O322" s="16"/>
      <c r="P322" s="16"/>
      <c r="Q322" s="16"/>
      <c r="R322" s="16"/>
      <c r="S322" s="16"/>
      <c r="T322" s="16"/>
      <c r="U322" s="113"/>
      <c r="V322" s="70"/>
      <c r="W322" s="36"/>
      <c r="X322" s="36"/>
      <c r="Y322" s="36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80"/>
      <c r="AL322" s="52"/>
      <c r="AM322" s="52"/>
    </row>
    <row r="323" spans="1:39" ht="12.75" customHeight="1" x14ac:dyDescent="0.3">
      <c r="A323" s="25"/>
      <c r="B323" s="66"/>
      <c r="C323" s="67"/>
      <c r="D323" s="67"/>
      <c r="E323" s="67"/>
      <c r="F323" s="68"/>
      <c r="G323" s="68"/>
      <c r="H323" s="68"/>
      <c r="I323" s="74"/>
      <c r="J323" s="74"/>
      <c r="K323" s="78"/>
      <c r="L323" s="78"/>
      <c r="M323" s="46"/>
      <c r="N323" s="79"/>
      <c r="O323" s="79"/>
      <c r="P323" s="46"/>
      <c r="Q323" s="16"/>
      <c r="R323" s="16"/>
      <c r="S323" s="69"/>
      <c r="T323" s="16"/>
      <c r="U323" s="113"/>
      <c r="V323" s="70"/>
      <c r="W323" s="36"/>
      <c r="X323" s="36"/>
      <c r="Y323" s="36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80"/>
      <c r="AL323" s="52"/>
      <c r="AM323" s="52"/>
    </row>
    <row r="324" spans="1:39" ht="9.75" customHeight="1" x14ac:dyDescent="0.25">
      <c r="A324" s="25"/>
      <c r="B324" s="66"/>
      <c r="C324" s="67"/>
      <c r="D324" s="67"/>
      <c r="E324" s="67"/>
      <c r="F324" s="68"/>
      <c r="G324" s="68"/>
      <c r="H324" s="68"/>
      <c r="I324" s="20"/>
      <c r="J324" s="20"/>
      <c r="K324" s="14"/>
      <c r="L324" s="14"/>
      <c r="M324" s="16"/>
      <c r="N324" s="16"/>
      <c r="O324" s="16"/>
      <c r="P324" s="16"/>
      <c r="Q324" s="16"/>
      <c r="R324" s="16"/>
      <c r="S324" s="69"/>
      <c r="T324" s="16"/>
      <c r="U324" s="113"/>
      <c r="V324" s="70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</row>
    <row r="325" spans="1:39" ht="9.75" customHeight="1" x14ac:dyDescent="0.25">
      <c r="A325" s="25"/>
      <c r="B325" s="66"/>
      <c r="C325" s="71"/>
      <c r="D325" s="71"/>
      <c r="E325" s="71"/>
      <c r="F325" s="72"/>
      <c r="G325" s="72"/>
      <c r="H325" s="72"/>
      <c r="I325" s="73"/>
      <c r="J325" s="73"/>
      <c r="K325" s="45"/>
      <c r="L325" s="45"/>
      <c r="M325" s="16"/>
      <c r="N325" s="16"/>
      <c r="O325" s="16"/>
      <c r="P325" s="16"/>
      <c r="Q325" s="16"/>
      <c r="R325" s="16"/>
      <c r="S325" s="16"/>
      <c r="T325" s="16"/>
      <c r="U325" s="114"/>
      <c r="V325" s="70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</row>
    <row r="326" spans="1:39" ht="9.75" customHeight="1" x14ac:dyDescent="0.25">
      <c r="A326" s="25"/>
      <c r="B326" s="66"/>
      <c r="C326" s="67"/>
      <c r="D326" s="67"/>
      <c r="E326" s="67"/>
      <c r="F326" s="68"/>
      <c r="G326" s="68"/>
      <c r="H326" s="68"/>
      <c r="I326" s="74"/>
      <c r="J326" s="74"/>
      <c r="K326" s="75"/>
      <c r="L326" s="76"/>
      <c r="M326" s="16"/>
      <c r="N326" s="16"/>
      <c r="O326" s="16"/>
      <c r="P326" s="16"/>
      <c r="Q326" s="16"/>
      <c r="R326" s="16"/>
      <c r="S326" s="69"/>
      <c r="T326" s="16"/>
      <c r="U326" s="115"/>
      <c r="V326" s="70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</row>
    <row r="327" spans="1:39" ht="12.75" customHeight="1" x14ac:dyDescent="0.25">
      <c r="A327" s="25"/>
      <c r="B327" s="66"/>
      <c r="C327" s="67"/>
      <c r="D327" s="67"/>
      <c r="E327" s="67"/>
      <c r="F327" s="68"/>
      <c r="G327" s="68"/>
      <c r="H327" s="68"/>
      <c r="I327" s="20"/>
      <c r="J327" s="20"/>
      <c r="K327" s="14"/>
      <c r="L327" s="14"/>
      <c r="M327" s="16"/>
      <c r="N327" s="16"/>
      <c r="O327" s="16"/>
      <c r="P327" s="16"/>
      <c r="Q327" s="16"/>
      <c r="R327" s="16"/>
      <c r="S327" s="69"/>
      <c r="T327" s="16"/>
      <c r="U327" s="113"/>
      <c r="V327" s="70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</row>
    <row r="328" spans="1:39" ht="12.75" customHeight="1" x14ac:dyDescent="0.25">
      <c r="A328" s="25"/>
      <c r="B328" s="66"/>
      <c r="C328" s="67"/>
      <c r="D328" s="67"/>
      <c r="E328" s="67"/>
      <c r="F328" s="68"/>
      <c r="G328" s="68"/>
      <c r="H328" s="68"/>
      <c r="I328" s="20"/>
      <c r="J328" s="20"/>
      <c r="K328" s="77"/>
      <c r="L328" s="77"/>
      <c r="M328" s="16"/>
      <c r="N328" s="16"/>
      <c r="O328" s="16"/>
      <c r="P328" s="16"/>
      <c r="Q328" s="16"/>
      <c r="R328" s="16"/>
      <c r="S328" s="16"/>
      <c r="T328" s="16"/>
      <c r="U328" s="113"/>
      <c r="V328" s="70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</row>
    <row r="329" spans="1:39" ht="12.75" customHeight="1" x14ac:dyDescent="0.25">
      <c r="A329" s="25"/>
      <c r="B329" s="66"/>
      <c r="C329" s="67"/>
      <c r="D329" s="67"/>
      <c r="E329" s="67"/>
      <c r="F329" s="68"/>
      <c r="G329" s="68"/>
      <c r="H329" s="68"/>
      <c r="I329" s="74"/>
      <c r="J329" s="74"/>
      <c r="K329" s="78"/>
      <c r="L329" s="78"/>
      <c r="M329" s="46"/>
      <c r="N329" s="79"/>
      <c r="O329" s="79"/>
      <c r="P329" s="46"/>
      <c r="Q329" s="16"/>
      <c r="R329" s="16"/>
      <c r="S329" s="69"/>
      <c r="T329" s="16"/>
      <c r="U329" s="113"/>
      <c r="V329" s="70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</row>
    <row r="330" spans="1:39" ht="12.75" customHeight="1" x14ac:dyDescent="0.25">
      <c r="A330" s="25"/>
      <c r="B330" s="66"/>
      <c r="C330" s="67"/>
      <c r="D330" s="67"/>
      <c r="E330" s="67"/>
      <c r="F330" s="68"/>
      <c r="G330" s="68"/>
      <c r="H330" s="68"/>
      <c r="I330" s="20"/>
      <c r="J330" s="20"/>
      <c r="K330" s="14"/>
      <c r="L330" s="14"/>
      <c r="M330" s="16"/>
      <c r="N330" s="16"/>
      <c r="O330" s="16"/>
      <c r="P330" s="16"/>
      <c r="Q330" s="16"/>
      <c r="R330" s="16"/>
      <c r="S330" s="69"/>
      <c r="T330" s="16"/>
      <c r="U330" s="113"/>
      <c r="V330" s="70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</row>
    <row r="331" spans="1:39" ht="12.75" customHeight="1" x14ac:dyDescent="0.25">
      <c r="A331" s="25"/>
      <c r="B331" s="66"/>
      <c r="C331" s="67"/>
      <c r="D331" s="67"/>
      <c r="E331" s="67"/>
      <c r="F331" s="68"/>
      <c r="G331" s="68"/>
      <c r="H331" s="68"/>
      <c r="I331" s="74"/>
      <c r="J331" s="74"/>
      <c r="K331" s="78"/>
      <c r="L331" s="78"/>
      <c r="M331" s="46"/>
      <c r="N331" s="79"/>
      <c r="O331" s="79"/>
      <c r="P331" s="46"/>
      <c r="Q331" s="16"/>
      <c r="R331" s="16"/>
      <c r="S331" s="69"/>
      <c r="T331" s="16"/>
      <c r="U331" s="113"/>
      <c r="V331" s="70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</row>
    <row r="332" spans="1:39" ht="12.75" customHeight="1" x14ac:dyDescent="0.25">
      <c r="A332" s="25"/>
      <c r="B332" s="66"/>
      <c r="C332" s="67"/>
      <c r="D332" s="67"/>
      <c r="E332" s="67"/>
      <c r="F332" s="68"/>
      <c r="G332" s="68"/>
      <c r="H332" s="68"/>
      <c r="I332" s="20"/>
      <c r="J332" s="20"/>
      <c r="K332" s="14"/>
      <c r="L332" s="14"/>
      <c r="M332" s="16"/>
      <c r="N332" s="16"/>
      <c r="O332" s="16"/>
      <c r="P332" s="16"/>
      <c r="Q332" s="16"/>
      <c r="R332" s="16"/>
      <c r="S332" s="69"/>
      <c r="T332" s="16"/>
      <c r="U332" s="113"/>
      <c r="V332" s="70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</row>
    <row r="333" spans="1:39" ht="12.75" customHeight="1" x14ac:dyDescent="0.25">
      <c r="A333" s="25"/>
      <c r="B333" s="66"/>
      <c r="C333" s="71"/>
      <c r="D333" s="71"/>
      <c r="E333" s="71"/>
      <c r="F333" s="72"/>
      <c r="G333" s="72"/>
      <c r="H333" s="72"/>
      <c r="I333" s="73"/>
      <c r="J333" s="73"/>
      <c r="K333" s="45"/>
      <c r="L333" s="45"/>
      <c r="M333" s="16"/>
      <c r="N333" s="16"/>
      <c r="O333" s="16"/>
      <c r="P333" s="16"/>
      <c r="Q333" s="16"/>
      <c r="R333" s="16"/>
      <c r="S333" s="16"/>
      <c r="T333" s="16"/>
      <c r="U333" s="114"/>
      <c r="V333" s="70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</row>
    <row r="334" spans="1:39" ht="12.75" customHeight="1" x14ac:dyDescent="0.25">
      <c r="A334" s="25"/>
      <c r="B334" s="66"/>
      <c r="C334" s="67"/>
      <c r="D334" s="67"/>
      <c r="E334" s="67"/>
      <c r="F334" s="68"/>
      <c r="G334" s="68"/>
      <c r="H334" s="68"/>
      <c r="I334" s="74"/>
      <c r="J334" s="74"/>
      <c r="K334" s="75"/>
      <c r="L334" s="76"/>
      <c r="M334" s="16"/>
      <c r="N334" s="16"/>
      <c r="O334" s="16"/>
      <c r="P334" s="16"/>
      <c r="Q334" s="16"/>
      <c r="R334" s="16"/>
      <c r="S334" s="69"/>
      <c r="T334" s="16"/>
      <c r="U334" s="115"/>
      <c r="V334" s="70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</row>
    <row r="335" spans="1:39" ht="12.75" customHeight="1" x14ac:dyDescent="0.25">
      <c r="A335" s="25"/>
      <c r="B335" s="66"/>
      <c r="C335" s="67"/>
      <c r="D335" s="67"/>
      <c r="E335" s="67"/>
      <c r="F335" s="68"/>
      <c r="G335" s="68"/>
      <c r="H335" s="68"/>
      <c r="I335" s="20"/>
      <c r="J335" s="20"/>
      <c r="K335" s="14"/>
      <c r="L335" s="14"/>
      <c r="M335" s="16"/>
      <c r="N335" s="16"/>
      <c r="O335" s="16"/>
      <c r="P335" s="16"/>
      <c r="Q335" s="16"/>
      <c r="R335" s="16"/>
      <c r="S335" s="69"/>
      <c r="T335" s="16"/>
      <c r="U335" s="113"/>
      <c r="V335" s="70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</row>
    <row r="336" spans="1:39" ht="12.75" customHeight="1" x14ac:dyDescent="0.25">
      <c r="A336" s="25"/>
      <c r="B336" s="66"/>
      <c r="C336" s="67"/>
      <c r="D336" s="67"/>
      <c r="E336" s="67"/>
      <c r="F336" s="68"/>
      <c r="G336" s="68"/>
      <c r="H336" s="68"/>
      <c r="I336" s="20"/>
      <c r="J336" s="20"/>
      <c r="K336" s="77"/>
      <c r="L336" s="77"/>
      <c r="M336" s="16"/>
      <c r="N336" s="16"/>
      <c r="O336" s="16"/>
      <c r="P336" s="16"/>
      <c r="Q336" s="16"/>
      <c r="R336" s="16"/>
      <c r="S336" s="16"/>
      <c r="T336" s="16"/>
      <c r="U336" s="113"/>
      <c r="V336" s="70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</row>
    <row r="337" spans="1:39" ht="12.75" customHeight="1" x14ac:dyDescent="0.25">
      <c r="A337" s="25"/>
      <c r="B337" s="66"/>
      <c r="C337" s="67"/>
      <c r="D337" s="67"/>
      <c r="E337" s="67"/>
      <c r="F337" s="68"/>
      <c r="G337" s="68"/>
      <c r="H337" s="68"/>
      <c r="I337" s="74"/>
      <c r="J337" s="74"/>
      <c r="K337" s="78"/>
      <c r="L337" s="78"/>
      <c r="M337" s="46"/>
      <c r="N337" s="79"/>
      <c r="O337" s="79"/>
      <c r="P337" s="46"/>
      <c r="Q337" s="16"/>
      <c r="R337" s="16"/>
      <c r="S337" s="69"/>
      <c r="T337" s="16"/>
      <c r="U337" s="113"/>
      <c r="V337" s="70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</row>
    <row r="338" spans="1:39" ht="12.75" customHeight="1" x14ac:dyDescent="0.25">
      <c r="A338" s="25"/>
      <c r="B338" s="66"/>
      <c r="C338" s="67"/>
      <c r="D338" s="67"/>
      <c r="E338" s="67"/>
      <c r="F338" s="68"/>
      <c r="G338" s="68"/>
      <c r="H338" s="68"/>
      <c r="I338" s="20"/>
      <c r="J338" s="20"/>
      <c r="K338" s="14"/>
      <c r="L338" s="14"/>
      <c r="M338" s="16"/>
      <c r="N338" s="16"/>
      <c r="O338" s="16"/>
      <c r="P338" s="16"/>
      <c r="Q338" s="16"/>
      <c r="R338" s="16"/>
      <c r="S338" s="69"/>
      <c r="T338" s="16"/>
      <c r="U338" s="113"/>
      <c r="V338" s="70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</row>
    <row r="339" spans="1:39" ht="12.75" customHeight="1" x14ac:dyDescent="0.25">
      <c r="A339" s="25"/>
      <c r="B339" s="66"/>
      <c r="C339" s="71"/>
      <c r="D339" s="71"/>
      <c r="E339" s="71"/>
      <c r="F339" s="72"/>
      <c r="G339" s="72"/>
      <c r="H339" s="72"/>
      <c r="I339" s="73"/>
      <c r="J339" s="73"/>
      <c r="K339" s="45"/>
      <c r="L339" s="45"/>
      <c r="M339" s="16"/>
      <c r="N339" s="16"/>
      <c r="O339" s="16"/>
      <c r="P339" s="16"/>
      <c r="Q339" s="16"/>
      <c r="R339" s="16"/>
      <c r="S339" s="16"/>
      <c r="T339" s="16"/>
      <c r="U339" s="114"/>
      <c r="V339" s="70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</row>
    <row r="340" spans="1:39" ht="12.75" customHeight="1" x14ac:dyDescent="0.25">
      <c r="A340" s="25"/>
      <c r="B340" s="66"/>
      <c r="C340" s="67"/>
      <c r="D340" s="67"/>
      <c r="E340" s="67"/>
      <c r="F340" s="68"/>
      <c r="G340" s="68"/>
      <c r="H340" s="68"/>
      <c r="I340" s="74"/>
      <c r="J340" s="74"/>
      <c r="K340" s="75"/>
      <c r="L340" s="76"/>
      <c r="M340" s="16"/>
      <c r="N340" s="16"/>
      <c r="O340" s="16"/>
      <c r="P340" s="16"/>
      <c r="Q340" s="16"/>
      <c r="R340" s="16"/>
      <c r="S340" s="69"/>
      <c r="T340" s="16"/>
      <c r="U340" s="115"/>
      <c r="V340" s="70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</row>
    <row r="341" spans="1:39" ht="12.75" customHeight="1" x14ac:dyDescent="0.25">
      <c r="A341" s="25"/>
      <c r="B341" s="66"/>
      <c r="C341" s="67"/>
      <c r="D341" s="67"/>
      <c r="E341" s="67"/>
      <c r="F341" s="68"/>
      <c r="G341" s="68"/>
      <c r="H341" s="68"/>
      <c r="I341" s="20"/>
      <c r="J341" s="20"/>
      <c r="K341" s="14"/>
      <c r="L341" s="14"/>
      <c r="M341" s="16"/>
      <c r="N341" s="16"/>
      <c r="O341" s="16"/>
      <c r="P341" s="16"/>
      <c r="Q341" s="16"/>
      <c r="R341" s="16"/>
      <c r="S341" s="69"/>
      <c r="T341" s="16"/>
      <c r="U341" s="113"/>
      <c r="V341" s="70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</row>
    <row r="342" spans="1:39" ht="12.75" customHeight="1" x14ac:dyDescent="0.25">
      <c r="A342" s="25"/>
      <c r="B342" s="66"/>
      <c r="C342" s="67"/>
      <c r="D342" s="67"/>
      <c r="E342" s="67"/>
      <c r="F342" s="68"/>
      <c r="G342" s="68"/>
      <c r="H342" s="68"/>
      <c r="I342" s="20"/>
      <c r="J342" s="20"/>
      <c r="K342" s="77"/>
      <c r="L342" s="77"/>
      <c r="M342" s="16"/>
      <c r="N342" s="16"/>
      <c r="O342" s="16"/>
      <c r="P342" s="16"/>
      <c r="Q342" s="16"/>
      <c r="R342" s="16"/>
      <c r="S342" s="16"/>
      <c r="T342" s="16"/>
      <c r="U342" s="113"/>
      <c r="V342" s="70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</row>
    <row r="343" spans="1:39" ht="12.75" customHeight="1" x14ac:dyDescent="0.25">
      <c r="A343" s="25"/>
      <c r="B343" s="66"/>
      <c r="C343" s="67"/>
      <c r="D343" s="67"/>
      <c r="E343" s="67"/>
      <c r="F343" s="68"/>
      <c r="G343" s="68"/>
      <c r="H343" s="68"/>
      <c r="I343" s="74"/>
      <c r="J343" s="74"/>
      <c r="K343" s="78"/>
      <c r="L343" s="78"/>
      <c r="M343" s="46"/>
      <c r="N343" s="79"/>
      <c r="O343" s="79"/>
      <c r="P343" s="46"/>
      <c r="Q343" s="16"/>
      <c r="R343" s="16"/>
      <c r="S343" s="69"/>
      <c r="T343" s="16"/>
      <c r="U343" s="113"/>
      <c r="V343" s="70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</row>
    <row r="344" spans="1:39" ht="12.75" customHeight="1" x14ac:dyDescent="0.25">
      <c r="A344" s="25"/>
      <c r="B344" s="66"/>
      <c r="C344" s="67"/>
      <c r="D344" s="67"/>
      <c r="E344" s="67"/>
      <c r="F344" s="68"/>
      <c r="G344" s="68"/>
      <c r="H344" s="68"/>
      <c r="I344" s="20"/>
      <c r="J344" s="20"/>
      <c r="K344" s="14"/>
      <c r="L344" s="14"/>
      <c r="M344" s="16"/>
      <c r="N344" s="16"/>
      <c r="O344" s="16"/>
      <c r="P344" s="16"/>
      <c r="Q344" s="16"/>
      <c r="R344" s="16"/>
      <c r="S344" s="69"/>
      <c r="T344" s="16"/>
      <c r="U344" s="113"/>
      <c r="V344" s="70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</row>
    <row r="345" spans="1:39" ht="12.75" customHeight="1" x14ac:dyDescent="0.25">
      <c r="A345" s="25"/>
      <c r="B345" s="66"/>
      <c r="C345" s="67"/>
      <c r="D345" s="67"/>
      <c r="E345" s="67"/>
      <c r="F345" s="68"/>
      <c r="G345" s="68"/>
      <c r="H345" s="68"/>
      <c r="I345" s="74"/>
      <c r="J345" s="74"/>
      <c r="K345" s="78"/>
      <c r="L345" s="78"/>
      <c r="M345" s="46"/>
      <c r="N345" s="79"/>
      <c r="O345" s="79"/>
      <c r="P345" s="46"/>
      <c r="Q345" s="16"/>
      <c r="R345" s="16"/>
      <c r="S345" s="69"/>
      <c r="T345" s="16"/>
      <c r="U345" s="113"/>
      <c r="V345" s="70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</row>
    <row r="346" spans="1:39" ht="12.75" customHeight="1" x14ac:dyDescent="0.25">
      <c r="A346" s="25"/>
      <c r="B346" s="66"/>
      <c r="C346" s="67"/>
      <c r="D346" s="67"/>
      <c r="E346" s="67"/>
      <c r="F346" s="68"/>
      <c r="G346" s="68"/>
      <c r="H346" s="68"/>
      <c r="I346" s="20"/>
      <c r="J346" s="20"/>
      <c r="K346" s="14"/>
      <c r="L346" s="14"/>
      <c r="M346" s="16"/>
      <c r="N346" s="16"/>
      <c r="O346" s="16"/>
      <c r="P346" s="16"/>
      <c r="Q346" s="16"/>
      <c r="R346" s="16"/>
      <c r="S346" s="69"/>
      <c r="T346" s="16"/>
      <c r="U346" s="113"/>
      <c r="V346" s="70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</row>
    <row r="347" spans="1:39" ht="12.75" customHeight="1" x14ac:dyDescent="0.25">
      <c r="A347" s="25"/>
      <c r="B347" s="66"/>
      <c r="C347" s="71"/>
      <c r="D347" s="71"/>
      <c r="E347" s="71"/>
      <c r="F347" s="72"/>
      <c r="G347" s="72"/>
      <c r="H347" s="72"/>
      <c r="I347" s="73"/>
      <c r="J347" s="73"/>
      <c r="K347" s="45"/>
      <c r="L347" s="45"/>
      <c r="M347" s="16"/>
      <c r="N347" s="16"/>
      <c r="O347" s="16"/>
      <c r="P347" s="16"/>
      <c r="Q347" s="16"/>
      <c r="R347" s="16"/>
      <c r="S347" s="16"/>
      <c r="T347" s="16"/>
      <c r="U347" s="114"/>
      <c r="V347" s="70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</row>
    <row r="348" spans="1:39" ht="12.75" customHeight="1" x14ac:dyDescent="0.25">
      <c r="A348" s="25"/>
      <c r="B348" s="66"/>
      <c r="C348" s="67"/>
      <c r="D348" s="67"/>
      <c r="E348" s="67"/>
      <c r="F348" s="68"/>
      <c r="G348" s="68"/>
      <c r="H348" s="68"/>
      <c r="I348" s="74"/>
      <c r="J348" s="74"/>
      <c r="K348" s="75"/>
      <c r="L348" s="76"/>
      <c r="M348" s="16"/>
      <c r="N348" s="16"/>
      <c r="O348" s="16"/>
      <c r="P348" s="16"/>
      <c r="Q348" s="16"/>
      <c r="R348" s="16"/>
      <c r="S348" s="69"/>
      <c r="T348" s="16"/>
      <c r="U348" s="115"/>
      <c r="V348" s="70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</row>
    <row r="349" spans="1:39" ht="12.75" customHeight="1" x14ac:dyDescent="0.25">
      <c r="A349" s="25"/>
      <c r="B349" s="66"/>
      <c r="C349" s="67"/>
      <c r="D349" s="67"/>
      <c r="E349" s="67"/>
      <c r="F349" s="68"/>
      <c r="G349" s="68"/>
      <c r="H349" s="68"/>
      <c r="I349" s="20"/>
      <c r="J349" s="20"/>
      <c r="K349" s="14"/>
      <c r="L349" s="14"/>
      <c r="M349" s="16"/>
      <c r="N349" s="16"/>
      <c r="O349" s="16"/>
      <c r="P349" s="16"/>
      <c r="Q349" s="16"/>
      <c r="R349" s="16"/>
      <c r="S349" s="69"/>
      <c r="T349" s="16"/>
      <c r="U349" s="113"/>
      <c r="V349" s="70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</row>
    <row r="350" spans="1:39" ht="12.75" customHeight="1" x14ac:dyDescent="0.25">
      <c r="A350" s="25"/>
      <c r="B350" s="66"/>
      <c r="C350" s="67"/>
      <c r="D350" s="67"/>
      <c r="E350" s="67"/>
      <c r="F350" s="68"/>
      <c r="G350" s="68"/>
      <c r="H350" s="68"/>
      <c r="I350" s="20"/>
      <c r="J350" s="20"/>
      <c r="K350" s="77"/>
      <c r="L350" s="77"/>
      <c r="M350" s="16"/>
      <c r="N350" s="16"/>
      <c r="O350" s="16"/>
      <c r="P350" s="16"/>
      <c r="Q350" s="16"/>
      <c r="R350" s="16"/>
      <c r="S350" s="16"/>
      <c r="T350" s="16"/>
      <c r="U350" s="113"/>
      <c r="V350" s="70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</row>
    <row r="351" spans="1:39" ht="12.75" customHeight="1" x14ac:dyDescent="0.25">
      <c r="A351" s="25"/>
      <c r="B351" s="66"/>
      <c r="C351" s="67"/>
      <c r="D351" s="67"/>
      <c r="E351" s="67"/>
      <c r="F351" s="68"/>
      <c r="G351" s="68"/>
      <c r="H351" s="68"/>
      <c r="I351" s="74"/>
      <c r="J351" s="74"/>
      <c r="K351" s="78"/>
      <c r="L351" s="78"/>
      <c r="M351" s="46"/>
      <c r="N351" s="79"/>
      <c r="O351" s="79"/>
      <c r="P351" s="46"/>
      <c r="Q351" s="16"/>
      <c r="R351" s="16"/>
      <c r="S351" s="69"/>
      <c r="T351" s="16"/>
      <c r="U351" s="113"/>
      <c r="V351" s="70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</row>
    <row r="352" spans="1:39" ht="12.75" customHeight="1" x14ac:dyDescent="0.25">
      <c r="A352" s="25"/>
      <c r="B352" s="66"/>
      <c r="C352" s="67"/>
      <c r="D352" s="67"/>
      <c r="E352" s="67"/>
      <c r="F352" s="68"/>
      <c r="G352" s="68"/>
      <c r="H352" s="68"/>
      <c r="I352" s="20"/>
      <c r="J352" s="20"/>
      <c r="K352" s="14"/>
      <c r="L352" s="14"/>
      <c r="M352" s="16"/>
      <c r="N352" s="16"/>
      <c r="O352" s="16"/>
      <c r="P352" s="16"/>
      <c r="Q352" s="16"/>
      <c r="R352" s="16"/>
      <c r="S352" s="69"/>
      <c r="T352" s="16"/>
      <c r="U352" s="113"/>
      <c r="V352" s="70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</row>
    <row r="353" spans="1:39" ht="12.75" customHeight="1" x14ac:dyDescent="0.25">
      <c r="A353" s="25"/>
      <c r="B353" s="66"/>
      <c r="C353" s="71"/>
      <c r="D353" s="71"/>
      <c r="E353" s="71"/>
      <c r="F353" s="72"/>
      <c r="G353" s="72"/>
      <c r="H353" s="72"/>
      <c r="I353" s="73"/>
      <c r="J353" s="73"/>
      <c r="K353" s="45"/>
      <c r="L353" s="45"/>
      <c r="M353" s="16"/>
      <c r="N353" s="16"/>
      <c r="O353" s="16"/>
      <c r="P353" s="16"/>
      <c r="Q353" s="16"/>
      <c r="R353" s="16"/>
      <c r="S353" s="16"/>
      <c r="T353" s="16"/>
      <c r="U353" s="114"/>
      <c r="V353" s="70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</row>
    <row r="354" spans="1:39" ht="12.75" customHeight="1" x14ac:dyDescent="0.25">
      <c r="A354" s="25"/>
      <c r="B354" s="66"/>
      <c r="C354" s="67"/>
      <c r="D354" s="67"/>
      <c r="E354" s="67"/>
      <c r="F354" s="68"/>
      <c r="G354" s="68"/>
      <c r="H354" s="68"/>
      <c r="I354" s="74"/>
      <c r="J354" s="74"/>
      <c r="K354" s="75"/>
      <c r="L354" s="76"/>
      <c r="M354" s="16"/>
      <c r="N354" s="16"/>
      <c r="O354" s="16"/>
      <c r="P354" s="16"/>
      <c r="Q354" s="16"/>
      <c r="R354" s="16"/>
      <c r="S354" s="69"/>
      <c r="T354" s="16"/>
      <c r="U354" s="115"/>
      <c r="V354" s="70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</row>
    <row r="355" spans="1:39" ht="12.75" customHeight="1" x14ac:dyDescent="0.25">
      <c r="A355" s="25"/>
      <c r="B355" s="66"/>
      <c r="C355" s="67"/>
      <c r="D355" s="67"/>
      <c r="E355" s="67"/>
      <c r="F355" s="68"/>
      <c r="G355" s="68"/>
      <c r="H355" s="68"/>
      <c r="I355" s="20"/>
      <c r="J355" s="20"/>
      <c r="K355" s="14"/>
      <c r="L355" s="14"/>
      <c r="M355" s="16"/>
      <c r="N355" s="16"/>
      <c r="O355" s="16"/>
      <c r="P355" s="16"/>
      <c r="Q355" s="16"/>
      <c r="R355" s="16"/>
      <c r="S355" s="69"/>
      <c r="T355" s="16"/>
      <c r="U355" s="113"/>
      <c r="V355" s="70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</row>
    <row r="356" spans="1:39" ht="12.75" customHeight="1" x14ac:dyDescent="0.25">
      <c r="A356" s="25"/>
      <c r="B356" s="66"/>
      <c r="C356" s="67"/>
      <c r="D356" s="67"/>
      <c r="E356" s="67"/>
      <c r="F356" s="68"/>
      <c r="G356" s="68"/>
      <c r="H356" s="68"/>
      <c r="I356" s="20"/>
      <c r="J356" s="20"/>
      <c r="K356" s="77"/>
      <c r="L356" s="77"/>
      <c r="M356" s="16"/>
      <c r="N356" s="16"/>
      <c r="O356" s="16"/>
      <c r="P356" s="16"/>
      <c r="Q356" s="16"/>
      <c r="R356" s="16"/>
      <c r="S356" s="16"/>
      <c r="T356" s="16"/>
      <c r="U356" s="113"/>
      <c r="V356" s="70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</row>
    <row r="357" spans="1:39" ht="12.75" customHeight="1" x14ac:dyDescent="0.25">
      <c r="A357" s="25"/>
      <c r="B357" s="66"/>
      <c r="C357" s="67"/>
      <c r="D357" s="67"/>
      <c r="E357" s="67"/>
      <c r="F357" s="68"/>
      <c r="G357" s="68"/>
      <c r="H357" s="68"/>
      <c r="I357" s="74"/>
      <c r="J357" s="74"/>
      <c r="K357" s="78"/>
      <c r="L357" s="78"/>
      <c r="M357" s="46"/>
      <c r="N357" s="79"/>
      <c r="O357" s="79"/>
      <c r="P357" s="46"/>
      <c r="Q357" s="16"/>
      <c r="R357" s="16"/>
      <c r="S357" s="69"/>
      <c r="T357" s="16"/>
      <c r="U357" s="113"/>
      <c r="V357" s="70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</row>
    <row r="358" spans="1:39" ht="12.75" customHeight="1" x14ac:dyDescent="0.25">
      <c r="A358" s="25"/>
      <c r="B358" s="66"/>
      <c r="C358" s="67"/>
      <c r="D358" s="67"/>
      <c r="E358" s="67"/>
      <c r="F358" s="68"/>
      <c r="G358" s="68"/>
      <c r="H358" s="68"/>
      <c r="I358" s="20"/>
      <c r="J358" s="20"/>
      <c r="K358" s="14"/>
      <c r="L358" s="14"/>
      <c r="M358" s="16"/>
      <c r="N358" s="16"/>
      <c r="O358" s="16"/>
      <c r="P358" s="16"/>
      <c r="Q358" s="16"/>
      <c r="R358" s="16"/>
      <c r="S358" s="69"/>
      <c r="T358" s="16"/>
      <c r="U358" s="113"/>
      <c r="V358" s="70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</row>
    <row r="359" spans="1:39" ht="12.75" customHeight="1" x14ac:dyDescent="0.25">
      <c r="A359" s="25"/>
      <c r="B359" s="66"/>
      <c r="C359" s="67"/>
      <c r="D359" s="67"/>
      <c r="E359" s="67"/>
      <c r="F359" s="68"/>
      <c r="G359" s="68"/>
      <c r="H359" s="68"/>
      <c r="I359" s="74"/>
      <c r="J359" s="74"/>
      <c r="K359" s="78"/>
      <c r="L359" s="78"/>
      <c r="M359" s="46"/>
      <c r="N359" s="79"/>
      <c r="O359" s="79"/>
      <c r="P359" s="46"/>
      <c r="Q359" s="16"/>
      <c r="R359" s="16"/>
      <c r="S359" s="69"/>
      <c r="T359" s="16"/>
      <c r="U359" s="113"/>
      <c r="V359" s="70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</row>
    <row r="360" spans="1:39" ht="12.75" customHeight="1" x14ac:dyDescent="0.25">
      <c r="A360" s="25"/>
      <c r="B360" s="66"/>
      <c r="C360" s="67"/>
      <c r="D360" s="67"/>
      <c r="E360" s="67"/>
      <c r="F360" s="68"/>
      <c r="G360" s="68"/>
      <c r="H360" s="68"/>
      <c r="I360" s="20"/>
      <c r="J360" s="20"/>
      <c r="K360" s="14"/>
      <c r="L360" s="14"/>
      <c r="M360" s="16"/>
      <c r="N360" s="16"/>
      <c r="O360" s="16"/>
      <c r="P360" s="16"/>
      <c r="Q360" s="16"/>
      <c r="R360" s="16"/>
      <c r="S360" s="69"/>
      <c r="T360" s="16"/>
      <c r="U360" s="113"/>
      <c r="V360" s="70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</row>
    <row r="361" spans="1:39" ht="12.75" customHeight="1" x14ac:dyDescent="0.25">
      <c r="A361" s="25"/>
      <c r="B361" s="66"/>
      <c r="C361" s="71"/>
      <c r="D361" s="71"/>
      <c r="E361" s="71"/>
      <c r="F361" s="72"/>
      <c r="G361" s="72"/>
      <c r="H361" s="72"/>
      <c r="I361" s="73"/>
      <c r="J361" s="73"/>
      <c r="K361" s="45"/>
      <c r="L361" s="45"/>
      <c r="M361" s="16"/>
      <c r="N361" s="16"/>
      <c r="O361" s="16"/>
      <c r="P361" s="16"/>
      <c r="Q361" s="16"/>
      <c r="R361" s="16"/>
      <c r="S361" s="16"/>
      <c r="T361" s="16"/>
      <c r="U361" s="114"/>
      <c r="V361" s="70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</row>
    <row r="362" spans="1:39" ht="12.75" customHeight="1" x14ac:dyDescent="0.25">
      <c r="A362" s="25"/>
      <c r="B362" s="66"/>
      <c r="C362" s="67"/>
      <c r="D362" s="67"/>
      <c r="E362" s="67"/>
      <c r="F362" s="68"/>
      <c r="G362" s="68"/>
      <c r="H362" s="68"/>
      <c r="I362" s="74"/>
      <c r="J362" s="74"/>
      <c r="K362" s="75"/>
      <c r="L362" s="76"/>
      <c r="M362" s="16"/>
      <c r="N362" s="16"/>
      <c r="O362" s="16"/>
      <c r="P362" s="16"/>
      <c r="Q362" s="16"/>
      <c r="R362" s="16"/>
      <c r="S362" s="69"/>
      <c r="T362" s="16"/>
      <c r="U362" s="115"/>
      <c r="V362" s="70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</row>
    <row r="363" spans="1:39" ht="12.75" customHeight="1" x14ac:dyDescent="0.25">
      <c r="A363" s="25"/>
      <c r="B363" s="66"/>
      <c r="C363" s="67"/>
      <c r="D363" s="67"/>
      <c r="E363" s="67"/>
      <c r="F363" s="68"/>
      <c r="G363" s="68"/>
      <c r="H363" s="68"/>
      <c r="I363" s="20"/>
      <c r="J363" s="20"/>
      <c r="K363" s="14"/>
      <c r="L363" s="14"/>
      <c r="M363" s="16"/>
      <c r="N363" s="16"/>
      <c r="O363" s="16"/>
      <c r="P363" s="16"/>
      <c r="Q363" s="16"/>
      <c r="R363" s="16"/>
      <c r="S363" s="69"/>
      <c r="T363" s="16"/>
      <c r="U363" s="113"/>
      <c r="V363" s="70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</row>
    <row r="364" spans="1:39" ht="12.75" customHeight="1" x14ac:dyDescent="0.25">
      <c r="A364" s="25"/>
      <c r="B364" s="66"/>
      <c r="C364" s="67"/>
      <c r="D364" s="67"/>
      <c r="E364" s="67"/>
      <c r="F364" s="68"/>
      <c r="G364" s="68"/>
      <c r="H364" s="68"/>
      <c r="I364" s="20"/>
      <c r="J364" s="20"/>
      <c r="K364" s="77"/>
      <c r="L364" s="77"/>
      <c r="M364" s="16"/>
      <c r="N364" s="16"/>
      <c r="O364" s="16"/>
      <c r="P364" s="16"/>
      <c r="Q364" s="16"/>
      <c r="R364" s="16"/>
      <c r="S364" s="16"/>
      <c r="T364" s="16"/>
      <c r="U364" s="113"/>
      <c r="V364" s="70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</row>
    <row r="365" spans="1:39" ht="12.75" customHeight="1" x14ac:dyDescent="0.25">
      <c r="A365" s="25"/>
      <c r="B365" s="66"/>
      <c r="C365" s="67"/>
      <c r="D365" s="67"/>
      <c r="E365" s="67"/>
      <c r="F365" s="68"/>
      <c r="G365" s="68"/>
      <c r="H365" s="68"/>
      <c r="I365" s="74"/>
      <c r="J365" s="74"/>
      <c r="K365" s="78"/>
      <c r="L365" s="78"/>
      <c r="M365" s="46"/>
      <c r="N365" s="79"/>
      <c r="O365" s="79"/>
      <c r="P365" s="46"/>
      <c r="Q365" s="16"/>
      <c r="R365" s="16"/>
      <c r="S365" s="69"/>
      <c r="T365" s="16"/>
      <c r="U365" s="113"/>
      <c r="V365" s="70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</row>
    <row r="366" spans="1:39" ht="12.75" customHeight="1" x14ac:dyDescent="0.25">
      <c r="A366" s="25"/>
      <c r="B366" s="66"/>
      <c r="C366" s="67"/>
      <c r="D366" s="67"/>
      <c r="E366" s="67"/>
      <c r="F366" s="68"/>
      <c r="G366" s="68"/>
      <c r="H366" s="68"/>
      <c r="I366" s="20"/>
      <c r="J366" s="20"/>
      <c r="K366" s="14"/>
      <c r="L366" s="14"/>
      <c r="M366" s="16"/>
      <c r="N366" s="16"/>
      <c r="O366" s="16"/>
      <c r="P366" s="16"/>
      <c r="Q366" s="16"/>
      <c r="R366" s="16"/>
      <c r="S366" s="69"/>
      <c r="T366" s="16"/>
      <c r="U366" s="113"/>
      <c r="V366" s="70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</row>
    <row r="367" spans="1:39" ht="12.75" customHeight="1" x14ac:dyDescent="0.25">
      <c r="A367" s="25"/>
      <c r="B367" s="66"/>
      <c r="C367" s="71"/>
      <c r="D367" s="71"/>
      <c r="E367" s="71"/>
      <c r="F367" s="72"/>
      <c r="G367" s="72"/>
      <c r="H367" s="72"/>
      <c r="I367" s="73"/>
      <c r="J367" s="73"/>
      <c r="K367" s="45"/>
      <c r="L367" s="45"/>
      <c r="M367" s="16"/>
      <c r="N367" s="16"/>
      <c r="O367" s="16"/>
      <c r="P367" s="16"/>
      <c r="Q367" s="16"/>
      <c r="R367" s="16"/>
      <c r="S367" s="16"/>
      <c r="T367" s="16"/>
      <c r="U367" s="114"/>
      <c r="V367" s="70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</row>
    <row r="368" spans="1:39" ht="12.75" customHeight="1" x14ac:dyDescent="0.25">
      <c r="A368" s="25"/>
      <c r="B368" s="66"/>
      <c r="C368" s="67"/>
      <c r="D368" s="67"/>
      <c r="E368" s="67"/>
      <c r="F368" s="68"/>
      <c r="G368" s="68"/>
      <c r="H368" s="68"/>
      <c r="I368" s="74"/>
      <c r="J368" s="74"/>
      <c r="K368" s="75"/>
      <c r="L368" s="76"/>
      <c r="M368" s="16"/>
      <c r="N368" s="16"/>
      <c r="O368" s="16"/>
      <c r="P368" s="16"/>
      <c r="Q368" s="16"/>
      <c r="R368" s="16"/>
      <c r="S368" s="69"/>
      <c r="T368" s="16"/>
      <c r="U368" s="115"/>
      <c r="V368" s="70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</row>
    <row r="369" spans="1:39" ht="12.75" customHeight="1" x14ac:dyDescent="0.25">
      <c r="A369" s="25"/>
      <c r="B369" s="66"/>
      <c r="C369" s="67"/>
      <c r="D369" s="67"/>
      <c r="E369" s="67"/>
      <c r="F369" s="68"/>
      <c r="G369" s="68"/>
      <c r="H369" s="68"/>
      <c r="I369" s="20"/>
      <c r="J369" s="20"/>
      <c r="K369" s="14"/>
      <c r="L369" s="14"/>
      <c r="M369" s="16"/>
      <c r="N369" s="16"/>
      <c r="O369" s="16"/>
      <c r="P369" s="16"/>
      <c r="Q369" s="16"/>
      <c r="R369" s="16"/>
      <c r="S369" s="69"/>
      <c r="T369" s="16"/>
      <c r="U369" s="113"/>
      <c r="V369" s="70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</row>
    <row r="370" spans="1:39" ht="12.75" customHeight="1" x14ac:dyDescent="0.25">
      <c r="A370" s="25"/>
      <c r="B370" s="66"/>
      <c r="C370" s="67"/>
      <c r="D370" s="67"/>
      <c r="E370" s="67"/>
      <c r="F370" s="68"/>
      <c r="G370" s="68"/>
      <c r="H370" s="68"/>
      <c r="I370" s="20"/>
      <c r="J370" s="20"/>
      <c r="K370" s="77"/>
      <c r="L370" s="77"/>
      <c r="M370" s="16"/>
      <c r="N370" s="16"/>
      <c r="O370" s="16"/>
      <c r="P370" s="16"/>
      <c r="Q370" s="16"/>
      <c r="R370" s="16"/>
      <c r="S370" s="16"/>
      <c r="T370" s="16"/>
      <c r="U370" s="113"/>
      <c r="V370" s="70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</row>
    <row r="371" spans="1:39" ht="12.75" customHeight="1" x14ac:dyDescent="0.25">
      <c r="A371" s="25"/>
      <c r="B371" s="66"/>
      <c r="C371" s="67"/>
      <c r="D371" s="67"/>
      <c r="E371" s="67"/>
      <c r="F371" s="68"/>
      <c r="G371" s="68"/>
      <c r="H371" s="68"/>
      <c r="I371" s="74"/>
      <c r="J371" s="74"/>
      <c r="K371" s="78"/>
      <c r="L371" s="78"/>
      <c r="M371" s="46"/>
      <c r="N371" s="79"/>
      <c r="O371" s="79"/>
      <c r="P371" s="46"/>
      <c r="Q371" s="16"/>
      <c r="R371" s="16"/>
      <c r="S371" s="69"/>
      <c r="T371" s="16"/>
      <c r="U371" s="113"/>
      <c r="V371" s="70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</row>
    <row r="372" spans="1:39" ht="12.75" customHeight="1" x14ac:dyDescent="0.25">
      <c r="A372" s="25"/>
      <c r="B372" s="66"/>
      <c r="C372" s="67"/>
      <c r="D372" s="67"/>
      <c r="E372" s="67"/>
      <c r="F372" s="68"/>
      <c r="G372" s="68"/>
      <c r="H372" s="68"/>
      <c r="I372" s="20"/>
      <c r="J372" s="20"/>
      <c r="K372" s="14"/>
      <c r="L372" s="14"/>
      <c r="M372" s="16"/>
      <c r="N372" s="16"/>
      <c r="O372" s="16"/>
      <c r="P372" s="16"/>
      <c r="Q372" s="16"/>
      <c r="R372" s="16"/>
      <c r="S372" s="69"/>
      <c r="T372" s="16"/>
      <c r="U372" s="113"/>
      <c r="V372" s="70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</row>
    <row r="373" spans="1:39" ht="12.75" customHeight="1" x14ac:dyDescent="0.25">
      <c r="A373" s="25"/>
      <c r="B373" s="66"/>
      <c r="C373" s="67"/>
      <c r="D373" s="67"/>
      <c r="E373" s="67"/>
      <c r="F373" s="68"/>
      <c r="G373" s="68"/>
      <c r="H373" s="68"/>
      <c r="I373" s="74"/>
      <c r="J373" s="74"/>
      <c r="K373" s="78"/>
      <c r="L373" s="78"/>
      <c r="M373" s="46"/>
      <c r="N373" s="79"/>
      <c r="O373" s="79"/>
      <c r="P373" s="46"/>
      <c r="Q373" s="16"/>
      <c r="R373" s="16"/>
      <c r="S373" s="69"/>
      <c r="T373" s="16"/>
      <c r="U373" s="113"/>
      <c r="V373" s="70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</row>
    <row r="374" spans="1:39" ht="12.75" customHeight="1" x14ac:dyDescent="0.25">
      <c r="A374" s="25"/>
      <c r="B374" s="66"/>
      <c r="C374" s="67"/>
      <c r="D374" s="67"/>
      <c r="E374" s="67"/>
      <c r="F374" s="68"/>
      <c r="G374" s="68"/>
      <c r="H374" s="68"/>
      <c r="I374" s="20"/>
      <c r="J374" s="20"/>
      <c r="K374" s="14"/>
      <c r="L374" s="14"/>
      <c r="M374" s="16"/>
      <c r="N374" s="16"/>
      <c r="O374" s="16"/>
      <c r="P374" s="16"/>
      <c r="Q374" s="16"/>
      <c r="R374" s="16"/>
      <c r="S374" s="69"/>
      <c r="T374" s="16"/>
      <c r="U374" s="113"/>
      <c r="V374" s="70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</row>
    <row r="375" spans="1:39" ht="12.75" customHeight="1" x14ac:dyDescent="0.25">
      <c r="A375" s="25"/>
      <c r="B375" s="66"/>
      <c r="C375" s="71"/>
      <c r="D375" s="71"/>
      <c r="E375" s="71"/>
      <c r="F375" s="72"/>
      <c r="G375" s="72"/>
      <c r="H375" s="72"/>
      <c r="I375" s="73"/>
      <c r="J375" s="73"/>
      <c r="K375" s="45"/>
      <c r="L375" s="45"/>
      <c r="M375" s="16"/>
      <c r="N375" s="16"/>
      <c r="O375" s="16"/>
      <c r="P375" s="16"/>
      <c r="Q375" s="16"/>
      <c r="R375" s="16"/>
      <c r="S375" s="16"/>
      <c r="T375" s="16"/>
      <c r="U375" s="114"/>
      <c r="V375" s="70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</row>
    <row r="376" spans="1:39" ht="12.75" customHeight="1" x14ac:dyDescent="0.25">
      <c r="A376" s="25"/>
      <c r="B376" s="66"/>
      <c r="C376" s="67"/>
      <c r="D376" s="67"/>
      <c r="E376" s="67"/>
      <c r="F376" s="68"/>
      <c r="G376" s="68"/>
      <c r="H376" s="68"/>
      <c r="I376" s="74"/>
      <c r="J376" s="74"/>
      <c r="K376" s="75"/>
      <c r="L376" s="76"/>
      <c r="M376" s="16"/>
      <c r="N376" s="16"/>
      <c r="O376" s="16"/>
      <c r="P376" s="16"/>
      <c r="Q376" s="16"/>
      <c r="R376" s="16"/>
      <c r="S376" s="69"/>
      <c r="T376" s="16"/>
      <c r="U376" s="115"/>
      <c r="V376" s="70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</row>
    <row r="377" spans="1:39" ht="12.75" customHeight="1" x14ac:dyDescent="0.25">
      <c r="A377" s="25"/>
      <c r="B377" s="66"/>
      <c r="C377" s="67"/>
      <c r="D377" s="67"/>
      <c r="E377" s="67"/>
      <c r="F377" s="68"/>
      <c r="G377" s="68"/>
      <c r="H377" s="68"/>
      <c r="I377" s="20"/>
      <c r="J377" s="20"/>
      <c r="K377" s="14"/>
      <c r="L377" s="14"/>
      <c r="M377" s="16"/>
      <c r="N377" s="16"/>
      <c r="O377" s="16"/>
      <c r="P377" s="16"/>
      <c r="Q377" s="16"/>
      <c r="R377" s="16"/>
      <c r="S377" s="69"/>
      <c r="T377" s="16"/>
      <c r="U377" s="113"/>
      <c r="V377" s="70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</row>
    <row r="378" spans="1:39" ht="12.75" customHeight="1" x14ac:dyDescent="0.25">
      <c r="A378" s="25"/>
      <c r="B378" s="66"/>
      <c r="C378" s="67"/>
      <c r="D378" s="67"/>
      <c r="E378" s="67"/>
      <c r="F378" s="68"/>
      <c r="G378" s="68"/>
      <c r="H378" s="68"/>
      <c r="I378" s="20"/>
      <c r="J378" s="20"/>
      <c r="K378" s="77"/>
      <c r="L378" s="77"/>
      <c r="M378" s="16"/>
      <c r="N378" s="16"/>
      <c r="O378" s="16"/>
      <c r="P378" s="16"/>
      <c r="Q378" s="16"/>
      <c r="R378" s="16"/>
      <c r="S378" s="16"/>
      <c r="T378" s="16"/>
      <c r="U378" s="113"/>
      <c r="V378" s="70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</row>
    <row r="379" spans="1:39" ht="12.75" customHeight="1" x14ac:dyDescent="0.25">
      <c r="A379" s="25"/>
      <c r="B379" s="66"/>
      <c r="C379" s="67"/>
      <c r="D379" s="67"/>
      <c r="E379" s="67"/>
      <c r="F379" s="68"/>
      <c r="G379" s="68"/>
      <c r="H379" s="68"/>
      <c r="I379" s="74"/>
      <c r="J379" s="74"/>
      <c r="K379" s="78"/>
      <c r="L379" s="78"/>
      <c r="M379" s="46"/>
      <c r="N379" s="79"/>
      <c r="O379" s="79"/>
      <c r="P379" s="46"/>
      <c r="Q379" s="16"/>
      <c r="R379" s="16"/>
      <c r="S379" s="69"/>
      <c r="T379" s="16"/>
      <c r="U379" s="113"/>
      <c r="V379" s="70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</row>
    <row r="380" spans="1:39" ht="12.75" customHeight="1" x14ac:dyDescent="0.25">
      <c r="A380" s="25"/>
      <c r="B380" s="66"/>
      <c r="C380" s="67"/>
      <c r="D380" s="67"/>
      <c r="E380" s="67"/>
      <c r="F380" s="68"/>
      <c r="G380" s="68"/>
      <c r="H380" s="68"/>
      <c r="I380" s="20"/>
      <c r="J380" s="20"/>
      <c r="K380" s="14"/>
      <c r="L380" s="14"/>
      <c r="M380" s="16"/>
      <c r="N380" s="16"/>
      <c r="O380" s="16"/>
      <c r="P380" s="16"/>
      <c r="Q380" s="16"/>
      <c r="R380" s="16"/>
      <c r="S380" s="69"/>
      <c r="T380" s="16"/>
      <c r="U380" s="113"/>
      <c r="V380" s="70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</row>
    <row r="381" spans="1:39" ht="12.75" customHeight="1" x14ac:dyDescent="0.25">
      <c r="A381" s="25"/>
      <c r="B381" s="66"/>
      <c r="C381" s="71"/>
      <c r="D381" s="71"/>
      <c r="E381" s="71"/>
      <c r="F381" s="72"/>
      <c r="G381" s="72"/>
      <c r="H381" s="72"/>
      <c r="I381" s="73"/>
      <c r="J381" s="73"/>
      <c r="K381" s="45"/>
      <c r="L381" s="45"/>
      <c r="M381" s="16"/>
      <c r="N381" s="16"/>
      <c r="O381" s="16"/>
      <c r="P381" s="16"/>
      <c r="Q381" s="16"/>
      <c r="R381" s="16"/>
      <c r="S381" s="16"/>
      <c r="T381" s="16"/>
      <c r="U381" s="114"/>
      <c r="V381" s="70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</row>
    <row r="382" spans="1:39" ht="12.75" customHeight="1" x14ac:dyDescent="0.25">
      <c r="A382" s="25"/>
      <c r="B382" s="66"/>
      <c r="C382" s="67"/>
      <c r="D382" s="67"/>
      <c r="E382" s="67"/>
      <c r="F382" s="68"/>
      <c r="G382" s="68"/>
      <c r="H382" s="68"/>
      <c r="I382" s="74"/>
      <c r="J382" s="74"/>
      <c r="K382" s="75"/>
      <c r="L382" s="76"/>
      <c r="M382" s="16"/>
      <c r="N382" s="16"/>
      <c r="O382" s="16"/>
      <c r="P382" s="16"/>
      <c r="Q382" s="16"/>
      <c r="R382" s="16"/>
      <c r="S382" s="69"/>
      <c r="T382" s="16"/>
      <c r="U382" s="115"/>
      <c r="V382" s="70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</row>
    <row r="383" spans="1:39" ht="12.75" customHeight="1" x14ac:dyDescent="0.25">
      <c r="A383" s="25"/>
      <c r="B383" s="66"/>
      <c r="C383" s="67"/>
      <c r="D383" s="67"/>
      <c r="E383" s="67"/>
      <c r="F383" s="68"/>
      <c r="G383" s="68"/>
      <c r="H383" s="68"/>
      <c r="I383" s="20"/>
      <c r="J383" s="20"/>
      <c r="K383" s="14"/>
      <c r="L383" s="14"/>
      <c r="M383" s="16"/>
      <c r="N383" s="16"/>
      <c r="O383" s="16"/>
      <c r="P383" s="16"/>
      <c r="Q383" s="16"/>
      <c r="R383" s="16"/>
      <c r="S383" s="69"/>
      <c r="T383" s="16"/>
      <c r="U383" s="113"/>
      <c r="V383" s="70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</row>
    <row r="384" spans="1:39" ht="12.75" customHeight="1" x14ac:dyDescent="0.25">
      <c r="A384" s="25"/>
      <c r="B384" s="66"/>
      <c r="C384" s="67"/>
      <c r="D384" s="67"/>
      <c r="E384" s="67"/>
      <c r="F384" s="68"/>
      <c r="G384" s="68"/>
      <c r="H384" s="68"/>
      <c r="I384" s="20"/>
      <c r="J384" s="20"/>
      <c r="K384" s="77"/>
      <c r="L384" s="77"/>
      <c r="M384" s="16"/>
      <c r="N384" s="16"/>
      <c r="O384" s="16"/>
      <c r="P384" s="16"/>
      <c r="Q384" s="16"/>
      <c r="R384" s="16"/>
      <c r="S384" s="16"/>
      <c r="T384" s="16"/>
      <c r="U384" s="113"/>
      <c r="V384" s="70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</row>
    <row r="385" spans="1:39" ht="12.75" customHeight="1" x14ac:dyDescent="0.25">
      <c r="A385" s="25"/>
      <c r="B385" s="66"/>
      <c r="C385" s="67"/>
      <c r="D385" s="67"/>
      <c r="E385" s="67"/>
      <c r="F385" s="68"/>
      <c r="G385" s="68"/>
      <c r="H385" s="68"/>
      <c r="I385" s="74"/>
      <c r="J385" s="74"/>
      <c r="K385" s="78"/>
      <c r="L385" s="78"/>
      <c r="M385" s="46"/>
      <c r="N385" s="79"/>
      <c r="O385" s="79"/>
      <c r="P385" s="46"/>
      <c r="Q385" s="16"/>
      <c r="R385" s="16"/>
      <c r="S385" s="69"/>
      <c r="T385" s="16"/>
      <c r="U385" s="113"/>
      <c r="V385" s="70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</row>
    <row r="386" spans="1:39" ht="12.75" customHeight="1" x14ac:dyDescent="0.25">
      <c r="A386" s="25"/>
      <c r="B386" s="66"/>
      <c r="C386" s="67"/>
      <c r="D386" s="67"/>
      <c r="E386" s="67"/>
      <c r="F386" s="68"/>
      <c r="G386" s="68"/>
      <c r="H386" s="68"/>
      <c r="I386" s="20"/>
      <c r="J386" s="20"/>
      <c r="K386" s="14"/>
      <c r="L386" s="14"/>
      <c r="M386" s="16"/>
      <c r="N386" s="16"/>
      <c r="O386" s="16"/>
      <c r="P386" s="16"/>
      <c r="Q386" s="16"/>
      <c r="R386" s="16"/>
      <c r="S386" s="69"/>
      <c r="T386" s="16"/>
      <c r="U386" s="113"/>
      <c r="V386" s="70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</row>
    <row r="387" spans="1:39" ht="12.75" customHeight="1" x14ac:dyDescent="0.25">
      <c r="A387" s="25"/>
      <c r="B387" s="66"/>
      <c r="C387" s="67"/>
      <c r="D387" s="67"/>
      <c r="E387" s="67"/>
      <c r="F387" s="68"/>
      <c r="G387" s="68"/>
      <c r="H387" s="68"/>
      <c r="I387" s="74"/>
      <c r="J387" s="74"/>
      <c r="K387" s="78"/>
      <c r="L387" s="78"/>
      <c r="M387" s="46"/>
      <c r="N387" s="79"/>
      <c r="O387" s="79"/>
      <c r="P387" s="46"/>
      <c r="Q387" s="16"/>
      <c r="R387" s="16"/>
      <c r="S387" s="69"/>
      <c r="T387" s="16"/>
      <c r="U387" s="113"/>
      <c r="V387" s="70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</row>
    <row r="388" spans="1:39" ht="12.75" customHeight="1" x14ac:dyDescent="0.25">
      <c r="A388" s="25"/>
      <c r="B388" s="66"/>
      <c r="C388" s="67"/>
      <c r="D388" s="67"/>
      <c r="E388" s="67"/>
      <c r="F388" s="68"/>
      <c r="G388" s="68"/>
      <c r="H388" s="68"/>
      <c r="I388" s="20"/>
      <c r="J388" s="20"/>
      <c r="K388" s="14"/>
      <c r="L388" s="14"/>
      <c r="M388" s="16"/>
      <c r="N388" s="16"/>
      <c r="O388" s="16"/>
      <c r="P388" s="16"/>
      <c r="Q388" s="16"/>
      <c r="R388" s="16"/>
      <c r="S388" s="69"/>
      <c r="T388" s="16"/>
      <c r="U388" s="113"/>
      <c r="V388" s="70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</row>
    <row r="389" spans="1:39" ht="12.75" customHeight="1" x14ac:dyDescent="0.25">
      <c r="A389" s="25"/>
      <c r="B389" s="66"/>
      <c r="C389" s="71"/>
      <c r="D389" s="71"/>
      <c r="E389" s="71"/>
      <c r="F389" s="72"/>
      <c r="G389" s="72"/>
      <c r="H389" s="72"/>
      <c r="I389" s="73"/>
      <c r="J389" s="73"/>
      <c r="K389" s="45"/>
      <c r="L389" s="45"/>
      <c r="M389" s="16"/>
      <c r="N389" s="16"/>
      <c r="O389" s="16"/>
      <c r="P389" s="16"/>
      <c r="Q389" s="16"/>
      <c r="R389" s="16"/>
      <c r="S389" s="16"/>
      <c r="T389" s="16"/>
      <c r="U389" s="114"/>
      <c r="V389" s="70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</row>
    <row r="390" spans="1:39" ht="12.75" customHeight="1" x14ac:dyDescent="0.25">
      <c r="A390" s="25"/>
      <c r="B390" s="66"/>
      <c r="C390" s="67"/>
      <c r="D390" s="67"/>
      <c r="E390" s="67"/>
      <c r="F390" s="68"/>
      <c r="G390" s="68"/>
      <c r="H390" s="68"/>
      <c r="I390" s="74"/>
      <c r="J390" s="74"/>
      <c r="K390" s="75"/>
      <c r="L390" s="76"/>
      <c r="M390" s="16"/>
      <c r="N390" s="16"/>
      <c r="O390" s="16"/>
      <c r="P390" s="16"/>
      <c r="Q390" s="16"/>
      <c r="R390" s="16"/>
      <c r="S390" s="69"/>
      <c r="T390" s="16"/>
      <c r="U390" s="115"/>
      <c r="V390" s="70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</row>
    <row r="391" spans="1:39" ht="12.75" customHeight="1" x14ac:dyDescent="0.25">
      <c r="A391" s="25"/>
      <c r="B391" s="66"/>
      <c r="C391" s="67"/>
      <c r="D391" s="67"/>
      <c r="E391" s="67"/>
      <c r="F391" s="68"/>
      <c r="G391" s="68"/>
      <c r="H391" s="68"/>
      <c r="I391" s="20"/>
      <c r="J391" s="20"/>
      <c r="K391" s="14"/>
      <c r="L391" s="14"/>
      <c r="M391" s="16"/>
      <c r="N391" s="16"/>
      <c r="O391" s="16"/>
      <c r="P391" s="16"/>
      <c r="Q391" s="16"/>
      <c r="R391" s="16"/>
      <c r="S391" s="69"/>
      <c r="T391" s="16"/>
      <c r="U391" s="113"/>
      <c r="V391" s="70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</row>
    <row r="392" spans="1:39" ht="12.75" customHeight="1" x14ac:dyDescent="0.25">
      <c r="A392" s="25"/>
      <c r="B392" s="66"/>
      <c r="C392" s="67"/>
      <c r="D392" s="67"/>
      <c r="E392" s="67"/>
      <c r="F392" s="68"/>
      <c r="G392" s="68"/>
      <c r="H392" s="68"/>
      <c r="I392" s="20"/>
      <c r="J392" s="20"/>
      <c r="K392" s="77"/>
      <c r="L392" s="77"/>
      <c r="M392" s="16"/>
      <c r="N392" s="16"/>
      <c r="O392" s="16"/>
      <c r="P392" s="16"/>
      <c r="Q392" s="16"/>
      <c r="R392" s="16"/>
      <c r="S392" s="16"/>
      <c r="T392" s="16"/>
      <c r="U392" s="113"/>
      <c r="V392" s="70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</row>
    <row r="393" spans="1:39" ht="12.75" customHeight="1" x14ac:dyDescent="0.25">
      <c r="A393" s="25"/>
      <c r="B393" s="66"/>
      <c r="C393" s="67"/>
      <c r="D393" s="67"/>
      <c r="E393" s="67"/>
      <c r="F393" s="68"/>
      <c r="G393" s="68"/>
      <c r="H393" s="68"/>
      <c r="I393" s="74"/>
      <c r="J393" s="74"/>
      <c r="K393" s="78"/>
      <c r="L393" s="78"/>
      <c r="M393" s="46"/>
      <c r="N393" s="79"/>
      <c r="O393" s="79"/>
      <c r="P393" s="46"/>
      <c r="Q393" s="16"/>
      <c r="R393" s="16"/>
      <c r="S393" s="69"/>
      <c r="T393" s="16"/>
      <c r="U393" s="113"/>
      <c r="V393" s="70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</row>
    <row r="394" spans="1:39" ht="12.75" customHeight="1" x14ac:dyDescent="0.25">
      <c r="A394" s="25"/>
      <c r="B394" s="66"/>
      <c r="C394" s="67"/>
      <c r="D394" s="67"/>
      <c r="E394" s="67"/>
      <c r="F394" s="68"/>
      <c r="G394" s="68"/>
      <c r="H394" s="68"/>
      <c r="I394" s="20"/>
      <c r="J394" s="20"/>
      <c r="K394" s="14"/>
      <c r="L394" s="14"/>
      <c r="M394" s="16"/>
      <c r="N394" s="16"/>
      <c r="O394" s="16"/>
      <c r="P394" s="16"/>
      <c r="Q394" s="16"/>
      <c r="R394" s="16"/>
      <c r="S394" s="69"/>
      <c r="T394" s="16"/>
      <c r="U394" s="113"/>
      <c r="V394" s="70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</row>
    <row r="395" spans="1:39" ht="12.75" customHeight="1" x14ac:dyDescent="0.25">
      <c r="A395" s="25"/>
      <c r="B395" s="66"/>
      <c r="C395" s="71"/>
      <c r="D395" s="71"/>
      <c r="E395" s="71"/>
      <c r="F395" s="72"/>
      <c r="G395" s="72"/>
      <c r="H395" s="72"/>
      <c r="I395" s="73"/>
      <c r="J395" s="73"/>
      <c r="K395" s="45"/>
      <c r="L395" s="45"/>
      <c r="M395" s="16"/>
      <c r="N395" s="16"/>
      <c r="O395" s="16"/>
      <c r="P395" s="16"/>
      <c r="Q395" s="16"/>
      <c r="R395" s="16"/>
      <c r="S395" s="16"/>
      <c r="T395" s="16"/>
      <c r="U395" s="114"/>
      <c r="V395" s="70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</row>
    <row r="396" spans="1:39" ht="12.75" customHeight="1" x14ac:dyDescent="0.25">
      <c r="A396" s="25"/>
      <c r="B396" s="66"/>
      <c r="C396" s="67"/>
      <c r="D396" s="67"/>
      <c r="E396" s="67"/>
      <c r="F396" s="68"/>
      <c r="G396" s="68"/>
      <c r="H396" s="68"/>
      <c r="I396" s="74"/>
      <c r="J396" s="74"/>
      <c r="K396" s="75"/>
      <c r="L396" s="76"/>
      <c r="M396" s="16"/>
      <c r="N396" s="16"/>
      <c r="O396" s="16"/>
      <c r="P396" s="16"/>
      <c r="Q396" s="16"/>
      <c r="R396" s="16"/>
      <c r="S396" s="69"/>
      <c r="T396" s="16"/>
      <c r="U396" s="115"/>
      <c r="V396" s="70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</row>
    <row r="397" spans="1:39" ht="12.75" customHeight="1" x14ac:dyDescent="0.25">
      <c r="A397" s="25"/>
      <c r="B397" s="66"/>
      <c r="C397" s="67"/>
      <c r="D397" s="67"/>
      <c r="E397" s="67"/>
      <c r="F397" s="68"/>
      <c r="G397" s="68"/>
      <c r="H397" s="68"/>
      <c r="I397" s="20"/>
      <c r="J397" s="20"/>
      <c r="K397" s="14"/>
      <c r="L397" s="14"/>
      <c r="M397" s="16"/>
      <c r="N397" s="16"/>
      <c r="O397" s="16"/>
      <c r="P397" s="16"/>
      <c r="Q397" s="16"/>
      <c r="R397" s="16"/>
      <c r="S397" s="69"/>
      <c r="T397" s="16"/>
      <c r="U397" s="113"/>
      <c r="V397" s="70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</row>
    <row r="398" spans="1:39" ht="12.75" customHeight="1" x14ac:dyDescent="0.25">
      <c r="A398" s="25"/>
      <c r="B398" s="66"/>
      <c r="C398" s="67"/>
      <c r="D398" s="67"/>
      <c r="E398" s="67"/>
      <c r="F398" s="68"/>
      <c r="G398" s="68"/>
      <c r="H398" s="68"/>
      <c r="I398" s="20"/>
      <c r="J398" s="20"/>
      <c r="K398" s="77"/>
      <c r="L398" s="77"/>
      <c r="M398" s="16"/>
      <c r="N398" s="16"/>
      <c r="O398" s="16"/>
      <c r="P398" s="16"/>
      <c r="Q398" s="16"/>
      <c r="R398" s="16"/>
      <c r="S398" s="16"/>
      <c r="T398" s="16"/>
      <c r="U398" s="113"/>
      <c r="V398" s="70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</row>
    <row r="399" spans="1:39" ht="12.75" customHeight="1" x14ac:dyDescent="0.25">
      <c r="A399" s="25"/>
      <c r="B399" s="66"/>
      <c r="C399" s="67"/>
      <c r="D399" s="67"/>
      <c r="E399" s="67"/>
      <c r="F399" s="68"/>
      <c r="G399" s="68"/>
      <c r="H399" s="68"/>
      <c r="I399" s="74"/>
      <c r="J399" s="74"/>
      <c r="K399" s="78"/>
      <c r="L399" s="78"/>
      <c r="M399" s="46"/>
      <c r="N399" s="79"/>
      <c r="O399" s="79"/>
      <c r="P399" s="46"/>
      <c r="Q399" s="16"/>
      <c r="R399" s="16"/>
      <c r="S399" s="69"/>
      <c r="T399" s="16"/>
      <c r="U399" s="113"/>
      <c r="V399" s="70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</row>
    <row r="400" spans="1:39" ht="12.75" customHeight="1" x14ac:dyDescent="0.25">
      <c r="A400" s="25"/>
      <c r="B400" s="66"/>
      <c r="C400" s="67"/>
      <c r="D400" s="67"/>
      <c r="E400" s="67"/>
      <c r="F400" s="68"/>
      <c r="G400" s="68"/>
      <c r="H400" s="68"/>
      <c r="I400" s="20"/>
      <c r="J400" s="20"/>
      <c r="K400" s="14"/>
      <c r="L400" s="14"/>
      <c r="M400" s="16"/>
      <c r="N400" s="16"/>
      <c r="O400" s="16"/>
      <c r="P400" s="16"/>
      <c r="Q400" s="16"/>
      <c r="R400" s="16"/>
      <c r="S400" s="69"/>
      <c r="T400" s="16"/>
      <c r="U400" s="113"/>
      <c r="V400" s="70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</row>
    <row r="401" spans="1:39" ht="12.75" customHeight="1" x14ac:dyDescent="0.25">
      <c r="A401" s="25"/>
      <c r="B401" s="66"/>
      <c r="C401" s="67"/>
      <c r="D401" s="67"/>
      <c r="E401" s="67"/>
      <c r="F401" s="68"/>
      <c r="G401" s="68"/>
      <c r="H401" s="68"/>
      <c r="I401" s="74"/>
      <c r="J401" s="74"/>
      <c r="K401" s="78"/>
      <c r="L401" s="78"/>
      <c r="M401" s="46"/>
      <c r="N401" s="79"/>
      <c r="O401" s="79"/>
      <c r="P401" s="46"/>
      <c r="Q401" s="16"/>
      <c r="R401" s="16"/>
      <c r="S401" s="69"/>
      <c r="T401" s="16"/>
      <c r="U401" s="113"/>
      <c r="V401" s="70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</row>
    <row r="402" spans="1:39" ht="12.75" customHeight="1" x14ac:dyDescent="0.25">
      <c r="A402" s="25"/>
      <c r="B402" s="66"/>
      <c r="C402" s="67"/>
      <c r="D402" s="67"/>
      <c r="E402" s="67"/>
      <c r="F402" s="68"/>
      <c r="G402" s="68"/>
      <c r="H402" s="68"/>
      <c r="I402" s="20"/>
      <c r="J402" s="20"/>
      <c r="K402" s="14"/>
      <c r="L402" s="14"/>
      <c r="M402" s="16"/>
      <c r="N402" s="16"/>
      <c r="O402" s="16"/>
      <c r="P402" s="16"/>
      <c r="Q402" s="16"/>
      <c r="R402" s="16"/>
      <c r="S402" s="69"/>
      <c r="T402" s="16"/>
      <c r="U402" s="113"/>
      <c r="V402" s="70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</row>
    <row r="403" spans="1:39" ht="12.75" customHeight="1" x14ac:dyDescent="0.25">
      <c r="A403" s="25"/>
      <c r="B403" s="66"/>
      <c r="C403" s="71"/>
      <c r="D403" s="71"/>
      <c r="E403" s="71"/>
      <c r="F403" s="72"/>
      <c r="G403" s="72"/>
      <c r="H403" s="72"/>
      <c r="I403" s="73"/>
      <c r="J403" s="73"/>
      <c r="K403" s="45"/>
      <c r="L403" s="45"/>
      <c r="M403" s="16"/>
      <c r="N403" s="16"/>
      <c r="O403" s="16"/>
      <c r="P403" s="16"/>
      <c r="Q403" s="16"/>
      <c r="R403" s="16"/>
      <c r="S403" s="16"/>
      <c r="T403" s="16"/>
      <c r="U403" s="114"/>
      <c r="V403" s="70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</row>
    <row r="404" spans="1:39" ht="12.75" customHeight="1" x14ac:dyDescent="0.25">
      <c r="A404" s="25"/>
      <c r="B404" s="66"/>
      <c r="C404" s="67"/>
      <c r="D404" s="67"/>
      <c r="E404" s="67"/>
      <c r="F404" s="68"/>
      <c r="G404" s="68"/>
      <c r="H404" s="68"/>
      <c r="I404" s="74"/>
      <c r="J404" s="74"/>
      <c r="K404" s="75"/>
      <c r="L404" s="76"/>
      <c r="M404" s="16"/>
      <c r="N404" s="16"/>
      <c r="O404" s="16"/>
      <c r="P404" s="16"/>
      <c r="Q404" s="16"/>
      <c r="R404" s="16"/>
      <c r="S404" s="69"/>
      <c r="T404" s="16"/>
      <c r="U404" s="115"/>
      <c r="V404" s="70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</row>
    <row r="405" spans="1:39" ht="12.75" customHeight="1" x14ac:dyDescent="0.25">
      <c r="A405" s="25"/>
      <c r="B405" s="66"/>
      <c r="C405" s="67"/>
      <c r="D405" s="67"/>
      <c r="E405" s="67"/>
      <c r="F405" s="68"/>
      <c r="G405" s="68"/>
      <c r="H405" s="68"/>
      <c r="I405" s="20"/>
      <c r="J405" s="20"/>
      <c r="K405" s="14"/>
      <c r="L405" s="14"/>
      <c r="M405" s="16"/>
      <c r="N405" s="16"/>
      <c r="O405" s="16"/>
      <c r="P405" s="16"/>
      <c r="Q405" s="16"/>
      <c r="R405" s="16"/>
      <c r="S405" s="69"/>
      <c r="T405" s="16"/>
      <c r="U405" s="113"/>
      <c r="V405" s="70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</row>
    <row r="406" spans="1:39" ht="12.75" customHeight="1" x14ac:dyDescent="0.25">
      <c r="A406" s="25"/>
      <c r="B406" s="66"/>
      <c r="C406" s="67"/>
      <c r="D406" s="67"/>
      <c r="E406" s="67"/>
      <c r="F406" s="68"/>
      <c r="G406" s="68"/>
      <c r="H406" s="68"/>
      <c r="I406" s="20"/>
      <c r="J406" s="20"/>
      <c r="K406" s="77"/>
      <c r="L406" s="77"/>
      <c r="M406" s="16"/>
      <c r="N406" s="16"/>
      <c r="O406" s="16"/>
      <c r="P406" s="16"/>
      <c r="Q406" s="16"/>
      <c r="R406" s="16"/>
      <c r="S406" s="16"/>
      <c r="T406" s="16"/>
      <c r="U406" s="113"/>
      <c r="V406" s="70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</row>
    <row r="407" spans="1:39" ht="12.75" customHeight="1" x14ac:dyDescent="0.25">
      <c r="A407" s="25"/>
      <c r="B407" s="66"/>
      <c r="C407" s="67"/>
      <c r="D407" s="67"/>
      <c r="E407" s="67"/>
      <c r="F407" s="68"/>
      <c r="G407" s="68"/>
      <c r="H407" s="68"/>
      <c r="I407" s="74"/>
      <c r="J407" s="74"/>
      <c r="K407" s="78"/>
      <c r="L407" s="78"/>
      <c r="M407" s="46"/>
      <c r="N407" s="79"/>
      <c r="O407" s="79"/>
      <c r="P407" s="46"/>
      <c r="Q407" s="16"/>
      <c r="R407" s="16"/>
      <c r="S407" s="69"/>
      <c r="T407" s="16"/>
      <c r="U407" s="113"/>
      <c r="V407" s="70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</row>
    <row r="408" spans="1:39" ht="12.75" customHeight="1" x14ac:dyDescent="0.25">
      <c r="A408" s="25"/>
      <c r="B408" s="66"/>
      <c r="C408" s="67"/>
      <c r="D408" s="67"/>
      <c r="E408" s="67"/>
      <c r="F408" s="68"/>
      <c r="G408" s="68"/>
      <c r="H408" s="68"/>
      <c r="I408" s="20"/>
      <c r="J408" s="20"/>
      <c r="K408" s="14"/>
      <c r="L408" s="14"/>
      <c r="M408" s="16"/>
      <c r="N408" s="16"/>
      <c r="O408" s="16"/>
      <c r="P408" s="16"/>
      <c r="Q408" s="16"/>
      <c r="R408" s="16"/>
      <c r="S408" s="69"/>
      <c r="T408" s="16"/>
      <c r="U408" s="113"/>
      <c r="V408" s="70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</row>
    <row r="409" spans="1:39" ht="12.75" customHeight="1" x14ac:dyDescent="0.25">
      <c r="A409" s="25"/>
      <c r="B409" s="66"/>
      <c r="C409" s="71"/>
      <c r="D409" s="71"/>
      <c r="E409" s="71"/>
      <c r="F409" s="72"/>
      <c r="G409" s="72"/>
      <c r="H409" s="72"/>
      <c r="I409" s="73"/>
      <c r="J409" s="73"/>
      <c r="K409" s="45"/>
      <c r="L409" s="45"/>
      <c r="M409" s="16"/>
      <c r="N409" s="16"/>
      <c r="O409" s="16"/>
      <c r="P409" s="16"/>
      <c r="Q409" s="16"/>
      <c r="R409" s="16"/>
      <c r="S409" s="16"/>
      <c r="T409" s="16"/>
      <c r="U409" s="114"/>
      <c r="V409" s="70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</row>
    <row r="410" spans="1:39" ht="12.75" customHeight="1" x14ac:dyDescent="0.25">
      <c r="A410" s="25"/>
      <c r="B410" s="66"/>
      <c r="C410" s="67"/>
      <c r="D410" s="67"/>
      <c r="E410" s="67"/>
      <c r="F410" s="68"/>
      <c r="G410" s="68"/>
      <c r="H410" s="68"/>
      <c r="I410" s="74"/>
      <c r="J410" s="74"/>
      <c r="K410" s="75"/>
      <c r="L410" s="76"/>
      <c r="M410" s="16"/>
      <c r="N410" s="16"/>
      <c r="O410" s="16"/>
      <c r="P410" s="16"/>
      <c r="Q410" s="16"/>
      <c r="R410" s="16"/>
      <c r="S410" s="69"/>
      <c r="T410" s="16"/>
      <c r="U410" s="115"/>
      <c r="V410" s="70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</row>
    <row r="411" spans="1:39" ht="12.75" customHeight="1" x14ac:dyDescent="0.25">
      <c r="A411" s="25"/>
      <c r="B411" s="66"/>
      <c r="C411" s="67"/>
      <c r="D411" s="67"/>
      <c r="E411" s="67"/>
      <c r="F411" s="68"/>
      <c r="G411" s="68"/>
      <c r="H411" s="68"/>
      <c r="I411" s="20"/>
      <c r="J411" s="20"/>
      <c r="K411" s="14"/>
      <c r="L411" s="14"/>
      <c r="M411" s="16"/>
      <c r="N411" s="16"/>
      <c r="O411" s="16"/>
      <c r="P411" s="16"/>
      <c r="Q411" s="16"/>
      <c r="R411" s="16"/>
      <c r="S411" s="69"/>
      <c r="T411" s="16"/>
      <c r="U411" s="113"/>
      <c r="V411" s="70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</row>
    <row r="412" spans="1:39" ht="9.75" customHeight="1" x14ac:dyDescent="0.25">
      <c r="A412" s="25"/>
      <c r="B412" s="66"/>
      <c r="C412" s="67"/>
      <c r="D412" s="67"/>
      <c r="E412" s="67"/>
      <c r="F412" s="68"/>
      <c r="G412" s="68"/>
      <c r="H412" s="68"/>
      <c r="I412" s="20"/>
      <c r="J412" s="20"/>
      <c r="K412" s="77"/>
      <c r="L412" s="77"/>
      <c r="M412" s="16"/>
      <c r="N412" s="16"/>
      <c r="O412" s="16"/>
      <c r="P412" s="16"/>
      <c r="Q412" s="16"/>
      <c r="R412" s="16"/>
      <c r="S412" s="16"/>
      <c r="T412" s="16"/>
      <c r="U412" s="113"/>
      <c r="V412" s="70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2.75" customHeight="1" x14ac:dyDescent="0.25">
      <c r="A413" s="25"/>
      <c r="B413" s="66"/>
      <c r="C413" s="67"/>
      <c r="D413" s="67"/>
      <c r="E413" s="67"/>
      <c r="F413" s="68"/>
      <c r="G413" s="68"/>
      <c r="H413" s="68"/>
      <c r="I413" s="74"/>
      <c r="J413" s="74"/>
      <c r="K413" s="78"/>
      <c r="L413" s="78"/>
      <c r="M413" s="46"/>
      <c r="N413" s="79"/>
      <c r="O413" s="79"/>
      <c r="P413" s="46"/>
      <c r="Q413" s="16"/>
      <c r="R413" s="16"/>
      <c r="S413" s="69"/>
      <c r="T413" s="16"/>
      <c r="U413" s="113"/>
      <c r="V413" s="70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</row>
    <row r="414" spans="1:39" ht="12.75" customHeight="1" x14ac:dyDescent="0.25">
      <c r="A414" s="25"/>
      <c r="B414" s="66"/>
      <c r="C414" s="67"/>
      <c r="D414" s="67"/>
      <c r="E414" s="67"/>
      <c r="F414" s="68"/>
      <c r="G414" s="68"/>
      <c r="H414" s="68"/>
      <c r="I414" s="20"/>
      <c r="J414" s="20"/>
      <c r="K414" s="14"/>
      <c r="L414" s="14"/>
      <c r="M414" s="16"/>
      <c r="N414" s="16"/>
      <c r="O414" s="16"/>
      <c r="P414" s="16"/>
      <c r="Q414" s="16"/>
      <c r="R414" s="16"/>
      <c r="S414" s="69"/>
      <c r="T414" s="16"/>
      <c r="U414" s="113"/>
      <c r="V414" s="70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</row>
    <row r="415" spans="1:39" ht="12.75" customHeight="1" x14ac:dyDescent="0.25">
      <c r="A415" s="25"/>
      <c r="B415" s="66"/>
      <c r="C415" s="67"/>
      <c r="D415" s="67"/>
      <c r="E415" s="67"/>
      <c r="F415" s="68"/>
      <c r="G415" s="68"/>
      <c r="H415" s="68"/>
      <c r="I415" s="74"/>
      <c r="J415" s="74"/>
      <c r="K415" s="78"/>
      <c r="L415" s="78"/>
      <c r="M415" s="46"/>
      <c r="N415" s="79"/>
      <c r="O415" s="79"/>
      <c r="P415" s="46"/>
      <c r="Q415" s="16"/>
      <c r="R415" s="16"/>
      <c r="S415" s="69"/>
      <c r="T415" s="16"/>
      <c r="U415" s="113"/>
      <c r="V415" s="70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</row>
    <row r="416" spans="1:39" ht="12.75" customHeight="1" x14ac:dyDescent="0.25">
      <c r="A416" s="25"/>
      <c r="B416" s="66"/>
      <c r="C416" s="67"/>
      <c r="D416" s="67"/>
      <c r="E416" s="67"/>
      <c r="F416" s="68"/>
      <c r="G416" s="68"/>
      <c r="H416" s="68"/>
      <c r="I416" s="20"/>
      <c r="J416" s="20"/>
      <c r="K416" s="14"/>
      <c r="L416" s="14"/>
      <c r="M416" s="16"/>
      <c r="N416" s="16"/>
      <c r="O416" s="16"/>
      <c r="P416" s="16"/>
      <c r="Q416" s="16"/>
      <c r="R416" s="16"/>
      <c r="S416" s="69"/>
      <c r="T416" s="16"/>
      <c r="U416" s="113"/>
      <c r="V416" s="70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</row>
    <row r="417" spans="1:39" ht="12.75" customHeight="1" x14ac:dyDescent="0.25">
      <c r="A417" s="25"/>
      <c r="B417" s="66"/>
      <c r="C417" s="71"/>
      <c r="D417" s="71"/>
      <c r="E417" s="71"/>
      <c r="F417" s="72"/>
      <c r="G417" s="72"/>
      <c r="H417" s="72"/>
      <c r="I417" s="73"/>
      <c r="J417" s="73"/>
      <c r="K417" s="45"/>
      <c r="L417" s="45"/>
      <c r="M417" s="16"/>
      <c r="N417" s="16"/>
      <c r="O417" s="16"/>
      <c r="P417" s="16"/>
      <c r="Q417" s="16"/>
      <c r="R417" s="16"/>
      <c r="S417" s="16"/>
      <c r="T417" s="16"/>
      <c r="U417" s="114"/>
      <c r="V417" s="70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</row>
    <row r="418" spans="1:39" ht="12.75" customHeight="1" x14ac:dyDescent="0.25">
      <c r="A418" s="25"/>
      <c r="B418" s="66"/>
      <c r="C418" s="67"/>
      <c r="D418" s="67"/>
      <c r="E418" s="67"/>
      <c r="F418" s="68"/>
      <c r="G418" s="68"/>
      <c r="H418" s="68"/>
      <c r="I418" s="74"/>
      <c r="J418" s="74"/>
      <c r="K418" s="75"/>
      <c r="L418" s="76"/>
      <c r="M418" s="16"/>
      <c r="N418" s="16"/>
      <c r="O418" s="16"/>
      <c r="P418" s="16"/>
      <c r="Q418" s="16"/>
      <c r="R418" s="16"/>
      <c r="S418" s="69"/>
      <c r="T418" s="16"/>
      <c r="U418" s="115"/>
      <c r="V418" s="70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</row>
    <row r="419" spans="1:39" ht="12.75" customHeight="1" x14ac:dyDescent="0.25">
      <c r="A419" s="25"/>
      <c r="B419" s="66"/>
      <c r="C419" s="67"/>
      <c r="D419" s="67"/>
      <c r="E419" s="67"/>
      <c r="F419" s="68"/>
      <c r="G419" s="68"/>
      <c r="H419" s="68"/>
      <c r="I419" s="20"/>
      <c r="J419" s="20"/>
      <c r="K419" s="14"/>
      <c r="L419" s="14"/>
      <c r="M419" s="16"/>
      <c r="N419" s="16"/>
      <c r="O419" s="16"/>
      <c r="P419" s="16"/>
      <c r="Q419" s="16"/>
      <c r="R419" s="16"/>
      <c r="S419" s="69"/>
      <c r="T419" s="16"/>
      <c r="U419" s="113"/>
      <c r="V419" s="70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</row>
    <row r="420" spans="1:39" ht="9.75" customHeight="1" x14ac:dyDescent="0.25">
      <c r="A420" s="1"/>
      <c r="B420" s="26"/>
      <c r="C420" s="27"/>
      <c r="D420" s="27"/>
      <c r="E420" s="27"/>
      <c r="F420" s="26"/>
      <c r="G420" s="26"/>
      <c r="H420" s="26"/>
      <c r="I420" s="34"/>
      <c r="J420" s="34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116"/>
      <c r="V420" s="2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</row>
    <row r="421" spans="1:39" ht="9.75" customHeight="1" x14ac:dyDescent="0.25">
      <c r="A421" s="1"/>
      <c r="B421" s="26"/>
      <c r="C421" s="27"/>
      <c r="D421" s="27"/>
      <c r="E421" s="27"/>
      <c r="F421" s="26"/>
      <c r="G421" s="26"/>
      <c r="H421" s="26"/>
      <c r="I421" s="34"/>
      <c r="J421" s="34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116"/>
      <c r="V421" s="2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</row>
    <row r="422" spans="1:39" ht="9.75" customHeight="1" x14ac:dyDescent="0.25">
      <c r="A422" s="1"/>
      <c r="B422" s="26"/>
      <c r="C422" s="27"/>
      <c r="D422" s="27"/>
      <c r="E422" s="27"/>
      <c r="F422" s="26"/>
      <c r="G422" s="26"/>
      <c r="H422" s="26"/>
      <c r="I422" s="34"/>
      <c r="J422" s="34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116"/>
      <c r="V422" s="2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</row>
    <row r="423" spans="1:39" ht="9.75" customHeight="1" x14ac:dyDescent="0.25">
      <c r="A423" s="1"/>
      <c r="B423" s="26"/>
      <c r="C423" s="27"/>
      <c r="D423" s="27"/>
      <c r="E423" s="27"/>
      <c r="F423" s="26"/>
      <c r="G423" s="26"/>
      <c r="H423" s="26"/>
      <c r="I423" s="34"/>
      <c r="J423" s="34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116"/>
      <c r="V423" s="2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</row>
    <row r="424" spans="1:39" ht="9.75" customHeight="1" x14ac:dyDescent="0.25">
      <c r="A424" s="1"/>
      <c r="B424" s="26"/>
      <c r="C424" s="27"/>
      <c r="D424" s="27"/>
      <c r="E424" s="27"/>
      <c r="F424" s="26"/>
      <c r="G424" s="26"/>
      <c r="H424" s="26"/>
      <c r="I424" s="34"/>
      <c r="J424" s="34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116"/>
      <c r="V424" s="2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</row>
    <row r="425" spans="1:39" ht="9.75" customHeight="1" x14ac:dyDescent="0.25">
      <c r="A425" s="1"/>
      <c r="B425" s="26"/>
      <c r="C425" s="27"/>
      <c r="D425" s="27"/>
      <c r="E425" s="27"/>
      <c r="F425" s="26"/>
      <c r="G425" s="26"/>
      <c r="H425" s="26"/>
      <c r="I425" s="34"/>
      <c r="J425" s="34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116"/>
      <c r="V425" s="2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</row>
    <row r="426" spans="1:39" ht="9.75" customHeight="1" x14ac:dyDescent="0.25">
      <c r="A426" s="1"/>
      <c r="B426" s="26"/>
      <c r="C426" s="27"/>
      <c r="D426" s="27"/>
      <c r="E426" s="27"/>
      <c r="F426" s="26"/>
      <c r="G426" s="26"/>
      <c r="H426" s="26"/>
      <c r="I426" s="34"/>
      <c r="J426" s="34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116"/>
      <c r="V426" s="2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</row>
    <row r="427" spans="1:39" ht="9.75" customHeight="1" x14ac:dyDescent="0.25">
      <c r="A427" s="1"/>
      <c r="B427" s="26"/>
      <c r="C427" s="27"/>
      <c r="D427" s="27"/>
      <c r="E427" s="27"/>
      <c r="F427" s="26"/>
      <c r="G427" s="26"/>
      <c r="H427" s="26"/>
      <c r="I427" s="34"/>
      <c r="J427" s="34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116"/>
      <c r="V427" s="2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</row>
    <row r="428" spans="1:39" ht="9.75" customHeight="1" x14ac:dyDescent="0.25">
      <c r="A428" s="1"/>
      <c r="B428" s="26"/>
      <c r="C428" s="27"/>
      <c r="D428" s="27"/>
      <c r="E428" s="27"/>
      <c r="F428" s="26"/>
      <c r="G428" s="26"/>
      <c r="H428" s="26"/>
      <c r="I428" s="34"/>
      <c r="J428" s="34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116"/>
      <c r="V428" s="2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</row>
    <row r="429" spans="1:39" ht="9.75" customHeight="1" x14ac:dyDescent="0.25">
      <c r="A429" s="1"/>
      <c r="B429" s="26"/>
      <c r="C429" s="27"/>
      <c r="D429" s="27"/>
      <c r="E429" s="27"/>
      <c r="F429" s="26"/>
      <c r="G429" s="26"/>
      <c r="H429" s="26"/>
      <c r="I429" s="34"/>
      <c r="J429" s="34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116"/>
      <c r="V429" s="2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</row>
    <row r="430" spans="1:39" ht="9.75" customHeight="1" x14ac:dyDescent="0.25">
      <c r="A430" s="1"/>
      <c r="B430" s="26"/>
      <c r="C430" s="27"/>
      <c r="D430" s="27"/>
      <c r="E430" s="27"/>
      <c r="F430" s="26"/>
      <c r="G430" s="26"/>
      <c r="H430" s="26"/>
      <c r="I430" s="34"/>
      <c r="J430" s="34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116"/>
      <c r="V430" s="2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</row>
    <row r="431" spans="1:39" ht="9.75" customHeight="1" x14ac:dyDescent="0.25">
      <c r="A431" s="1"/>
      <c r="B431" s="26"/>
      <c r="C431" s="27"/>
      <c r="D431" s="27"/>
      <c r="E431" s="27"/>
      <c r="F431" s="26"/>
      <c r="G431" s="26"/>
      <c r="H431" s="26"/>
      <c r="I431" s="34"/>
      <c r="J431" s="34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116"/>
      <c r="V431" s="2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</row>
    <row r="432" spans="1:39" ht="9.75" customHeight="1" x14ac:dyDescent="0.25">
      <c r="A432" s="1"/>
      <c r="B432" s="26"/>
      <c r="C432" s="27"/>
      <c r="D432" s="27"/>
      <c r="E432" s="27"/>
      <c r="F432" s="26"/>
      <c r="G432" s="26"/>
      <c r="H432" s="26"/>
      <c r="I432" s="34"/>
      <c r="J432" s="34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116"/>
      <c r="V432" s="2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</row>
    <row r="433" spans="1:39" ht="9.75" customHeight="1" x14ac:dyDescent="0.25">
      <c r="A433" s="1"/>
      <c r="B433" s="26"/>
      <c r="C433" s="27"/>
      <c r="D433" s="27"/>
      <c r="E433" s="27"/>
      <c r="F433" s="26"/>
      <c r="G433" s="26"/>
      <c r="H433" s="26"/>
      <c r="I433" s="34"/>
      <c r="J433" s="34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116"/>
      <c r="V433" s="2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</row>
    <row r="434" spans="1:39" ht="9.75" customHeight="1" x14ac:dyDescent="0.25">
      <c r="A434" s="1"/>
      <c r="B434" s="26"/>
      <c r="C434" s="27"/>
      <c r="D434" s="27"/>
      <c r="E434" s="27"/>
      <c r="F434" s="26"/>
      <c r="G434" s="26"/>
      <c r="H434" s="26"/>
      <c r="I434" s="34"/>
      <c r="J434" s="34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116"/>
      <c r="V434" s="2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</row>
    <row r="435" spans="1:39" ht="9.75" customHeight="1" x14ac:dyDescent="0.25">
      <c r="A435" s="1"/>
      <c r="B435" s="26"/>
      <c r="C435" s="27"/>
      <c r="D435" s="27"/>
      <c r="E435" s="27"/>
      <c r="F435" s="26"/>
      <c r="G435" s="26"/>
      <c r="H435" s="26"/>
      <c r="I435" s="34"/>
      <c r="J435" s="34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116"/>
      <c r="V435" s="2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</row>
    <row r="436" spans="1:39" ht="9.75" customHeight="1" x14ac:dyDescent="0.25">
      <c r="A436" s="1"/>
      <c r="B436" s="26"/>
      <c r="C436" s="27"/>
      <c r="D436" s="27"/>
      <c r="E436" s="27"/>
      <c r="F436" s="26"/>
      <c r="G436" s="26"/>
      <c r="H436" s="26"/>
      <c r="I436" s="34"/>
      <c r="J436" s="34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116"/>
      <c r="V436" s="2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</row>
    <row r="437" spans="1:39" ht="9.75" customHeight="1" x14ac:dyDescent="0.25">
      <c r="A437" s="1"/>
      <c r="B437" s="26"/>
      <c r="C437" s="27"/>
      <c r="D437" s="27"/>
      <c r="E437" s="27"/>
      <c r="F437" s="26"/>
      <c r="G437" s="26"/>
      <c r="H437" s="26"/>
      <c r="I437" s="34"/>
      <c r="J437" s="34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116"/>
      <c r="V437" s="2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</row>
    <row r="438" spans="1:39" ht="9.75" customHeight="1" x14ac:dyDescent="0.25">
      <c r="A438" s="1"/>
      <c r="B438" s="26"/>
      <c r="C438" s="27"/>
      <c r="D438" s="27"/>
      <c r="E438" s="27"/>
      <c r="F438" s="26"/>
      <c r="G438" s="26"/>
      <c r="H438" s="26"/>
      <c r="I438" s="34"/>
      <c r="J438" s="34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116"/>
      <c r="V438" s="2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</row>
    <row r="439" spans="1:39" ht="9.75" customHeight="1" x14ac:dyDescent="0.25">
      <c r="A439" s="1"/>
      <c r="B439" s="26"/>
      <c r="C439" s="27"/>
      <c r="D439" s="27"/>
      <c r="E439" s="27"/>
      <c r="F439" s="26"/>
      <c r="G439" s="26"/>
      <c r="H439" s="26"/>
      <c r="I439" s="34"/>
      <c r="J439" s="34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116"/>
      <c r="V439" s="2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</row>
    <row r="440" spans="1:39" ht="9.75" customHeight="1" x14ac:dyDescent="0.25">
      <c r="A440" s="1"/>
      <c r="B440" s="26"/>
      <c r="C440" s="27"/>
      <c r="D440" s="27"/>
      <c r="E440" s="27"/>
      <c r="F440" s="26"/>
      <c r="G440" s="26"/>
      <c r="H440" s="26"/>
      <c r="I440" s="34"/>
      <c r="J440" s="34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116"/>
      <c r="V440" s="2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</row>
    <row r="441" spans="1:39" ht="9.75" customHeight="1" x14ac:dyDescent="0.25">
      <c r="A441" s="1"/>
      <c r="B441" s="26"/>
      <c r="C441" s="27"/>
      <c r="D441" s="27"/>
      <c r="E441" s="27"/>
      <c r="F441" s="26"/>
      <c r="G441" s="26"/>
      <c r="H441" s="26"/>
      <c r="I441" s="34"/>
      <c r="J441" s="34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116"/>
      <c r="V441" s="2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</row>
    <row r="442" spans="1:39" ht="9.75" customHeight="1" x14ac:dyDescent="0.25">
      <c r="A442" s="1"/>
      <c r="B442" s="26"/>
      <c r="C442" s="27"/>
      <c r="D442" s="27"/>
      <c r="E442" s="27"/>
      <c r="F442" s="26"/>
      <c r="G442" s="26"/>
      <c r="H442" s="26"/>
      <c r="I442" s="34"/>
      <c r="J442" s="34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116"/>
      <c r="V442" s="2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</row>
    <row r="443" spans="1:39" ht="9.75" customHeight="1" x14ac:dyDescent="0.25">
      <c r="A443" s="1"/>
      <c r="B443" s="26"/>
      <c r="C443" s="27"/>
      <c r="D443" s="27"/>
      <c r="E443" s="27"/>
      <c r="F443" s="26"/>
      <c r="G443" s="26"/>
      <c r="H443" s="26"/>
      <c r="I443" s="34"/>
      <c r="J443" s="34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116"/>
      <c r="V443" s="2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</row>
    <row r="444" spans="1:39" ht="9.75" customHeight="1" x14ac:dyDescent="0.25">
      <c r="A444" s="1"/>
      <c r="B444" s="26"/>
      <c r="C444" s="27"/>
      <c r="D444" s="27"/>
      <c r="E444" s="27"/>
      <c r="F444" s="26"/>
      <c r="G444" s="26"/>
      <c r="H444" s="26"/>
      <c r="I444" s="34"/>
      <c r="J444" s="34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116"/>
      <c r="V444" s="2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</row>
    <row r="445" spans="1:39" ht="9.75" customHeight="1" x14ac:dyDescent="0.25">
      <c r="A445" s="1"/>
      <c r="B445" s="26"/>
      <c r="C445" s="27"/>
      <c r="D445" s="27"/>
      <c r="E445" s="27"/>
      <c r="F445" s="26"/>
      <c r="G445" s="26"/>
      <c r="H445" s="26"/>
      <c r="I445" s="34"/>
      <c r="J445" s="34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116"/>
      <c r="V445" s="2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</row>
    <row r="446" spans="1:39" ht="9.75" customHeight="1" x14ac:dyDescent="0.25">
      <c r="A446" s="1"/>
      <c r="B446" s="26"/>
      <c r="C446" s="27"/>
      <c r="D446" s="27"/>
      <c r="E446" s="27"/>
      <c r="F446" s="26"/>
      <c r="G446" s="26"/>
      <c r="H446" s="26"/>
      <c r="I446" s="34"/>
      <c r="J446" s="34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116"/>
      <c r="V446" s="2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</row>
    <row r="447" spans="1:39" ht="9.75" customHeight="1" x14ac:dyDescent="0.25">
      <c r="A447" s="1"/>
      <c r="B447" s="26"/>
      <c r="C447" s="27"/>
      <c r="D447" s="27"/>
      <c r="E447" s="27"/>
      <c r="F447" s="26"/>
      <c r="G447" s="26"/>
      <c r="H447" s="26"/>
      <c r="I447" s="34"/>
      <c r="J447" s="34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116"/>
      <c r="V447" s="2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</row>
    <row r="448" spans="1:39" ht="9.75" customHeight="1" x14ac:dyDescent="0.25">
      <c r="A448" s="1"/>
      <c r="B448" s="26"/>
      <c r="C448" s="27"/>
      <c r="D448" s="27"/>
      <c r="E448" s="27"/>
      <c r="F448" s="26"/>
      <c r="G448" s="26"/>
      <c r="H448" s="26"/>
      <c r="I448" s="34"/>
      <c r="J448" s="34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116"/>
      <c r="V448" s="2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</row>
    <row r="449" spans="1:39" ht="9.75" customHeight="1" x14ac:dyDescent="0.25">
      <c r="A449" s="1"/>
      <c r="B449" s="26"/>
      <c r="C449" s="27"/>
      <c r="D449" s="27"/>
      <c r="E449" s="27"/>
      <c r="F449" s="26"/>
      <c r="G449" s="26"/>
      <c r="H449" s="26"/>
      <c r="I449" s="34"/>
      <c r="J449" s="34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116"/>
      <c r="V449" s="2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</row>
    <row r="450" spans="1:39" ht="9.75" customHeight="1" x14ac:dyDescent="0.25">
      <c r="A450" s="1"/>
      <c r="B450" s="26"/>
      <c r="C450" s="27"/>
      <c r="D450" s="27"/>
      <c r="E450" s="27"/>
      <c r="F450" s="26"/>
      <c r="G450" s="26"/>
      <c r="H450" s="26"/>
      <c r="I450" s="34"/>
      <c r="J450" s="34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116"/>
      <c r="V450" s="2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</row>
    <row r="451" spans="1:39" ht="9.75" customHeight="1" x14ac:dyDescent="0.25">
      <c r="A451" s="1"/>
      <c r="B451" s="26"/>
      <c r="C451" s="27"/>
      <c r="D451" s="27"/>
      <c r="E451" s="27"/>
      <c r="F451" s="26"/>
      <c r="G451" s="26"/>
      <c r="H451" s="26"/>
      <c r="I451" s="34"/>
      <c r="J451" s="34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116"/>
      <c r="V451" s="2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</row>
    <row r="452" spans="1:39" ht="9.75" customHeight="1" x14ac:dyDescent="0.25">
      <c r="A452" s="1"/>
      <c r="B452" s="26"/>
      <c r="C452" s="27"/>
      <c r="D452" s="27"/>
      <c r="E452" s="27"/>
      <c r="F452" s="26"/>
      <c r="G452" s="26"/>
      <c r="H452" s="26"/>
      <c r="I452" s="34"/>
      <c r="J452" s="34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116"/>
      <c r="V452" s="2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</row>
    <row r="453" spans="1:39" ht="9.75" customHeight="1" x14ac:dyDescent="0.25">
      <c r="A453" s="1"/>
      <c r="B453" s="26"/>
      <c r="C453" s="27"/>
      <c r="D453" s="27"/>
      <c r="E453" s="27"/>
      <c r="F453" s="26"/>
      <c r="G453" s="26"/>
      <c r="H453" s="26"/>
      <c r="I453" s="34"/>
      <c r="J453" s="34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116"/>
      <c r="V453" s="2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</row>
    <row r="454" spans="1:39" ht="9.75" customHeight="1" x14ac:dyDescent="0.25">
      <c r="A454" s="1"/>
      <c r="B454" s="26"/>
      <c r="C454" s="27"/>
      <c r="D454" s="27"/>
      <c r="E454" s="27"/>
      <c r="F454" s="26"/>
      <c r="G454" s="26"/>
      <c r="H454" s="26"/>
      <c r="I454" s="34"/>
      <c r="J454" s="34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116"/>
      <c r="V454" s="2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</row>
    <row r="455" spans="1:39" ht="9.75" customHeight="1" x14ac:dyDescent="0.25">
      <c r="A455" s="1"/>
      <c r="B455" s="26"/>
      <c r="C455" s="27"/>
      <c r="D455" s="27"/>
      <c r="E455" s="27"/>
      <c r="F455" s="26"/>
      <c r="G455" s="26"/>
      <c r="H455" s="26"/>
      <c r="I455" s="34"/>
      <c r="J455" s="34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116"/>
      <c r="V455" s="2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</row>
    <row r="456" spans="1:39" ht="9.75" customHeight="1" x14ac:dyDescent="0.25">
      <c r="A456" s="1"/>
      <c r="B456" s="26"/>
      <c r="C456" s="27"/>
      <c r="D456" s="27"/>
      <c r="E456" s="27"/>
      <c r="F456" s="26"/>
      <c r="G456" s="26"/>
      <c r="H456" s="26"/>
      <c r="I456" s="34"/>
      <c r="J456" s="34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116"/>
      <c r="V456" s="2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</row>
    <row r="457" spans="1:39" ht="9.75" customHeight="1" x14ac:dyDescent="0.25">
      <c r="A457" s="1"/>
      <c r="B457" s="26"/>
      <c r="C457" s="27"/>
      <c r="D457" s="27"/>
      <c r="E457" s="27"/>
      <c r="F457" s="26"/>
      <c r="G457" s="26"/>
      <c r="H457" s="26"/>
      <c r="I457" s="34"/>
      <c r="J457" s="34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116"/>
      <c r="V457" s="2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</row>
    <row r="458" spans="1:39" ht="9.75" customHeight="1" x14ac:dyDescent="0.25">
      <c r="A458" s="1"/>
      <c r="B458" s="26"/>
      <c r="C458" s="27"/>
      <c r="D458" s="27"/>
      <c r="E458" s="27"/>
      <c r="F458" s="26"/>
      <c r="G458" s="26"/>
      <c r="H458" s="26"/>
      <c r="I458" s="34"/>
      <c r="J458" s="34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116"/>
      <c r="V458" s="2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</row>
    <row r="459" spans="1:39" ht="9.75" customHeight="1" x14ac:dyDescent="0.25">
      <c r="A459" s="1"/>
      <c r="B459" s="26"/>
      <c r="C459" s="27"/>
      <c r="D459" s="27"/>
      <c r="E459" s="27"/>
      <c r="F459" s="26"/>
      <c r="G459" s="26"/>
      <c r="H459" s="26"/>
      <c r="I459" s="34"/>
      <c r="J459" s="34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116"/>
      <c r="V459" s="2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</row>
    <row r="460" spans="1:39" ht="9.75" customHeight="1" x14ac:dyDescent="0.25">
      <c r="A460" s="1"/>
      <c r="B460" s="26"/>
      <c r="C460" s="27"/>
      <c r="D460" s="27"/>
      <c r="E460" s="27"/>
      <c r="F460" s="26"/>
      <c r="G460" s="26"/>
      <c r="H460" s="26"/>
      <c r="I460" s="34"/>
      <c r="J460" s="34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116"/>
      <c r="V460" s="2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</row>
    <row r="461" spans="1:39" ht="9.75" customHeight="1" x14ac:dyDescent="0.25">
      <c r="A461" s="1"/>
      <c r="B461" s="26"/>
      <c r="C461" s="27"/>
      <c r="D461" s="27"/>
      <c r="E461" s="27"/>
      <c r="F461" s="26"/>
      <c r="G461" s="26"/>
      <c r="H461" s="26"/>
      <c r="I461" s="34"/>
      <c r="J461" s="34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116"/>
      <c r="V461" s="2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</row>
    <row r="462" spans="1:39" ht="9.75" customHeight="1" x14ac:dyDescent="0.25">
      <c r="A462" s="1"/>
      <c r="B462" s="26"/>
      <c r="C462" s="27"/>
      <c r="D462" s="27"/>
      <c r="E462" s="27"/>
      <c r="F462" s="26"/>
      <c r="G462" s="26"/>
      <c r="H462" s="26"/>
      <c r="I462" s="34"/>
      <c r="J462" s="34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116"/>
      <c r="V462" s="2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</row>
    <row r="463" spans="1:39" ht="9.75" customHeight="1" x14ac:dyDescent="0.25">
      <c r="A463" s="1"/>
      <c r="B463" s="26"/>
      <c r="C463" s="27"/>
      <c r="D463" s="27"/>
      <c r="E463" s="27"/>
      <c r="F463" s="26"/>
      <c r="G463" s="26"/>
      <c r="H463" s="26"/>
      <c r="I463" s="34"/>
      <c r="J463" s="34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116"/>
      <c r="V463" s="2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</row>
    <row r="464" spans="1:39" ht="9.75" customHeight="1" x14ac:dyDescent="0.25">
      <c r="A464" s="1"/>
      <c r="B464" s="26"/>
      <c r="C464" s="27"/>
      <c r="D464" s="27"/>
      <c r="E464" s="27"/>
      <c r="F464" s="26"/>
      <c r="G464" s="26"/>
      <c r="H464" s="26"/>
      <c r="I464" s="34"/>
      <c r="J464" s="34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116"/>
      <c r="V464" s="2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</row>
    <row r="465" spans="1:39" ht="9.75" customHeight="1" x14ac:dyDescent="0.25">
      <c r="A465" s="1"/>
      <c r="B465" s="26"/>
      <c r="C465" s="27"/>
      <c r="D465" s="27"/>
      <c r="E465" s="27"/>
      <c r="F465" s="26"/>
      <c r="G465" s="26"/>
      <c r="H465" s="26"/>
      <c r="I465" s="34"/>
      <c r="J465" s="34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116"/>
      <c r="V465" s="2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</row>
    <row r="466" spans="1:39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17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9.7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118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</row>
    <row r="468" spans="1:39" ht="9.7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118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</row>
    <row r="469" spans="1:39" ht="9.75" customHeight="1" x14ac:dyDescent="0.25">
      <c r="A469" s="1"/>
      <c r="B469" s="26"/>
      <c r="C469" s="27"/>
      <c r="D469" s="27"/>
      <c r="E469" s="27"/>
      <c r="F469" s="26"/>
      <c r="G469" s="26"/>
      <c r="H469" s="26"/>
      <c r="I469" s="34"/>
      <c r="J469" s="34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116"/>
      <c r="V469" s="2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</row>
    <row r="470" spans="1:39" ht="9.75" customHeight="1" x14ac:dyDescent="0.25">
      <c r="A470" s="1"/>
      <c r="B470" s="26"/>
      <c r="C470" s="27"/>
      <c r="D470" s="27"/>
      <c r="E470" s="27"/>
      <c r="F470" s="26"/>
      <c r="G470" s="26"/>
      <c r="H470" s="26"/>
      <c r="I470" s="34"/>
      <c r="J470" s="34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116"/>
      <c r="V470" s="2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</row>
    <row r="471" spans="1:39" ht="9.75" customHeight="1" x14ac:dyDescent="0.25">
      <c r="A471" s="1"/>
      <c r="B471" s="26"/>
      <c r="C471" s="27"/>
      <c r="D471" s="27"/>
      <c r="E471" s="27"/>
      <c r="F471" s="26"/>
      <c r="G471" s="26"/>
      <c r="H471" s="26"/>
      <c r="I471" s="34"/>
      <c r="J471" s="34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116"/>
      <c r="V471" s="2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</row>
    <row r="472" spans="1:39" ht="9.75" customHeight="1" x14ac:dyDescent="0.25">
      <c r="A472" s="1"/>
      <c r="B472" s="26"/>
      <c r="C472" s="27"/>
      <c r="D472" s="27"/>
      <c r="E472" s="27"/>
      <c r="F472" s="26"/>
      <c r="G472" s="26"/>
      <c r="H472" s="26"/>
      <c r="I472" s="34"/>
      <c r="J472" s="34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116"/>
      <c r="V472" s="2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</row>
    <row r="473" spans="1:39" ht="9.75" customHeight="1" x14ac:dyDescent="0.25">
      <c r="A473" s="1"/>
      <c r="B473" s="26"/>
      <c r="C473" s="27"/>
      <c r="D473" s="27"/>
      <c r="E473" s="27"/>
      <c r="F473" s="26"/>
      <c r="G473" s="26"/>
      <c r="H473" s="26"/>
      <c r="I473" s="34"/>
      <c r="J473" s="34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116"/>
      <c r="V473" s="2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</row>
    <row r="474" spans="1:39" ht="9.75" customHeight="1" x14ac:dyDescent="0.25">
      <c r="A474" s="1"/>
      <c r="B474" s="26"/>
      <c r="C474" s="27"/>
      <c r="D474" s="27"/>
      <c r="E474" s="27"/>
      <c r="F474" s="26"/>
      <c r="G474" s="26"/>
      <c r="H474" s="26"/>
      <c r="I474" s="34"/>
      <c r="J474" s="34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116"/>
      <c r="V474" s="2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</row>
    <row r="475" spans="1:39" ht="9.75" customHeight="1" x14ac:dyDescent="0.3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119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</row>
    <row r="476" spans="1:39" ht="9.75" customHeight="1" x14ac:dyDescent="0.3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119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</row>
    <row r="477" spans="1:39" ht="9.75" customHeight="1" x14ac:dyDescent="0.3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119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</row>
    <row r="478" spans="1:39" ht="9.75" customHeight="1" x14ac:dyDescent="0.3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119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</row>
    <row r="479" spans="1:39" ht="9.75" customHeight="1" x14ac:dyDescent="0.3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119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</row>
    <row r="480" spans="1:39" ht="9.75" customHeight="1" x14ac:dyDescent="0.3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119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</row>
    <row r="481" spans="1:39" ht="9.75" customHeight="1" x14ac:dyDescent="0.3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119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</row>
    <row r="482" spans="1:39" ht="9.75" customHeight="1" x14ac:dyDescent="0.3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119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</row>
    <row r="483" spans="1:39" ht="9.75" customHeight="1" x14ac:dyDescent="0.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119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</row>
    <row r="484" spans="1:39" ht="9.75" customHeight="1" x14ac:dyDescent="0.3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119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</row>
    <row r="485" spans="1:39" ht="9.75" customHeight="1" x14ac:dyDescent="0.3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119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</row>
    <row r="486" spans="1:39" ht="9.75" customHeight="1" x14ac:dyDescent="0.3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119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</row>
    <row r="487" spans="1:39" ht="9.75" customHeight="1" x14ac:dyDescent="0.3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119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</row>
    <row r="488" spans="1:39" ht="9.75" customHeight="1" x14ac:dyDescent="0.3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119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</row>
    <row r="489" spans="1:39" ht="9.75" customHeight="1" x14ac:dyDescent="0.3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119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</row>
    <row r="490" spans="1:39" ht="9.75" customHeight="1" x14ac:dyDescent="0.3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119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</row>
    <row r="491" spans="1:39" ht="9.75" customHeight="1" x14ac:dyDescent="0.3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119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</row>
    <row r="492" spans="1:39" ht="9.75" customHeight="1" x14ac:dyDescent="0.3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119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</row>
    <row r="493" spans="1:39" ht="9.75" customHeight="1" x14ac:dyDescent="0.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119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</row>
    <row r="494" spans="1:39" ht="9.75" customHeight="1" x14ac:dyDescent="0.3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119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</row>
    <row r="495" spans="1:39" ht="9.75" customHeight="1" x14ac:dyDescent="0.3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119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</row>
    <row r="496" spans="1:39" ht="9.75" customHeight="1" x14ac:dyDescent="0.3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119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</row>
    <row r="497" spans="1:39" ht="9.75" customHeight="1" x14ac:dyDescent="0.3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119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</row>
    <row r="498" spans="1:39" ht="9.75" customHeight="1" x14ac:dyDescent="0.3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119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</row>
    <row r="499" spans="1:39" ht="9.75" customHeight="1" x14ac:dyDescent="0.3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119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</row>
    <row r="500" spans="1:39" ht="9.75" customHeight="1" x14ac:dyDescent="0.3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119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</row>
    <row r="501" spans="1:39" ht="9.75" customHeight="1" x14ac:dyDescent="0.3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119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</row>
    <row r="502" spans="1:39" ht="9.75" customHeight="1" x14ac:dyDescent="0.3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119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</row>
    <row r="503" spans="1:39" ht="9.75" customHeight="1" x14ac:dyDescent="0.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119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</row>
    <row r="504" spans="1:39" ht="9.75" customHeight="1" x14ac:dyDescent="0.3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119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</row>
    <row r="505" spans="1:39" ht="9.75" customHeight="1" x14ac:dyDescent="0.3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119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</row>
    <row r="506" spans="1:39" ht="9.75" customHeight="1" x14ac:dyDescent="0.3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119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</row>
    <row r="507" spans="1:39" ht="9.75" customHeight="1" x14ac:dyDescent="0.3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119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</row>
    <row r="508" spans="1:39" ht="9.75" customHeight="1" x14ac:dyDescent="0.3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119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</row>
    <row r="509" spans="1:39" ht="9.75" customHeight="1" x14ac:dyDescent="0.3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119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</row>
    <row r="510" spans="1:39" ht="9.75" customHeight="1" x14ac:dyDescent="0.3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119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</row>
    <row r="511" spans="1:39" ht="9.75" customHeight="1" x14ac:dyDescent="0.3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119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</row>
    <row r="512" spans="1:39" ht="9.75" customHeight="1" x14ac:dyDescent="0.3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119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</row>
    <row r="513" spans="1:39" ht="9.75" customHeight="1" x14ac:dyDescent="0.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119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</row>
    <row r="514" spans="1:39" ht="9.75" customHeight="1" x14ac:dyDescent="0.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117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</row>
    <row r="515" spans="1:39" ht="9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120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</row>
    <row r="516" spans="1:39" ht="9.75" customHeight="1" x14ac:dyDescent="0.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117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</row>
    <row r="517" spans="1:39" ht="9.75" customHeight="1" x14ac:dyDescent="0.3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119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</row>
    <row r="518" spans="1:39" ht="9.75" customHeight="1" x14ac:dyDescent="0.25">
      <c r="A518" s="1"/>
      <c r="B518" s="26"/>
      <c r="C518" s="27"/>
      <c r="D518" s="27"/>
      <c r="E518" s="27"/>
      <c r="F518" s="26"/>
      <c r="G518" s="26"/>
      <c r="H518" s="26"/>
      <c r="I518" s="34"/>
      <c r="J518" s="34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116"/>
      <c r="V518" s="2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</row>
    <row r="519" spans="1:39" ht="9.75" customHeight="1" x14ac:dyDescent="0.25">
      <c r="A519" s="1"/>
      <c r="B519" s="26"/>
      <c r="C519" s="27"/>
      <c r="D519" s="27"/>
      <c r="E519" s="27"/>
      <c r="F519" s="26"/>
      <c r="G519" s="26"/>
      <c r="H519" s="26"/>
      <c r="I519" s="34"/>
      <c r="J519" s="34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116"/>
      <c r="V519" s="2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</row>
    <row r="520" spans="1:39" ht="9.75" customHeight="1" x14ac:dyDescent="0.25">
      <c r="A520" s="1"/>
      <c r="B520" s="26"/>
      <c r="C520" s="27"/>
      <c r="D520" s="27"/>
      <c r="E520" s="27"/>
      <c r="F520" s="26"/>
      <c r="G520" s="26"/>
      <c r="H520" s="26"/>
      <c r="I520" s="34"/>
      <c r="J520" s="34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116"/>
      <c r="V520" s="2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</row>
    <row r="521" spans="1:39" ht="9.75" customHeight="1" x14ac:dyDescent="0.25">
      <c r="A521" s="1"/>
      <c r="B521" s="26"/>
      <c r="C521" s="27"/>
      <c r="D521" s="27"/>
      <c r="E521" s="27"/>
      <c r="F521" s="26"/>
      <c r="G521" s="26"/>
      <c r="H521" s="26"/>
      <c r="I521" s="34"/>
      <c r="J521" s="34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116"/>
      <c r="V521" s="2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</row>
    <row r="522" spans="1:39" ht="9.75" customHeight="1" x14ac:dyDescent="0.25">
      <c r="A522" s="1"/>
      <c r="B522" s="26"/>
      <c r="C522" s="27"/>
      <c r="D522" s="27"/>
      <c r="E522" s="27"/>
      <c r="F522" s="26"/>
      <c r="G522" s="26"/>
      <c r="H522" s="26"/>
      <c r="I522" s="34"/>
      <c r="J522" s="34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116"/>
      <c r="V522" s="2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</row>
    <row r="523" spans="1:39" ht="9.75" customHeight="1" x14ac:dyDescent="0.25">
      <c r="A523" s="1"/>
      <c r="B523" s="26"/>
      <c r="C523" s="27"/>
      <c r="D523" s="27"/>
      <c r="E523" s="27"/>
      <c r="F523" s="26"/>
      <c r="G523" s="26"/>
      <c r="H523" s="26"/>
      <c r="I523" s="34"/>
      <c r="J523" s="34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116"/>
      <c r="V523" s="2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</row>
    <row r="524" spans="1:39" ht="9.75" customHeight="1" x14ac:dyDescent="0.25">
      <c r="A524" s="1"/>
      <c r="B524" s="26"/>
      <c r="C524" s="27"/>
      <c r="D524" s="27"/>
      <c r="E524" s="27"/>
      <c r="F524" s="26"/>
      <c r="G524" s="26"/>
      <c r="H524" s="26"/>
      <c r="I524" s="34"/>
      <c r="J524" s="34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116"/>
      <c r="V524" s="2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</row>
    <row r="525" spans="1:39" ht="9.75" customHeight="1" x14ac:dyDescent="0.25">
      <c r="A525" s="1"/>
      <c r="B525" s="26"/>
      <c r="C525" s="27"/>
      <c r="D525" s="27"/>
      <c r="E525" s="27"/>
      <c r="F525" s="26"/>
      <c r="G525" s="26"/>
      <c r="H525" s="26"/>
      <c r="I525" s="34"/>
      <c r="J525" s="34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116"/>
      <c r="V525" s="2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</row>
    <row r="526" spans="1:39" ht="9.75" customHeight="1" x14ac:dyDescent="0.25">
      <c r="A526" s="1"/>
      <c r="B526" s="26"/>
      <c r="C526" s="27"/>
      <c r="D526" s="27"/>
      <c r="E526" s="27"/>
      <c r="F526" s="26"/>
      <c r="G526" s="26"/>
      <c r="H526" s="26"/>
      <c r="I526" s="34"/>
      <c r="J526" s="34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116"/>
      <c r="V526" s="2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</row>
    <row r="527" spans="1:39" ht="9.75" customHeight="1" x14ac:dyDescent="0.25">
      <c r="A527" s="1"/>
      <c r="B527" s="26"/>
      <c r="C527" s="27"/>
      <c r="D527" s="27"/>
      <c r="E527" s="27"/>
      <c r="F527" s="26"/>
      <c r="G527" s="26"/>
      <c r="H527" s="26"/>
      <c r="I527" s="34"/>
      <c r="J527" s="34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116"/>
      <c r="V527" s="2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</row>
    <row r="528" spans="1:39" ht="9.75" customHeight="1" x14ac:dyDescent="0.25">
      <c r="A528" s="1"/>
      <c r="B528" s="26"/>
      <c r="C528" s="27"/>
      <c r="D528" s="27"/>
      <c r="E528" s="27"/>
      <c r="F528" s="26"/>
      <c r="G528" s="26"/>
      <c r="H528" s="26"/>
      <c r="I528" s="34"/>
      <c r="J528" s="34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116"/>
      <c r="V528" s="2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</row>
    <row r="529" spans="1:39" ht="9.75" customHeight="1" x14ac:dyDescent="0.25">
      <c r="A529" s="1"/>
      <c r="B529" s="26"/>
      <c r="C529" s="27"/>
      <c r="D529" s="27"/>
      <c r="E529" s="27"/>
      <c r="F529" s="26"/>
      <c r="G529" s="26"/>
      <c r="H529" s="26"/>
      <c r="I529" s="34"/>
      <c r="J529" s="34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116"/>
      <c r="V529" s="2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</row>
    <row r="530" spans="1:39" ht="9.75" customHeight="1" x14ac:dyDescent="0.25">
      <c r="A530" s="1"/>
      <c r="B530" s="26"/>
      <c r="C530" s="27"/>
      <c r="D530" s="27"/>
      <c r="E530" s="27"/>
      <c r="F530" s="26"/>
      <c r="G530" s="26"/>
      <c r="H530" s="26"/>
      <c r="I530" s="34"/>
      <c r="J530" s="34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116"/>
      <c r="V530" s="2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</row>
    <row r="531" spans="1:39" ht="9.75" customHeight="1" x14ac:dyDescent="0.25">
      <c r="A531" s="1"/>
      <c r="B531" s="26"/>
      <c r="C531" s="27"/>
      <c r="D531" s="27"/>
      <c r="E531" s="27"/>
      <c r="F531" s="26"/>
      <c r="G531" s="26"/>
      <c r="H531" s="26"/>
      <c r="I531" s="34"/>
      <c r="J531" s="34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116"/>
      <c r="V531" s="2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</row>
    <row r="532" spans="1:39" ht="9.75" customHeight="1" x14ac:dyDescent="0.25">
      <c r="A532" s="1"/>
      <c r="B532" s="26"/>
      <c r="C532" s="27"/>
      <c r="D532" s="27"/>
      <c r="E532" s="27"/>
      <c r="F532" s="26"/>
      <c r="G532" s="26"/>
      <c r="H532" s="26"/>
      <c r="I532" s="34"/>
      <c r="J532" s="34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116"/>
      <c r="V532" s="2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</row>
    <row r="533" spans="1:39" ht="9.75" customHeight="1" x14ac:dyDescent="0.25">
      <c r="A533" s="1"/>
      <c r="B533" s="26"/>
      <c r="C533" s="27"/>
      <c r="D533" s="27"/>
      <c r="E533" s="27"/>
      <c r="F533" s="26"/>
      <c r="G533" s="26"/>
      <c r="H533" s="26"/>
      <c r="I533" s="34"/>
      <c r="J533" s="34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116"/>
      <c r="V533" s="2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</row>
    <row r="534" spans="1:39" ht="9.75" customHeight="1" x14ac:dyDescent="0.25">
      <c r="A534" s="1"/>
      <c r="B534" s="26"/>
      <c r="C534" s="27"/>
      <c r="D534" s="27"/>
      <c r="E534" s="27"/>
      <c r="F534" s="26"/>
      <c r="G534" s="26"/>
      <c r="H534" s="26"/>
      <c r="I534" s="34"/>
      <c r="J534" s="34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116"/>
      <c r="V534" s="2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</row>
    <row r="535" spans="1:39" ht="9.75" customHeight="1" x14ac:dyDescent="0.25">
      <c r="A535" s="1"/>
      <c r="B535" s="26"/>
      <c r="C535" s="27"/>
      <c r="D535" s="27"/>
      <c r="E535" s="27"/>
      <c r="F535" s="26"/>
      <c r="G535" s="26"/>
      <c r="H535" s="26"/>
      <c r="I535" s="34"/>
      <c r="J535" s="34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116"/>
      <c r="V535" s="2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</row>
    <row r="536" spans="1:39" ht="9.75" customHeight="1" x14ac:dyDescent="0.25">
      <c r="A536" s="1"/>
      <c r="B536" s="26"/>
      <c r="C536" s="27"/>
      <c r="D536" s="27"/>
      <c r="E536" s="27"/>
      <c r="F536" s="26"/>
      <c r="G536" s="26"/>
      <c r="H536" s="26"/>
      <c r="I536" s="34"/>
      <c r="J536" s="34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116"/>
      <c r="V536" s="2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</row>
    <row r="537" spans="1:39" ht="9.75" customHeight="1" x14ac:dyDescent="0.25">
      <c r="A537" s="1"/>
      <c r="B537" s="26"/>
      <c r="C537" s="27"/>
      <c r="D537" s="27"/>
      <c r="E537" s="27"/>
      <c r="F537" s="26"/>
      <c r="G537" s="26"/>
      <c r="H537" s="26"/>
      <c r="I537" s="34"/>
      <c r="J537" s="34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116"/>
      <c r="V537" s="2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</row>
    <row r="538" spans="1:39" ht="9.75" customHeight="1" x14ac:dyDescent="0.25">
      <c r="A538" s="1"/>
      <c r="B538" s="26"/>
      <c r="C538" s="27"/>
      <c r="D538" s="27"/>
      <c r="E538" s="27"/>
      <c r="F538" s="26"/>
      <c r="G538" s="26"/>
      <c r="H538" s="26"/>
      <c r="I538" s="34"/>
      <c r="J538" s="34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116"/>
      <c r="V538" s="2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</row>
    <row r="539" spans="1:39" ht="9.75" customHeight="1" x14ac:dyDescent="0.25">
      <c r="A539" s="1"/>
      <c r="B539" s="26"/>
      <c r="C539" s="27"/>
      <c r="D539" s="27"/>
      <c r="E539" s="27"/>
      <c r="F539" s="26"/>
      <c r="G539" s="26"/>
      <c r="H539" s="26"/>
      <c r="I539" s="34"/>
      <c r="J539" s="34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116"/>
      <c r="V539" s="2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</row>
    <row r="540" spans="1:39" ht="9.75" customHeight="1" x14ac:dyDescent="0.25">
      <c r="A540" s="1"/>
      <c r="B540" s="26"/>
      <c r="C540" s="27"/>
      <c r="D540" s="27"/>
      <c r="E540" s="27"/>
      <c r="F540" s="26"/>
      <c r="G540" s="26"/>
      <c r="H540" s="26"/>
      <c r="I540" s="34"/>
      <c r="J540" s="34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116"/>
      <c r="V540" s="2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</row>
    <row r="541" spans="1:39" ht="9.75" customHeight="1" x14ac:dyDescent="0.25">
      <c r="A541" s="1"/>
      <c r="B541" s="26"/>
      <c r="C541" s="27"/>
      <c r="D541" s="27"/>
      <c r="E541" s="27"/>
      <c r="F541" s="26"/>
      <c r="G541" s="26"/>
      <c r="H541" s="26"/>
      <c r="I541" s="34"/>
      <c r="J541" s="34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116"/>
      <c r="V541" s="2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</row>
    <row r="542" spans="1:39" ht="9.75" customHeight="1" x14ac:dyDescent="0.25">
      <c r="A542" s="1"/>
      <c r="B542" s="26"/>
      <c r="C542" s="27"/>
      <c r="D542" s="27"/>
      <c r="E542" s="27"/>
      <c r="F542" s="26"/>
      <c r="G542" s="26"/>
      <c r="H542" s="26"/>
      <c r="I542" s="34"/>
      <c r="J542" s="34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116"/>
      <c r="V542" s="2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</row>
    <row r="543" spans="1:39" ht="9.75" customHeight="1" x14ac:dyDescent="0.25">
      <c r="A543" s="1"/>
      <c r="B543" s="26"/>
      <c r="C543" s="27"/>
      <c r="D543" s="27"/>
      <c r="E543" s="27"/>
      <c r="F543" s="26"/>
      <c r="G543" s="26"/>
      <c r="H543" s="26"/>
      <c r="I543" s="34"/>
      <c r="J543" s="34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116"/>
      <c r="V543" s="2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</row>
    <row r="544" spans="1:39" ht="9.75" customHeight="1" x14ac:dyDescent="0.25">
      <c r="A544" s="1"/>
      <c r="B544" s="26"/>
      <c r="C544" s="27"/>
      <c r="D544" s="27"/>
      <c r="E544" s="27"/>
      <c r="F544" s="26"/>
      <c r="G544" s="26"/>
      <c r="H544" s="26"/>
      <c r="I544" s="34"/>
      <c r="J544" s="34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116"/>
      <c r="V544" s="2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</row>
    <row r="545" spans="1:39" ht="9.75" customHeight="1" x14ac:dyDescent="0.25">
      <c r="A545" s="1"/>
      <c r="B545" s="26"/>
      <c r="C545" s="27"/>
      <c r="D545" s="27"/>
      <c r="E545" s="27"/>
      <c r="F545" s="26"/>
      <c r="G545" s="26"/>
      <c r="H545" s="26"/>
      <c r="I545" s="34"/>
      <c r="J545" s="34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116"/>
      <c r="V545" s="2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</row>
    <row r="546" spans="1:39" ht="9.75" customHeight="1" x14ac:dyDescent="0.25">
      <c r="A546" s="1"/>
      <c r="B546" s="26"/>
      <c r="C546" s="27"/>
      <c r="D546" s="27"/>
      <c r="E546" s="27"/>
      <c r="F546" s="26"/>
      <c r="G546" s="26"/>
      <c r="H546" s="26"/>
      <c r="I546" s="34"/>
      <c r="J546" s="34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116"/>
      <c r="V546" s="2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</row>
    <row r="547" spans="1:39" ht="9.75" customHeight="1" x14ac:dyDescent="0.25">
      <c r="A547" s="1"/>
      <c r="B547" s="26"/>
      <c r="C547" s="27"/>
      <c r="D547" s="27"/>
      <c r="E547" s="27"/>
      <c r="F547" s="26"/>
      <c r="G547" s="26"/>
      <c r="H547" s="26"/>
      <c r="I547" s="34"/>
      <c r="J547" s="34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116"/>
      <c r="V547" s="2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</row>
    <row r="548" spans="1:39" ht="9.75" customHeight="1" x14ac:dyDescent="0.25">
      <c r="A548" s="1"/>
      <c r="B548" s="26"/>
      <c r="C548" s="27"/>
      <c r="D548" s="27"/>
      <c r="E548" s="27"/>
      <c r="F548" s="26"/>
      <c r="G548" s="26"/>
      <c r="H548" s="26"/>
      <c r="I548" s="34"/>
      <c r="J548" s="34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116"/>
      <c r="V548" s="2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</row>
    <row r="549" spans="1:39" ht="9.75" customHeight="1" x14ac:dyDescent="0.25">
      <c r="A549" s="1"/>
      <c r="B549" s="26"/>
      <c r="C549" s="27"/>
      <c r="D549" s="27"/>
      <c r="E549" s="27"/>
      <c r="F549" s="26"/>
      <c r="G549" s="26"/>
      <c r="H549" s="26"/>
      <c r="I549" s="34"/>
      <c r="J549" s="34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116"/>
      <c r="V549" s="2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</row>
    <row r="550" spans="1:39" ht="9.75" customHeight="1" x14ac:dyDescent="0.25">
      <c r="A550" s="1"/>
      <c r="B550" s="26"/>
      <c r="C550" s="27"/>
      <c r="D550" s="27"/>
      <c r="E550" s="27"/>
      <c r="F550" s="26"/>
      <c r="G550" s="26"/>
      <c r="H550" s="26"/>
      <c r="I550" s="34"/>
      <c r="J550" s="34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116"/>
      <c r="V550" s="2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</row>
    <row r="551" spans="1:39" ht="9.75" customHeight="1" x14ac:dyDescent="0.25">
      <c r="A551" s="1"/>
      <c r="B551" s="26"/>
      <c r="C551" s="27"/>
      <c r="D551" s="27"/>
      <c r="E551" s="27"/>
      <c r="F551" s="26"/>
      <c r="G551" s="26"/>
      <c r="H551" s="26"/>
      <c r="I551" s="34"/>
      <c r="J551" s="34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116"/>
      <c r="V551" s="2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</row>
    <row r="552" spans="1:39" ht="9.75" customHeight="1" x14ac:dyDescent="0.25">
      <c r="A552" s="1"/>
      <c r="B552" s="26"/>
      <c r="C552" s="27"/>
      <c r="D552" s="27"/>
      <c r="E552" s="27"/>
      <c r="F552" s="26"/>
      <c r="G552" s="26"/>
      <c r="H552" s="26"/>
      <c r="I552" s="34"/>
      <c r="J552" s="34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116"/>
      <c r="V552" s="2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</row>
    <row r="553" spans="1:39" ht="9.75" customHeight="1" x14ac:dyDescent="0.25">
      <c r="A553" s="1"/>
      <c r="B553" s="26"/>
      <c r="C553" s="27"/>
      <c r="D553" s="27"/>
      <c r="E553" s="27"/>
      <c r="F553" s="26"/>
      <c r="G553" s="26"/>
      <c r="H553" s="26"/>
      <c r="I553" s="34"/>
      <c r="J553" s="34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116"/>
      <c r="V553" s="2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</row>
    <row r="554" spans="1:39" ht="9.75" customHeight="1" x14ac:dyDescent="0.2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121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</row>
    <row r="555" spans="1:39" ht="9.75" customHeight="1" x14ac:dyDescent="0.2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121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</row>
    <row r="556" spans="1:39" ht="9.75" customHeight="1" x14ac:dyDescent="0.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117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</row>
    <row r="557" spans="1:39" ht="9.75" customHeight="1" x14ac:dyDescent="0.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117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</row>
    <row r="558" spans="1:39" ht="9.75" customHeight="1" x14ac:dyDescent="0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117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</row>
    <row r="559" spans="1:39" ht="9.75" customHeight="1" x14ac:dyDescent="0.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117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</row>
    <row r="560" spans="1:39" ht="9.75" customHeight="1" x14ac:dyDescent="0.25">
      <c r="A560" s="1"/>
      <c r="B560" s="26"/>
      <c r="C560" s="27"/>
      <c r="D560" s="27"/>
      <c r="E560" s="27"/>
      <c r="F560" s="26"/>
      <c r="G560" s="26"/>
      <c r="H560" s="26"/>
      <c r="I560" s="34"/>
      <c r="J560" s="34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116"/>
      <c r="V560" s="2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</row>
    <row r="561" spans="1:39" ht="9.75" customHeight="1" x14ac:dyDescent="0.25">
      <c r="A561" s="1"/>
      <c r="B561" s="26"/>
      <c r="C561" s="27"/>
      <c r="D561" s="27"/>
      <c r="E561" s="27"/>
      <c r="F561" s="26"/>
      <c r="G561" s="26"/>
      <c r="H561" s="26"/>
      <c r="I561" s="34"/>
      <c r="J561" s="34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116"/>
      <c r="V561" s="2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</row>
    <row r="562" spans="1:39" ht="9.75" customHeight="1" x14ac:dyDescent="0.25">
      <c r="A562" s="1"/>
      <c r="B562" s="26"/>
      <c r="C562" s="27"/>
      <c r="D562" s="27"/>
      <c r="E562" s="27"/>
      <c r="F562" s="26"/>
      <c r="G562" s="26"/>
      <c r="H562" s="26"/>
      <c r="I562" s="34"/>
      <c r="J562" s="34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116"/>
      <c r="V562" s="2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</row>
    <row r="563" spans="1:39" ht="9.75" customHeight="1" x14ac:dyDescent="0.25">
      <c r="A563" s="1"/>
      <c r="B563" s="26"/>
      <c r="C563" s="27"/>
      <c r="D563" s="27"/>
      <c r="E563" s="27"/>
      <c r="F563" s="26"/>
      <c r="G563" s="26"/>
      <c r="H563" s="26"/>
      <c r="I563" s="34"/>
      <c r="J563" s="34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116"/>
      <c r="V563" s="2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</row>
    <row r="564" spans="1:39" ht="9.75" customHeight="1" x14ac:dyDescent="0.25">
      <c r="A564" s="1"/>
      <c r="B564" s="26"/>
      <c r="C564" s="27"/>
      <c r="D564" s="27"/>
      <c r="E564" s="27"/>
      <c r="F564" s="26"/>
      <c r="G564" s="26"/>
      <c r="H564" s="26"/>
      <c r="I564" s="34"/>
      <c r="J564" s="34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116"/>
      <c r="V564" s="2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</row>
    <row r="565" spans="1:39" ht="9.75" customHeight="1" x14ac:dyDescent="0.25">
      <c r="A565" s="1"/>
      <c r="B565" s="26"/>
      <c r="C565" s="27"/>
      <c r="D565" s="27"/>
      <c r="E565" s="27"/>
      <c r="F565" s="26"/>
      <c r="G565" s="26"/>
      <c r="H565" s="26"/>
      <c r="I565" s="34"/>
      <c r="J565" s="34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116"/>
      <c r="V565" s="2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</row>
    <row r="566" spans="1:39" ht="9.75" customHeight="1" x14ac:dyDescent="0.25">
      <c r="A566" s="1"/>
      <c r="B566" s="26"/>
      <c r="C566" s="27"/>
      <c r="D566" s="27"/>
      <c r="E566" s="27"/>
      <c r="F566" s="26"/>
      <c r="G566" s="26"/>
      <c r="H566" s="26"/>
      <c r="I566" s="34"/>
      <c r="J566" s="34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116"/>
      <c r="V566" s="2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</row>
    <row r="567" spans="1:39" ht="9.75" customHeight="1" x14ac:dyDescent="0.25">
      <c r="A567" s="1"/>
      <c r="B567" s="26"/>
      <c r="C567" s="27"/>
      <c r="D567" s="27"/>
      <c r="E567" s="27"/>
      <c r="F567" s="26"/>
      <c r="G567" s="26"/>
      <c r="H567" s="26"/>
      <c r="I567" s="34"/>
      <c r="J567" s="34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116"/>
      <c r="V567" s="2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</row>
    <row r="568" spans="1:39" ht="9.75" customHeight="1" x14ac:dyDescent="0.25">
      <c r="A568" s="1"/>
      <c r="B568" s="26"/>
      <c r="C568" s="27"/>
      <c r="D568" s="27"/>
      <c r="E568" s="27"/>
      <c r="F568" s="26"/>
      <c r="G568" s="26"/>
      <c r="H568" s="26"/>
      <c r="I568" s="34"/>
      <c r="J568" s="34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116"/>
      <c r="V568" s="2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</row>
    <row r="569" spans="1:39" ht="9.75" customHeight="1" x14ac:dyDescent="0.25">
      <c r="A569" s="1"/>
      <c r="B569" s="26"/>
      <c r="C569" s="27"/>
      <c r="D569" s="27"/>
      <c r="E569" s="27"/>
      <c r="F569" s="26"/>
      <c r="G569" s="26"/>
      <c r="H569" s="26"/>
      <c r="I569" s="34"/>
      <c r="J569" s="34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116"/>
      <c r="V569" s="2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</row>
    <row r="570" spans="1:39" ht="9.75" customHeight="1" x14ac:dyDescent="0.25">
      <c r="A570" s="1"/>
      <c r="B570" s="26"/>
      <c r="C570" s="27"/>
      <c r="D570" s="27"/>
      <c r="E570" s="27"/>
      <c r="F570" s="26"/>
      <c r="G570" s="26"/>
      <c r="H570" s="26"/>
      <c r="I570" s="34"/>
      <c r="J570" s="34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116"/>
      <c r="V570" s="2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</row>
    <row r="571" spans="1:39" ht="9.75" customHeight="1" x14ac:dyDescent="0.25">
      <c r="A571" s="1"/>
      <c r="B571" s="26"/>
      <c r="C571" s="27"/>
      <c r="D571" s="27"/>
      <c r="E571" s="27"/>
      <c r="F571" s="26"/>
      <c r="G571" s="26"/>
      <c r="H571" s="26"/>
      <c r="I571" s="34"/>
      <c r="J571" s="34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116"/>
      <c r="V571" s="2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</row>
    <row r="572" spans="1:39" ht="9.75" customHeight="1" x14ac:dyDescent="0.25">
      <c r="A572" s="1"/>
      <c r="B572" s="26"/>
      <c r="C572" s="27"/>
      <c r="D572" s="27"/>
      <c r="E572" s="27"/>
      <c r="F572" s="26"/>
      <c r="G572" s="26"/>
      <c r="H572" s="26"/>
      <c r="I572" s="34"/>
      <c r="J572" s="34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116"/>
      <c r="V572" s="2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</row>
    <row r="573" spans="1:39" ht="9.75" customHeight="1" x14ac:dyDescent="0.25">
      <c r="A573" s="1"/>
      <c r="B573" s="26"/>
      <c r="C573" s="27"/>
      <c r="D573" s="27"/>
      <c r="E573" s="27"/>
      <c r="F573" s="26"/>
      <c r="G573" s="26"/>
      <c r="H573" s="26"/>
      <c r="I573" s="34"/>
      <c r="J573" s="34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116"/>
      <c r="V573" s="2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</row>
    <row r="574" spans="1:39" ht="9.75" customHeight="1" x14ac:dyDescent="0.25">
      <c r="A574" s="1"/>
      <c r="B574" s="26"/>
      <c r="C574" s="27"/>
      <c r="D574" s="27"/>
      <c r="E574" s="27"/>
      <c r="F574" s="26"/>
      <c r="G574" s="26"/>
      <c r="H574" s="26"/>
      <c r="I574" s="34"/>
      <c r="J574" s="34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116"/>
      <c r="V574" s="2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</row>
    <row r="575" spans="1:39" ht="9.75" customHeight="1" x14ac:dyDescent="0.25">
      <c r="A575" s="1"/>
      <c r="B575" s="26"/>
      <c r="C575" s="27"/>
      <c r="D575" s="27"/>
      <c r="E575" s="27"/>
      <c r="F575" s="26"/>
      <c r="G575" s="26"/>
      <c r="H575" s="26"/>
      <c r="I575" s="34"/>
      <c r="J575" s="34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116"/>
      <c r="V575" s="2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</row>
    <row r="576" spans="1:39" ht="9.75" customHeight="1" x14ac:dyDescent="0.25">
      <c r="A576" s="1"/>
      <c r="B576" s="26"/>
      <c r="C576" s="27"/>
      <c r="D576" s="27"/>
      <c r="E576" s="27"/>
      <c r="F576" s="26"/>
      <c r="G576" s="26"/>
      <c r="H576" s="26"/>
      <c r="I576" s="34"/>
      <c r="J576" s="34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116"/>
      <c r="V576" s="2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</row>
    <row r="577" spans="1:39" ht="9.75" customHeight="1" x14ac:dyDescent="0.25">
      <c r="A577" s="1"/>
      <c r="B577" s="26"/>
      <c r="C577" s="27"/>
      <c r="D577" s="27"/>
      <c r="E577" s="27"/>
      <c r="F577" s="26"/>
      <c r="G577" s="26"/>
      <c r="H577" s="26"/>
      <c r="I577" s="34"/>
      <c r="J577" s="34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116"/>
      <c r="V577" s="2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</row>
    <row r="578" spans="1:39" ht="9.75" customHeight="1" x14ac:dyDescent="0.25">
      <c r="A578" s="1"/>
      <c r="B578" s="26"/>
      <c r="C578" s="27"/>
      <c r="D578" s="27"/>
      <c r="E578" s="27"/>
      <c r="F578" s="26"/>
      <c r="G578" s="26"/>
      <c r="H578" s="26"/>
      <c r="I578" s="34"/>
      <c r="J578" s="34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116"/>
      <c r="V578" s="2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</row>
    <row r="579" spans="1:39" ht="9.75" customHeight="1" x14ac:dyDescent="0.25">
      <c r="A579" s="1"/>
      <c r="B579" s="26"/>
      <c r="C579" s="27"/>
      <c r="D579" s="27"/>
      <c r="E579" s="27"/>
      <c r="F579" s="26"/>
      <c r="G579" s="26"/>
      <c r="H579" s="26"/>
      <c r="I579" s="34"/>
      <c r="J579" s="34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116"/>
      <c r="V579" s="2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</row>
    <row r="580" spans="1:39" ht="9.75" customHeight="1" x14ac:dyDescent="0.25">
      <c r="A580" s="1"/>
      <c r="B580" s="26"/>
      <c r="C580" s="27"/>
      <c r="D580" s="27"/>
      <c r="E580" s="27"/>
      <c r="F580" s="26"/>
      <c r="G580" s="26"/>
      <c r="H580" s="26"/>
      <c r="I580" s="34"/>
      <c r="J580" s="34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116"/>
      <c r="V580" s="2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</row>
    <row r="581" spans="1:39" ht="9.75" customHeight="1" x14ac:dyDescent="0.25">
      <c r="A581" s="1"/>
      <c r="B581" s="26"/>
      <c r="C581" s="27"/>
      <c r="D581" s="27"/>
      <c r="E581" s="27"/>
      <c r="F581" s="26"/>
      <c r="G581" s="26"/>
      <c r="H581" s="26"/>
      <c r="I581" s="34"/>
      <c r="J581" s="34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116"/>
      <c r="V581" s="2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</row>
    <row r="582" spans="1:39" ht="9.75" customHeight="1" x14ac:dyDescent="0.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117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</row>
    <row r="583" spans="1:39" ht="9.75" customHeight="1" x14ac:dyDescent="0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117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</row>
    <row r="584" spans="1:39" ht="9.75" customHeight="1" x14ac:dyDescent="0.25">
      <c r="A584" s="1"/>
      <c r="B584" s="26"/>
      <c r="C584" s="27"/>
      <c r="D584" s="27"/>
      <c r="E584" s="27"/>
      <c r="F584" s="26"/>
      <c r="G584" s="26"/>
      <c r="H584" s="26"/>
      <c r="I584" s="34"/>
      <c r="J584" s="34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116"/>
      <c r="V584" s="2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</row>
    <row r="585" spans="1:39" ht="9.75" customHeight="1" x14ac:dyDescent="0.25">
      <c r="A585" s="1"/>
      <c r="B585" s="26"/>
      <c r="C585" s="27"/>
      <c r="D585" s="27"/>
      <c r="E585" s="27"/>
      <c r="F585" s="26"/>
      <c r="G585" s="26"/>
      <c r="H585" s="26"/>
      <c r="I585" s="34"/>
      <c r="J585" s="34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116"/>
      <c r="V585" s="2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</row>
    <row r="586" spans="1:39" ht="9.75" customHeight="1" x14ac:dyDescent="0.25">
      <c r="A586" s="1"/>
      <c r="B586" s="26"/>
      <c r="C586" s="27"/>
      <c r="D586" s="27"/>
      <c r="E586" s="27"/>
      <c r="F586" s="26"/>
      <c r="G586" s="26"/>
      <c r="H586" s="26"/>
      <c r="I586" s="34"/>
      <c r="J586" s="34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116"/>
      <c r="V586" s="2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</row>
    <row r="587" spans="1:39" ht="9.75" customHeight="1" x14ac:dyDescent="0.25">
      <c r="A587" s="1"/>
      <c r="B587" s="26"/>
      <c r="C587" s="27"/>
      <c r="D587" s="27"/>
      <c r="E587" s="27"/>
      <c r="F587" s="26"/>
      <c r="G587" s="26"/>
      <c r="H587" s="26"/>
      <c r="I587" s="34"/>
      <c r="J587" s="34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116"/>
      <c r="V587" s="2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</row>
    <row r="588" spans="1:39" ht="9.75" customHeight="1" x14ac:dyDescent="0.25">
      <c r="A588" s="1"/>
      <c r="B588" s="26"/>
      <c r="C588" s="27"/>
      <c r="D588" s="27"/>
      <c r="E588" s="27"/>
      <c r="F588" s="26"/>
      <c r="G588" s="26"/>
      <c r="H588" s="26"/>
      <c r="I588" s="34"/>
      <c r="J588" s="34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116"/>
      <c r="V588" s="2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</row>
    <row r="589" spans="1:39" ht="9.75" customHeight="1" x14ac:dyDescent="0.25">
      <c r="A589" s="1"/>
      <c r="B589" s="26"/>
      <c r="C589" s="27"/>
      <c r="D589" s="27"/>
      <c r="E589" s="27"/>
      <c r="F589" s="26"/>
      <c r="G589" s="26"/>
      <c r="H589" s="26"/>
      <c r="I589" s="34"/>
      <c r="J589" s="34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116"/>
      <c r="V589" s="2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</row>
    <row r="590" spans="1:39" ht="9.75" customHeight="1" x14ac:dyDescent="0.25">
      <c r="A590" s="1"/>
      <c r="B590" s="26"/>
      <c r="C590" s="27"/>
      <c r="D590" s="27"/>
      <c r="E590" s="27"/>
      <c r="F590" s="26"/>
      <c r="G590" s="26"/>
      <c r="H590" s="26"/>
      <c r="I590" s="34"/>
      <c r="J590" s="34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116"/>
      <c r="V590" s="2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</row>
    <row r="591" spans="1:39" ht="9.75" customHeight="1" x14ac:dyDescent="0.25">
      <c r="A591" s="1"/>
      <c r="B591" s="26"/>
      <c r="C591" s="27"/>
      <c r="D591" s="27"/>
      <c r="E591" s="27"/>
      <c r="F591" s="26"/>
      <c r="G591" s="26"/>
      <c r="H591" s="26"/>
      <c r="I591" s="34"/>
      <c r="J591" s="34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116"/>
      <c r="V591" s="2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</row>
    <row r="592" spans="1:39" ht="9.75" customHeight="1" x14ac:dyDescent="0.25">
      <c r="A592" s="1"/>
      <c r="B592" s="26"/>
      <c r="C592" s="27"/>
      <c r="D592" s="27"/>
      <c r="E592" s="27"/>
      <c r="F592" s="26"/>
      <c r="G592" s="26"/>
      <c r="H592" s="26"/>
      <c r="I592" s="34"/>
      <c r="J592" s="34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116"/>
      <c r="V592" s="2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</row>
    <row r="593" spans="1:39" ht="9.75" customHeight="1" x14ac:dyDescent="0.25">
      <c r="A593" s="1"/>
      <c r="B593" s="26"/>
      <c r="C593" s="27"/>
      <c r="D593" s="27"/>
      <c r="E593" s="27"/>
      <c r="F593" s="26"/>
      <c r="G593" s="26"/>
      <c r="H593" s="26"/>
      <c r="I593" s="34"/>
      <c r="J593" s="34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116"/>
      <c r="V593" s="2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</row>
    <row r="594" spans="1:39" ht="9.75" customHeight="1" x14ac:dyDescent="0.25">
      <c r="A594" s="1"/>
      <c r="B594" s="26"/>
      <c r="C594" s="27"/>
      <c r="D594" s="27"/>
      <c r="E594" s="27"/>
      <c r="F594" s="26"/>
      <c r="G594" s="26"/>
      <c r="H594" s="26"/>
      <c r="I594" s="34"/>
      <c r="J594" s="34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116"/>
      <c r="V594" s="2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</row>
    <row r="595" spans="1:39" ht="9.75" customHeight="1" x14ac:dyDescent="0.25">
      <c r="A595" s="1"/>
      <c r="B595" s="26"/>
      <c r="C595" s="27"/>
      <c r="D595" s="27"/>
      <c r="E595" s="27"/>
      <c r="F595" s="26"/>
      <c r="G595" s="26"/>
      <c r="H595" s="26"/>
      <c r="I595" s="34"/>
      <c r="J595" s="34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116"/>
      <c r="V595" s="2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</row>
    <row r="596" spans="1:39" ht="9.75" customHeight="1" x14ac:dyDescent="0.25">
      <c r="A596" s="1"/>
      <c r="B596" s="26"/>
      <c r="C596" s="27"/>
      <c r="D596" s="27"/>
      <c r="E596" s="27"/>
      <c r="F596" s="26"/>
      <c r="G596" s="26"/>
      <c r="H596" s="26"/>
      <c r="I596" s="34"/>
      <c r="J596" s="34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116"/>
      <c r="V596" s="2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</row>
    <row r="597" spans="1:39" ht="9.75" customHeight="1" x14ac:dyDescent="0.25">
      <c r="A597" s="1"/>
      <c r="B597" s="26"/>
      <c r="C597" s="27"/>
      <c r="D597" s="27"/>
      <c r="E597" s="27"/>
      <c r="F597" s="26"/>
      <c r="G597" s="26"/>
      <c r="H597" s="26"/>
      <c r="I597" s="34"/>
      <c r="J597" s="34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116"/>
      <c r="V597" s="2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</row>
    <row r="598" spans="1:39" ht="9.75" customHeight="1" x14ac:dyDescent="0.25">
      <c r="A598" s="1"/>
      <c r="B598" s="26"/>
      <c r="C598" s="27"/>
      <c r="D598" s="27"/>
      <c r="E598" s="27"/>
      <c r="F598" s="26"/>
      <c r="G598" s="26"/>
      <c r="H598" s="26"/>
      <c r="I598" s="34"/>
      <c r="J598" s="34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116"/>
      <c r="V598" s="2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</row>
    <row r="599" spans="1:39" ht="9.75" customHeight="1" x14ac:dyDescent="0.25">
      <c r="A599" s="1"/>
      <c r="B599" s="26"/>
      <c r="C599" s="27"/>
      <c r="D599" s="27"/>
      <c r="E599" s="27"/>
      <c r="F599" s="26"/>
      <c r="G599" s="26"/>
      <c r="H599" s="26"/>
      <c r="I599" s="34"/>
      <c r="J599" s="34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116"/>
      <c r="V599" s="2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</row>
    <row r="600" spans="1:39" ht="9.75" customHeight="1" x14ac:dyDescent="0.25">
      <c r="A600" s="1"/>
      <c r="B600" s="26"/>
      <c r="C600" s="27"/>
      <c r="D600" s="27"/>
      <c r="E600" s="27"/>
      <c r="F600" s="26"/>
      <c r="G600" s="26"/>
      <c r="H600" s="26"/>
      <c r="I600" s="34"/>
      <c r="J600" s="34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116"/>
      <c r="V600" s="2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</row>
    <row r="601" spans="1:39" ht="9.75" customHeight="1" x14ac:dyDescent="0.25">
      <c r="A601" s="1"/>
      <c r="B601" s="26"/>
      <c r="C601" s="27"/>
      <c r="D601" s="27"/>
      <c r="E601" s="27"/>
      <c r="F601" s="26"/>
      <c r="G601" s="26"/>
      <c r="H601" s="26"/>
      <c r="I601" s="34"/>
      <c r="J601" s="34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116"/>
      <c r="V601" s="2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</row>
    <row r="602" spans="1:39" ht="9.75" customHeight="1" x14ac:dyDescent="0.25">
      <c r="A602" s="1"/>
      <c r="B602" s="26"/>
      <c r="C602" s="27"/>
      <c r="D602" s="27"/>
      <c r="E602" s="27"/>
      <c r="F602" s="26"/>
      <c r="G602" s="26"/>
      <c r="H602" s="26"/>
      <c r="I602" s="34"/>
      <c r="J602" s="34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116"/>
      <c r="V602" s="2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</row>
    <row r="603" spans="1:39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17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17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9.75" customHeight="1" x14ac:dyDescent="0.25">
      <c r="A605" s="1"/>
      <c r="B605" s="26"/>
      <c r="C605" s="27"/>
      <c r="D605" s="27"/>
      <c r="E605" s="27"/>
      <c r="F605" s="26"/>
      <c r="G605" s="26"/>
      <c r="H605" s="26"/>
      <c r="I605" s="34"/>
      <c r="J605" s="34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116"/>
      <c r="V605" s="2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</row>
    <row r="606" spans="1:39" ht="9.75" customHeight="1" x14ac:dyDescent="0.25">
      <c r="A606" s="1"/>
      <c r="B606" s="26"/>
      <c r="C606" s="27"/>
      <c r="D606" s="27"/>
      <c r="E606" s="27"/>
      <c r="F606" s="26"/>
      <c r="G606" s="26"/>
      <c r="H606" s="26"/>
      <c r="I606" s="34"/>
      <c r="J606" s="34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116"/>
      <c r="V606" s="2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</row>
    <row r="607" spans="1:39" ht="9.75" customHeight="1" x14ac:dyDescent="0.25">
      <c r="A607" s="1"/>
      <c r="B607" s="26"/>
      <c r="C607" s="27"/>
      <c r="D607" s="27"/>
      <c r="E607" s="27"/>
      <c r="F607" s="26"/>
      <c r="G607" s="26"/>
      <c r="H607" s="26"/>
      <c r="I607" s="34"/>
      <c r="J607" s="34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116"/>
      <c r="V607" s="2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</row>
    <row r="608" spans="1:39" ht="9.75" customHeight="1" x14ac:dyDescent="0.25">
      <c r="A608" s="1"/>
      <c r="B608" s="26"/>
      <c r="C608" s="27"/>
      <c r="D608" s="27"/>
      <c r="E608" s="27"/>
      <c r="F608" s="26"/>
      <c r="G608" s="26"/>
      <c r="H608" s="26"/>
      <c r="I608" s="34"/>
      <c r="J608" s="34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116"/>
      <c r="V608" s="2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</row>
    <row r="609" spans="1:39" ht="9.75" customHeight="1" x14ac:dyDescent="0.25">
      <c r="A609" s="1"/>
      <c r="B609" s="26"/>
      <c r="C609" s="27"/>
      <c r="D609" s="27"/>
      <c r="E609" s="27"/>
      <c r="F609" s="26"/>
      <c r="G609" s="26"/>
      <c r="H609" s="26"/>
      <c r="I609" s="34"/>
      <c r="J609" s="34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116"/>
      <c r="V609" s="2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</row>
    <row r="610" spans="1:39" ht="9.75" customHeight="1" x14ac:dyDescent="0.25">
      <c r="A610" s="1"/>
      <c r="B610" s="26"/>
      <c r="C610" s="27"/>
      <c r="D610" s="27"/>
      <c r="E610" s="27"/>
      <c r="F610" s="26"/>
      <c r="G610" s="26"/>
      <c r="H610" s="26"/>
      <c r="I610" s="34"/>
      <c r="J610" s="34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116"/>
      <c r="V610" s="2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</row>
    <row r="611" spans="1:39" ht="9.75" customHeight="1" x14ac:dyDescent="0.25">
      <c r="A611" s="1"/>
      <c r="B611" s="26"/>
      <c r="C611" s="27"/>
      <c r="D611" s="27"/>
      <c r="E611" s="27"/>
      <c r="F611" s="26"/>
      <c r="G611" s="26"/>
      <c r="H611" s="26"/>
      <c r="I611" s="34"/>
      <c r="J611" s="34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116"/>
      <c r="V611" s="2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</row>
    <row r="612" spans="1:39" ht="9.75" customHeight="1" x14ac:dyDescent="0.25">
      <c r="A612" s="1"/>
      <c r="B612" s="26"/>
      <c r="C612" s="27"/>
      <c r="D612" s="27"/>
      <c r="E612" s="27"/>
      <c r="F612" s="26"/>
      <c r="G612" s="26"/>
      <c r="H612" s="26"/>
      <c r="I612" s="34"/>
      <c r="J612" s="34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116"/>
      <c r="V612" s="2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</row>
    <row r="613" spans="1:39" ht="9.75" customHeight="1" x14ac:dyDescent="0.25">
      <c r="A613" s="1"/>
      <c r="B613" s="26"/>
      <c r="C613" s="27"/>
      <c r="D613" s="27"/>
      <c r="E613" s="27"/>
      <c r="F613" s="26"/>
      <c r="G613" s="26"/>
      <c r="H613" s="26"/>
      <c r="I613" s="34"/>
      <c r="J613" s="34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116"/>
      <c r="V613" s="2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</row>
    <row r="614" spans="1:39" ht="9.75" customHeight="1" x14ac:dyDescent="0.25">
      <c r="A614" s="1"/>
      <c r="B614" s="26"/>
      <c r="C614" s="27"/>
      <c r="D614" s="27"/>
      <c r="E614" s="27"/>
      <c r="F614" s="26"/>
      <c r="G614" s="26"/>
      <c r="H614" s="26"/>
      <c r="I614" s="34"/>
      <c r="J614" s="34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116"/>
      <c r="V614" s="2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</row>
    <row r="615" spans="1:39" ht="9.75" customHeight="1" x14ac:dyDescent="0.25">
      <c r="A615" s="1"/>
      <c r="B615" s="26"/>
      <c r="C615" s="27"/>
      <c r="D615" s="27"/>
      <c r="E615" s="27"/>
      <c r="F615" s="26"/>
      <c r="G615" s="26"/>
      <c r="H615" s="26"/>
      <c r="I615" s="34"/>
      <c r="J615" s="34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116"/>
      <c r="V615" s="2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</row>
    <row r="616" spans="1:39" ht="9.75" customHeight="1" x14ac:dyDescent="0.25">
      <c r="A616" s="1"/>
      <c r="B616" s="26"/>
      <c r="C616" s="27"/>
      <c r="D616" s="27"/>
      <c r="E616" s="27"/>
      <c r="F616" s="26"/>
      <c r="G616" s="26"/>
      <c r="H616" s="26"/>
      <c r="I616" s="34"/>
      <c r="J616" s="34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116"/>
      <c r="V616" s="2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</row>
    <row r="617" spans="1:39" ht="9.75" customHeight="1" x14ac:dyDescent="0.25">
      <c r="A617" s="1"/>
      <c r="B617" s="26"/>
      <c r="C617" s="27"/>
      <c r="D617" s="27"/>
      <c r="E617" s="27"/>
      <c r="F617" s="26"/>
      <c r="G617" s="26"/>
      <c r="H617" s="26"/>
      <c r="I617" s="34"/>
      <c r="J617" s="34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116"/>
      <c r="V617" s="2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</row>
    <row r="618" spans="1:39" ht="9.75" customHeight="1" x14ac:dyDescent="0.25">
      <c r="A618" s="1"/>
      <c r="B618" s="26"/>
      <c r="C618" s="27"/>
      <c r="D618" s="27"/>
      <c r="E618" s="27"/>
      <c r="F618" s="26"/>
      <c r="G618" s="26"/>
      <c r="H618" s="26"/>
      <c r="I618" s="34"/>
      <c r="J618" s="34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116"/>
      <c r="V618" s="2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</row>
    <row r="619" spans="1:39" ht="9.75" customHeight="1" x14ac:dyDescent="0.25">
      <c r="A619" s="1"/>
      <c r="B619" s="26"/>
      <c r="C619" s="27"/>
      <c r="D619" s="27"/>
      <c r="E619" s="27"/>
      <c r="F619" s="26"/>
      <c r="G619" s="26"/>
      <c r="H619" s="26"/>
      <c r="I619" s="34"/>
      <c r="J619" s="34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116"/>
      <c r="V619" s="2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</row>
    <row r="620" spans="1:39" ht="9.75" customHeight="1" x14ac:dyDescent="0.25">
      <c r="A620" s="1"/>
      <c r="B620" s="26"/>
      <c r="C620" s="27"/>
      <c r="D620" s="27"/>
      <c r="E620" s="27"/>
      <c r="F620" s="26"/>
      <c r="G620" s="26"/>
      <c r="H620" s="26"/>
      <c r="I620" s="34"/>
      <c r="J620" s="34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116"/>
      <c r="V620" s="2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</row>
    <row r="621" spans="1:39" ht="9.75" customHeight="1" x14ac:dyDescent="0.25">
      <c r="A621" s="1"/>
      <c r="B621" s="26"/>
      <c r="C621" s="27"/>
      <c r="D621" s="27"/>
      <c r="E621" s="27"/>
      <c r="F621" s="26"/>
      <c r="G621" s="26"/>
      <c r="H621" s="26"/>
      <c r="I621" s="34"/>
      <c r="J621" s="34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116"/>
      <c r="V621" s="2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</row>
    <row r="622" spans="1:39" ht="9.75" customHeight="1" x14ac:dyDescent="0.25">
      <c r="A622" s="1"/>
      <c r="B622" s="26"/>
      <c r="C622" s="27"/>
      <c r="D622" s="27"/>
      <c r="E622" s="27"/>
      <c r="F622" s="26"/>
      <c r="G622" s="26"/>
      <c r="H622" s="26"/>
      <c r="I622" s="34"/>
      <c r="J622" s="34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116"/>
      <c r="V622" s="2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</row>
    <row r="623" spans="1:39" ht="9.75" customHeight="1" x14ac:dyDescent="0.25">
      <c r="A623" s="1"/>
      <c r="B623" s="26"/>
      <c r="C623" s="27"/>
      <c r="D623" s="27"/>
      <c r="E623" s="27"/>
      <c r="F623" s="26"/>
      <c r="G623" s="26"/>
      <c r="H623" s="26"/>
      <c r="I623" s="34"/>
      <c r="J623" s="34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116"/>
      <c r="V623" s="2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</row>
    <row r="624" spans="1:39" ht="9.75" customHeight="1" x14ac:dyDescent="0.25">
      <c r="A624" s="1"/>
      <c r="B624" s="26"/>
      <c r="C624" s="27"/>
      <c r="D624" s="27"/>
      <c r="E624" s="27"/>
      <c r="F624" s="26"/>
      <c r="G624" s="26"/>
      <c r="H624" s="26"/>
      <c r="I624" s="34"/>
      <c r="J624" s="34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116"/>
      <c r="V624" s="2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</row>
    <row r="625" spans="1:39" ht="9.75" customHeight="1" x14ac:dyDescent="0.25">
      <c r="A625" s="1"/>
      <c r="B625" s="26"/>
      <c r="C625" s="27"/>
      <c r="D625" s="27"/>
      <c r="E625" s="27"/>
      <c r="F625" s="26"/>
      <c r="G625" s="26"/>
      <c r="H625" s="26"/>
      <c r="I625" s="34"/>
      <c r="J625" s="34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116"/>
      <c r="V625" s="2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</row>
    <row r="626" spans="1:39" ht="9.75" customHeight="1" x14ac:dyDescent="0.25">
      <c r="A626" s="1"/>
      <c r="B626" s="26"/>
      <c r="C626" s="27"/>
      <c r="D626" s="27"/>
      <c r="E626" s="27"/>
      <c r="F626" s="26"/>
      <c r="G626" s="26"/>
      <c r="H626" s="26"/>
      <c r="I626" s="34"/>
      <c r="J626" s="34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116"/>
      <c r="V626" s="2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</row>
    <row r="627" spans="1:39" ht="9.75" customHeight="1" x14ac:dyDescent="0.25">
      <c r="A627" s="1"/>
      <c r="B627" s="26"/>
      <c r="C627" s="27"/>
      <c r="D627" s="27"/>
      <c r="E627" s="27"/>
      <c r="F627" s="26"/>
      <c r="G627" s="26"/>
      <c r="H627" s="26"/>
      <c r="I627" s="34"/>
      <c r="J627" s="34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116"/>
      <c r="V627" s="2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</row>
    <row r="628" spans="1:39" ht="9.75" customHeight="1" x14ac:dyDescent="0.25">
      <c r="A628" s="1"/>
      <c r="B628" s="26"/>
      <c r="C628" s="27"/>
      <c r="D628" s="27"/>
      <c r="E628" s="27"/>
      <c r="F628" s="26"/>
      <c r="G628" s="26"/>
      <c r="H628" s="26"/>
      <c r="I628" s="34"/>
      <c r="J628" s="34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116"/>
      <c r="V628" s="2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</row>
    <row r="629" spans="1:39" ht="9.75" customHeight="1" x14ac:dyDescent="0.25">
      <c r="A629" s="1"/>
      <c r="B629" s="26"/>
      <c r="C629" s="27"/>
      <c r="D629" s="27"/>
      <c r="E629" s="27"/>
      <c r="F629" s="26"/>
      <c r="G629" s="26"/>
      <c r="H629" s="26"/>
      <c r="I629" s="34"/>
      <c r="J629" s="34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116"/>
      <c r="V629" s="2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</row>
    <row r="630" spans="1:39" ht="9.75" customHeight="1" x14ac:dyDescent="0.25">
      <c r="A630" s="1"/>
      <c r="B630" s="26"/>
      <c r="C630" s="27"/>
      <c r="D630" s="27"/>
      <c r="E630" s="27"/>
      <c r="F630" s="26"/>
      <c r="G630" s="26"/>
      <c r="H630" s="26"/>
      <c r="I630" s="34"/>
      <c r="J630" s="34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116"/>
      <c r="V630" s="2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</row>
    <row r="631" spans="1:39" ht="9.75" customHeight="1" x14ac:dyDescent="0.25">
      <c r="A631" s="1"/>
      <c r="B631" s="26"/>
      <c r="C631" s="27"/>
      <c r="D631" s="27"/>
      <c r="E631" s="27"/>
      <c r="F631" s="26"/>
      <c r="G631" s="26"/>
      <c r="H631" s="26"/>
      <c r="I631" s="34"/>
      <c r="J631" s="34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116"/>
      <c r="V631" s="2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</row>
    <row r="632" spans="1:39" ht="9.75" customHeight="1" x14ac:dyDescent="0.25">
      <c r="A632" s="1"/>
      <c r="B632" s="26"/>
      <c r="C632" s="27"/>
      <c r="D632" s="27"/>
      <c r="E632" s="27"/>
      <c r="F632" s="26"/>
      <c r="G632" s="26"/>
      <c r="H632" s="26"/>
      <c r="I632" s="34"/>
      <c r="J632" s="34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116"/>
      <c r="V632" s="2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</row>
    <row r="633" spans="1:39" ht="9.75" customHeight="1" x14ac:dyDescent="0.25">
      <c r="A633" s="1"/>
      <c r="B633" s="26"/>
      <c r="C633" s="27"/>
      <c r="D633" s="27"/>
      <c r="E633" s="27"/>
      <c r="F633" s="26"/>
      <c r="G633" s="26"/>
      <c r="H633" s="26"/>
      <c r="I633" s="34"/>
      <c r="J633" s="34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116"/>
      <c r="V633" s="2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</row>
    <row r="634" spans="1:39" ht="9.75" customHeight="1" x14ac:dyDescent="0.25">
      <c r="A634" s="1"/>
      <c r="B634" s="26"/>
      <c r="C634" s="27"/>
      <c r="D634" s="27"/>
      <c r="E634" s="27"/>
      <c r="F634" s="26"/>
      <c r="G634" s="26"/>
      <c r="H634" s="26"/>
      <c r="I634" s="34"/>
      <c r="J634" s="34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116"/>
      <c r="V634" s="2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</row>
    <row r="635" spans="1:39" ht="9.75" customHeight="1" x14ac:dyDescent="0.25">
      <c r="A635" s="1"/>
      <c r="B635" s="26"/>
      <c r="C635" s="27"/>
      <c r="D635" s="27"/>
      <c r="E635" s="27"/>
      <c r="F635" s="26"/>
      <c r="G635" s="26"/>
      <c r="H635" s="26"/>
      <c r="I635" s="34"/>
      <c r="J635" s="34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116"/>
      <c r="V635" s="2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</row>
    <row r="636" spans="1:39" ht="9.75" customHeight="1" x14ac:dyDescent="0.25">
      <c r="A636" s="1"/>
      <c r="B636" s="26"/>
      <c r="C636" s="27"/>
      <c r="D636" s="27"/>
      <c r="E636" s="27"/>
      <c r="F636" s="26"/>
      <c r="G636" s="26"/>
      <c r="H636" s="26"/>
      <c r="I636" s="34"/>
      <c r="J636" s="34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116"/>
      <c r="V636" s="2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</row>
    <row r="637" spans="1:39" ht="9.75" customHeight="1" x14ac:dyDescent="0.25">
      <c r="A637" s="1"/>
      <c r="B637" s="26"/>
      <c r="C637" s="27"/>
      <c r="D637" s="27"/>
      <c r="E637" s="27"/>
      <c r="F637" s="26"/>
      <c r="G637" s="26"/>
      <c r="H637" s="26"/>
      <c r="I637" s="34"/>
      <c r="J637" s="34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116"/>
      <c r="V637" s="2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</row>
    <row r="638" spans="1:39" ht="9.75" customHeight="1" x14ac:dyDescent="0.25">
      <c r="A638" s="1"/>
      <c r="B638" s="26"/>
      <c r="C638" s="27"/>
      <c r="D638" s="27"/>
      <c r="E638" s="27"/>
      <c r="F638" s="26"/>
      <c r="G638" s="26"/>
      <c r="H638" s="26"/>
      <c r="I638" s="34"/>
      <c r="J638" s="34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116"/>
      <c r="V638" s="2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</row>
    <row r="639" spans="1:39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17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9.75" customHeight="1" x14ac:dyDescent="0.25">
      <c r="A640" s="1"/>
      <c r="B640" s="26"/>
      <c r="C640" s="27"/>
      <c r="D640" s="27"/>
      <c r="E640" s="27"/>
      <c r="F640" s="26"/>
      <c r="G640" s="26"/>
      <c r="H640" s="26"/>
      <c r="I640" s="34"/>
      <c r="J640" s="34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116"/>
      <c r="V640" s="2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</row>
    <row r="641" spans="1:39" ht="9.75" customHeight="1" x14ac:dyDescent="0.25">
      <c r="A641" s="1"/>
      <c r="B641" s="26"/>
      <c r="C641" s="27"/>
      <c r="D641" s="27"/>
      <c r="E641" s="27"/>
      <c r="F641" s="26"/>
      <c r="G641" s="26"/>
      <c r="H641" s="26"/>
      <c r="I641" s="34"/>
      <c r="J641" s="34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116"/>
      <c r="V641" s="2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</row>
    <row r="642" spans="1:39" ht="9.75" customHeight="1" x14ac:dyDescent="0.25">
      <c r="A642" s="1"/>
      <c r="B642" s="26"/>
      <c r="C642" s="27"/>
      <c r="D642" s="27"/>
      <c r="E642" s="27"/>
      <c r="F642" s="26"/>
      <c r="G642" s="26"/>
      <c r="H642" s="26"/>
      <c r="I642" s="34"/>
      <c r="J642" s="34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116"/>
      <c r="V642" s="2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</row>
    <row r="643" spans="1:39" ht="9.75" customHeight="1" x14ac:dyDescent="0.25">
      <c r="A643" s="1"/>
      <c r="B643" s="26"/>
      <c r="C643" s="27"/>
      <c r="D643" s="27"/>
      <c r="E643" s="27"/>
      <c r="F643" s="26"/>
      <c r="G643" s="26"/>
      <c r="H643" s="26"/>
      <c r="I643" s="34"/>
      <c r="J643" s="34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116"/>
      <c r="V643" s="2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</row>
    <row r="644" spans="1:39" ht="9.75" customHeight="1" x14ac:dyDescent="0.25">
      <c r="A644" s="1"/>
      <c r="B644" s="26"/>
      <c r="C644" s="27"/>
      <c r="D644" s="27"/>
      <c r="E644" s="27"/>
      <c r="F644" s="26"/>
      <c r="G644" s="26"/>
      <c r="H644" s="26"/>
      <c r="I644" s="34"/>
      <c r="J644" s="34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116"/>
      <c r="V644" s="2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</row>
    <row r="645" spans="1:39" ht="9.75" customHeight="1" x14ac:dyDescent="0.25">
      <c r="A645" s="1"/>
      <c r="B645" s="26"/>
      <c r="C645" s="27"/>
      <c r="D645" s="27"/>
      <c r="E645" s="27"/>
      <c r="F645" s="26"/>
      <c r="G645" s="26"/>
      <c r="H645" s="26"/>
      <c r="I645" s="34"/>
      <c r="J645" s="34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116"/>
      <c r="V645" s="2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</row>
    <row r="646" spans="1:39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17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17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17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17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17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9.7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118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</row>
    <row r="652" spans="1:39" ht="9.7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118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</row>
    <row r="653" spans="1:39" ht="9.75" customHeight="1" x14ac:dyDescent="0.25">
      <c r="A653" s="1"/>
      <c r="B653" s="26"/>
      <c r="C653" s="27"/>
      <c r="D653" s="27"/>
      <c r="E653" s="27"/>
      <c r="F653" s="26"/>
      <c r="G653" s="26"/>
      <c r="H653" s="26"/>
      <c r="I653" s="34"/>
      <c r="J653" s="34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116"/>
      <c r="V653" s="2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</row>
    <row r="654" spans="1:39" ht="9.75" customHeight="1" x14ac:dyDescent="0.25">
      <c r="A654" s="1"/>
      <c r="B654" s="26"/>
      <c r="C654" s="27"/>
      <c r="D654" s="27"/>
      <c r="E654" s="27"/>
      <c r="F654" s="26"/>
      <c r="G654" s="26"/>
      <c r="H654" s="26"/>
      <c r="I654" s="34"/>
      <c r="J654" s="34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116"/>
      <c r="V654" s="2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</row>
    <row r="655" spans="1:39" ht="9.75" customHeight="1" x14ac:dyDescent="0.25">
      <c r="A655" s="1"/>
      <c r="B655" s="26"/>
      <c r="C655" s="27"/>
      <c r="D655" s="27"/>
      <c r="E655" s="27"/>
      <c r="F655" s="26"/>
      <c r="G655" s="26"/>
      <c r="H655" s="26"/>
      <c r="I655" s="34"/>
      <c r="J655" s="34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116"/>
      <c r="V655" s="2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</row>
    <row r="656" spans="1:39" ht="9.75" customHeight="1" x14ac:dyDescent="0.25">
      <c r="A656" s="1"/>
      <c r="B656" s="26"/>
      <c r="C656" s="27"/>
      <c r="D656" s="27"/>
      <c r="E656" s="27"/>
      <c r="F656" s="26"/>
      <c r="G656" s="26"/>
      <c r="H656" s="26"/>
      <c r="I656" s="34"/>
      <c r="J656" s="34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116"/>
      <c r="V656" s="2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</row>
    <row r="657" spans="1:39" ht="9.75" customHeight="1" x14ac:dyDescent="0.25">
      <c r="A657" s="1"/>
      <c r="B657" s="26"/>
      <c r="C657" s="27"/>
      <c r="D657" s="27"/>
      <c r="E657" s="27"/>
      <c r="F657" s="26"/>
      <c r="G657" s="26"/>
      <c r="H657" s="26"/>
      <c r="I657" s="34"/>
      <c r="J657" s="34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116"/>
      <c r="V657" s="2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</row>
    <row r="658" spans="1:39" ht="9.75" customHeight="1" x14ac:dyDescent="0.25">
      <c r="A658" s="1"/>
      <c r="B658" s="26"/>
      <c r="C658" s="27"/>
      <c r="D658" s="27"/>
      <c r="E658" s="27"/>
      <c r="F658" s="26"/>
      <c r="G658" s="26"/>
      <c r="H658" s="26"/>
      <c r="I658" s="34"/>
      <c r="J658" s="34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116"/>
      <c r="V658" s="2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</row>
    <row r="659" spans="1:39" ht="9.75" customHeight="1" x14ac:dyDescent="0.3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119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</row>
    <row r="660" spans="1:39" ht="9.75" customHeight="1" x14ac:dyDescent="0.3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119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</row>
    <row r="661" spans="1:39" ht="9.75" customHeight="1" x14ac:dyDescent="0.3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119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</row>
    <row r="662" spans="1:39" ht="9.75" customHeight="1" x14ac:dyDescent="0.3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119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</row>
    <row r="663" spans="1:39" ht="9.75" customHeight="1" x14ac:dyDescent="0.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119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</row>
    <row r="664" spans="1:39" ht="9.75" customHeight="1" x14ac:dyDescent="0.3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119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</row>
    <row r="665" spans="1:39" ht="9.75" customHeight="1" x14ac:dyDescent="0.3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119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</row>
    <row r="666" spans="1:39" ht="9.75" customHeight="1" x14ac:dyDescent="0.3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119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</row>
    <row r="667" spans="1:39" ht="9.75" customHeight="1" x14ac:dyDescent="0.3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119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</row>
    <row r="668" spans="1:39" ht="9.75" customHeight="1" x14ac:dyDescent="0.3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119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</row>
    <row r="669" spans="1:39" ht="9.75" customHeight="1" x14ac:dyDescent="0.3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119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</row>
    <row r="670" spans="1:39" ht="9.75" customHeight="1" x14ac:dyDescent="0.3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119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</row>
    <row r="671" spans="1:39" ht="9.75" customHeight="1" x14ac:dyDescent="0.3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119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</row>
    <row r="672" spans="1:39" ht="9.75" customHeight="1" x14ac:dyDescent="0.3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119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</row>
    <row r="673" spans="1:39" ht="9.75" customHeight="1" x14ac:dyDescent="0.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119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</row>
    <row r="674" spans="1:39" ht="9.75" customHeight="1" x14ac:dyDescent="0.3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119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</row>
    <row r="675" spans="1:39" ht="9.75" customHeight="1" x14ac:dyDescent="0.3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119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</row>
    <row r="676" spans="1:39" ht="9.75" customHeight="1" x14ac:dyDescent="0.3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119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</row>
    <row r="677" spans="1:39" ht="9.75" customHeight="1" x14ac:dyDescent="0.3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119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</row>
    <row r="678" spans="1:39" ht="9.75" customHeight="1" x14ac:dyDescent="0.3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119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</row>
    <row r="679" spans="1:39" ht="9.75" customHeight="1" x14ac:dyDescent="0.3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119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</row>
    <row r="680" spans="1:39" ht="9.75" customHeight="1" x14ac:dyDescent="0.3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119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</row>
    <row r="681" spans="1:39" ht="9.75" customHeight="1" x14ac:dyDescent="0.3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119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</row>
    <row r="682" spans="1:39" ht="9.75" customHeight="1" x14ac:dyDescent="0.3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119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</row>
    <row r="683" spans="1:39" ht="9.75" customHeight="1" x14ac:dyDescent="0.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119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</row>
    <row r="684" spans="1:39" ht="9.75" customHeight="1" x14ac:dyDescent="0.3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119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</row>
    <row r="685" spans="1:39" ht="9.75" customHeight="1" x14ac:dyDescent="0.3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119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</row>
    <row r="686" spans="1:39" ht="9.75" customHeight="1" x14ac:dyDescent="0.3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119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</row>
    <row r="687" spans="1:39" ht="9.75" customHeight="1" x14ac:dyDescent="0.3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119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</row>
    <row r="688" spans="1:39" ht="9.75" customHeight="1" x14ac:dyDescent="0.3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119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</row>
    <row r="689" spans="1:39" ht="9.75" customHeight="1" x14ac:dyDescent="0.3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119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</row>
    <row r="690" spans="1:39" ht="9.75" customHeight="1" x14ac:dyDescent="0.3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119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</row>
    <row r="691" spans="1:39" ht="9.75" customHeight="1" x14ac:dyDescent="0.3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119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</row>
    <row r="692" spans="1:39" ht="9.75" customHeight="1" x14ac:dyDescent="0.3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119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</row>
    <row r="693" spans="1:39" ht="9.75" customHeight="1" x14ac:dyDescent="0.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119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</row>
    <row r="694" spans="1:39" ht="9.75" customHeight="1" x14ac:dyDescent="0.3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119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</row>
    <row r="695" spans="1:39" ht="9.75" customHeight="1" x14ac:dyDescent="0.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117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</row>
    <row r="696" spans="1:39" ht="9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120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</row>
    <row r="697" spans="1:39" ht="9.75" customHeight="1" x14ac:dyDescent="0.25">
      <c r="A697" s="1"/>
      <c r="B697" s="26"/>
      <c r="C697" s="27"/>
      <c r="D697" s="27"/>
      <c r="E697" s="27"/>
      <c r="F697" s="26"/>
      <c r="G697" s="26"/>
      <c r="H697" s="26"/>
      <c r="I697" s="34"/>
      <c r="J697" s="34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116"/>
      <c r="V697" s="2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</row>
    <row r="698" spans="1:39" ht="9.75" customHeight="1" x14ac:dyDescent="0.25">
      <c r="A698" s="1"/>
      <c r="B698" s="26"/>
      <c r="C698" s="27"/>
      <c r="D698" s="27"/>
      <c r="E698" s="27"/>
      <c r="F698" s="26"/>
      <c r="G698" s="26"/>
      <c r="H698" s="26"/>
      <c r="I698" s="34"/>
      <c r="J698" s="34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116"/>
      <c r="V698" s="2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</row>
    <row r="699" spans="1:39" ht="9.75" customHeight="1" x14ac:dyDescent="0.25">
      <c r="A699" s="1"/>
      <c r="B699" s="26"/>
      <c r="C699" s="27"/>
      <c r="D699" s="27"/>
      <c r="E699" s="27"/>
      <c r="F699" s="26"/>
      <c r="G699" s="26"/>
      <c r="H699" s="26"/>
      <c r="I699" s="34"/>
      <c r="J699" s="34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116"/>
      <c r="V699" s="2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</row>
    <row r="700" spans="1:39" ht="9.75" customHeight="1" x14ac:dyDescent="0.25">
      <c r="A700" s="1"/>
      <c r="B700" s="26"/>
      <c r="C700" s="27"/>
      <c r="D700" s="27"/>
      <c r="E700" s="27"/>
      <c r="F700" s="26"/>
      <c r="G700" s="26"/>
      <c r="H700" s="26"/>
      <c r="I700" s="34"/>
      <c r="J700" s="34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116"/>
      <c r="V700" s="2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</row>
    <row r="701" spans="1:39" ht="9.75" customHeight="1" x14ac:dyDescent="0.25">
      <c r="A701" s="1"/>
      <c r="B701" s="26"/>
      <c r="C701" s="27"/>
      <c r="D701" s="27"/>
      <c r="E701" s="27"/>
      <c r="F701" s="26"/>
      <c r="G701" s="26"/>
      <c r="H701" s="26"/>
      <c r="I701" s="34"/>
      <c r="J701" s="34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116"/>
      <c r="V701" s="2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</row>
    <row r="702" spans="1:39" ht="9.75" customHeight="1" x14ac:dyDescent="0.25">
      <c r="A702" s="1"/>
      <c r="B702" s="26"/>
      <c r="C702" s="27"/>
      <c r="D702" s="27"/>
      <c r="E702" s="27"/>
      <c r="F702" s="26"/>
      <c r="G702" s="26"/>
      <c r="H702" s="26"/>
      <c r="I702" s="34"/>
      <c r="J702" s="34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116"/>
      <c r="V702" s="2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</row>
    <row r="703" spans="1:39" ht="9.75" customHeight="1" x14ac:dyDescent="0.25">
      <c r="A703" s="1"/>
      <c r="B703" s="26"/>
      <c r="C703" s="27"/>
      <c r="D703" s="27"/>
      <c r="E703" s="27"/>
      <c r="F703" s="26"/>
      <c r="G703" s="26"/>
      <c r="H703" s="26"/>
      <c r="I703" s="34"/>
      <c r="J703" s="34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116"/>
      <c r="V703" s="2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</row>
    <row r="704" spans="1:39" ht="9.75" customHeight="1" x14ac:dyDescent="0.25">
      <c r="A704" s="1"/>
      <c r="B704" s="26"/>
      <c r="C704" s="27"/>
      <c r="D704" s="27"/>
      <c r="E704" s="27"/>
      <c r="F704" s="26"/>
      <c r="G704" s="26"/>
      <c r="H704" s="26"/>
      <c r="I704" s="34"/>
      <c r="J704" s="34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116"/>
      <c r="V704" s="2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</row>
    <row r="705" spans="1:39" ht="9.75" customHeight="1" x14ac:dyDescent="0.25">
      <c r="A705" s="1"/>
      <c r="B705" s="26"/>
      <c r="C705" s="27"/>
      <c r="D705" s="27"/>
      <c r="E705" s="27"/>
      <c r="F705" s="26"/>
      <c r="G705" s="26"/>
      <c r="H705" s="26"/>
      <c r="I705" s="34"/>
      <c r="J705" s="34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116"/>
      <c r="V705" s="2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</row>
    <row r="706" spans="1:39" ht="9.75" customHeight="1" x14ac:dyDescent="0.25">
      <c r="A706" s="1"/>
      <c r="B706" s="26"/>
      <c r="C706" s="27"/>
      <c r="D706" s="27"/>
      <c r="E706" s="27"/>
      <c r="F706" s="26"/>
      <c r="G706" s="26"/>
      <c r="H706" s="26"/>
      <c r="I706" s="34"/>
      <c r="J706" s="34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116"/>
      <c r="V706" s="2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</row>
    <row r="707" spans="1:39" ht="9.75" customHeight="1" x14ac:dyDescent="0.25">
      <c r="A707" s="1"/>
      <c r="B707" s="26"/>
      <c r="C707" s="27"/>
      <c r="D707" s="27"/>
      <c r="E707" s="27"/>
      <c r="F707" s="26"/>
      <c r="G707" s="26"/>
      <c r="H707" s="26"/>
      <c r="I707" s="34"/>
      <c r="J707" s="34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116"/>
      <c r="V707" s="2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</row>
    <row r="708" spans="1:39" ht="9.75" customHeight="1" x14ac:dyDescent="0.25">
      <c r="A708" s="1"/>
      <c r="B708" s="26"/>
      <c r="C708" s="27"/>
      <c r="D708" s="27"/>
      <c r="E708" s="27"/>
      <c r="F708" s="26"/>
      <c r="G708" s="26"/>
      <c r="H708" s="26"/>
      <c r="I708" s="34"/>
      <c r="J708" s="34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116"/>
      <c r="V708" s="2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</row>
    <row r="709" spans="1:39" ht="9.75" customHeight="1" x14ac:dyDescent="0.25">
      <c r="A709" s="1"/>
      <c r="B709" s="26"/>
      <c r="C709" s="27"/>
      <c r="D709" s="27"/>
      <c r="E709" s="27"/>
      <c r="F709" s="26"/>
      <c r="G709" s="26"/>
      <c r="H709" s="26"/>
      <c r="I709" s="34"/>
      <c r="J709" s="34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116"/>
      <c r="V709" s="2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</row>
    <row r="710" spans="1:39" ht="9.75" customHeight="1" x14ac:dyDescent="0.25">
      <c r="A710" s="1"/>
      <c r="B710" s="26"/>
      <c r="C710" s="27"/>
      <c r="D710" s="27"/>
      <c r="E710" s="27"/>
      <c r="F710" s="26"/>
      <c r="G710" s="26"/>
      <c r="H710" s="26"/>
      <c r="I710" s="34"/>
      <c r="J710" s="34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116"/>
      <c r="V710" s="2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</row>
    <row r="711" spans="1:39" ht="9.75" customHeight="1" x14ac:dyDescent="0.25">
      <c r="A711" s="1"/>
      <c r="B711" s="26"/>
      <c r="C711" s="27"/>
      <c r="D711" s="27"/>
      <c r="E711" s="27"/>
      <c r="F711" s="26"/>
      <c r="G711" s="26"/>
      <c r="H711" s="26"/>
      <c r="I711" s="34"/>
      <c r="J711" s="34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116"/>
      <c r="V711" s="2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</row>
    <row r="712" spans="1:39" ht="9.75" customHeight="1" x14ac:dyDescent="0.25">
      <c r="A712" s="1"/>
      <c r="B712" s="26"/>
      <c r="C712" s="27"/>
      <c r="D712" s="27"/>
      <c r="E712" s="27"/>
      <c r="F712" s="26"/>
      <c r="G712" s="26"/>
      <c r="H712" s="26"/>
      <c r="I712" s="34"/>
      <c r="J712" s="34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116"/>
      <c r="V712" s="2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</row>
    <row r="713" spans="1:39" ht="9.75" customHeight="1" x14ac:dyDescent="0.25">
      <c r="A713" s="1"/>
      <c r="B713" s="26"/>
      <c r="C713" s="27"/>
      <c r="D713" s="27"/>
      <c r="E713" s="27"/>
      <c r="F713" s="26"/>
      <c r="G713" s="26"/>
      <c r="H713" s="26"/>
      <c r="I713" s="34"/>
      <c r="J713" s="34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116"/>
      <c r="V713" s="2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</row>
    <row r="714" spans="1:39" ht="9.75" customHeight="1" x14ac:dyDescent="0.25">
      <c r="A714" s="1"/>
      <c r="B714" s="26"/>
      <c r="C714" s="27"/>
      <c r="D714" s="27"/>
      <c r="E714" s="27"/>
      <c r="F714" s="26"/>
      <c r="G714" s="26"/>
      <c r="H714" s="26"/>
      <c r="I714" s="34"/>
      <c r="J714" s="34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116"/>
      <c r="V714" s="2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</row>
    <row r="715" spans="1:39" ht="9.75" customHeight="1" x14ac:dyDescent="0.25">
      <c r="A715" s="1"/>
      <c r="B715" s="26"/>
      <c r="C715" s="27"/>
      <c r="D715" s="27"/>
      <c r="E715" s="27"/>
      <c r="F715" s="26"/>
      <c r="G715" s="26"/>
      <c r="H715" s="26"/>
      <c r="I715" s="34"/>
      <c r="J715" s="34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116"/>
      <c r="V715" s="2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</row>
    <row r="716" spans="1:39" ht="9.75" customHeight="1" x14ac:dyDescent="0.25">
      <c r="A716" s="1"/>
      <c r="B716" s="26"/>
      <c r="C716" s="27"/>
      <c r="D716" s="27"/>
      <c r="E716" s="27"/>
      <c r="F716" s="26"/>
      <c r="G716" s="26"/>
      <c r="H716" s="26"/>
      <c r="I716" s="34"/>
      <c r="J716" s="34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116"/>
      <c r="V716" s="2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</row>
    <row r="717" spans="1:39" ht="9.75" customHeight="1" x14ac:dyDescent="0.25">
      <c r="A717" s="1"/>
      <c r="B717" s="26"/>
      <c r="C717" s="27"/>
      <c r="D717" s="27"/>
      <c r="E717" s="27"/>
      <c r="F717" s="26"/>
      <c r="G717" s="26"/>
      <c r="H717" s="26"/>
      <c r="I717" s="34"/>
      <c r="J717" s="34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116"/>
      <c r="V717" s="2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</row>
    <row r="718" spans="1:39" ht="9.75" customHeight="1" x14ac:dyDescent="0.25">
      <c r="A718" s="1"/>
      <c r="B718" s="26"/>
      <c r="C718" s="27"/>
      <c r="D718" s="27"/>
      <c r="E718" s="27"/>
      <c r="F718" s="26"/>
      <c r="G718" s="26"/>
      <c r="H718" s="26"/>
      <c r="I718" s="34"/>
      <c r="J718" s="34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116"/>
      <c r="V718" s="2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</row>
    <row r="719" spans="1:39" ht="9.75" customHeight="1" x14ac:dyDescent="0.25">
      <c r="A719" s="1"/>
      <c r="B719" s="26"/>
      <c r="C719" s="27"/>
      <c r="D719" s="27"/>
      <c r="E719" s="27"/>
      <c r="F719" s="26"/>
      <c r="G719" s="26"/>
      <c r="H719" s="26"/>
      <c r="I719" s="34"/>
      <c r="J719" s="34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116"/>
      <c r="V719" s="2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</row>
    <row r="720" spans="1:39" ht="9.75" customHeight="1" x14ac:dyDescent="0.25">
      <c r="A720" s="1"/>
      <c r="B720" s="26"/>
      <c r="C720" s="27"/>
      <c r="D720" s="27"/>
      <c r="E720" s="27"/>
      <c r="F720" s="26"/>
      <c r="G720" s="26"/>
      <c r="H720" s="26"/>
      <c r="I720" s="34"/>
      <c r="J720" s="34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116"/>
      <c r="V720" s="2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</row>
    <row r="721" spans="1:39" ht="9.75" customHeight="1" x14ac:dyDescent="0.25">
      <c r="A721" s="1"/>
      <c r="B721" s="26"/>
      <c r="C721" s="27"/>
      <c r="D721" s="27"/>
      <c r="E721" s="27"/>
      <c r="F721" s="26"/>
      <c r="G721" s="26"/>
      <c r="H721" s="26"/>
      <c r="I721" s="34"/>
      <c r="J721" s="34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116"/>
      <c r="V721" s="2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</row>
    <row r="722" spans="1:39" ht="9.75" customHeight="1" x14ac:dyDescent="0.25">
      <c r="A722" s="1"/>
      <c r="B722" s="26"/>
      <c r="C722" s="27"/>
      <c r="D722" s="27"/>
      <c r="E722" s="27"/>
      <c r="F722" s="26"/>
      <c r="G722" s="26"/>
      <c r="H722" s="26"/>
      <c r="I722" s="34"/>
      <c r="J722" s="34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116"/>
      <c r="V722" s="2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</row>
    <row r="723" spans="1:39" ht="9.75" customHeight="1" x14ac:dyDescent="0.25">
      <c r="A723" s="1"/>
      <c r="B723" s="26"/>
      <c r="C723" s="27"/>
      <c r="D723" s="27"/>
      <c r="E723" s="27"/>
      <c r="F723" s="26"/>
      <c r="G723" s="26"/>
      <c r="H723" s="26"/>
      <c r="I723" s="34"/>
      <c r="J723" s="34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116"/>
      <c r="V723" s="2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</row>
    <row r="724" spans="1:39" ht="9.75" customHeight="1" x14ac:dyDescent="0.25">
      <c r="A724" s="1"/>
      <c r="B724" s="26"/>
      <c r="C724" s="27"/>
      <c r="D724" s="27"/>
      <c r="E724" s="27"/>
      <c r="F724" s="26"/>
      <c r="G724" s="26"/>
      <c r="H724" s="26"/>
      <c r="I724" s="34"/>
      <c r="J724" s="34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116"/>
      <c r="V724" s="2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</row>
    <row r="725" spans="1:39" ht="9.75" customHeight="1" x14ac:dyDescent="0.25">
      <c r="A725" s="1"/>
      <c r="B725" s="26"/>
      <c r="C725" s="27"/>
      <c r="D725" s="27"/>
      <c r="E725" s="27"/>
      <c r="F725" s="26"/>
      <c r="G725" s="26"/>
      <c r="H725" s="26"/>
      <c r="I725" s="34"/>
      <c r="J725" s="34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116"/>
      <c r="V725" s="2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</row>
    <row r="726" spans="1:39" ht="9.75" customHeight="1" x14ac:dyDescent="0.25">
      <c r="A726" s="1"/>
      <c r="B726" s="26"/>
      <c r="C726" s="27"/>
      <c r="D726" s="27"/>
      <c r="E726" s="27"/>
      <c r="F726" s="26"/>
      <c r="G726" s="26"/>
      <c r="H726" s="26"/>
      <c r="I726" s="34"/>
      <c r="J726" s="34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116"/>
      <c r="V726" s="2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</row>
    <row r="727" spans="1:39" ht="9.75" customHeight="1" x14ac:dyDescent="0.25">
      <c r="A727" s="1"/>
      <c r="B727" s="26"/>
      <c r="C727" s="27"/>
      <c r="D727" s="27"/>
      <c r="E727" s="27"/>
      <c r="F727" s="26"/>
      <c r="G727" s="26"/>
      <c r="H727" s="26"/>
      <c r="I727" s="34"/>
      <c r="J727" s="34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116"/>
      <c r="V727" s="2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</row>
    <row r="728" spans="1:39" ht="9.75" customHeight="1" x14ac:dyDescent="0.25">
      <c r="A728" s="1"/>
      <c r="B728" s="26"/>
      <c r="C728" s="27"/>
      <c r="D728" s="27"/>
      <c r="E728" s="27"/>
      <c r="F728" s="26"/>
      <c r="G728" s="26"/>
      <c r="H728" s="26"/>
      <c r="I728" s="34"/>
      <c r="J728" s="34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116"/>
      <c r="V728" s="2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</row>
    <row r="729" spans="1:39" ht="9.75" customHeight="1" x14ac:dyDescent="0.25">
      <c r="A729" s="1"/>
      <c r="B729" s="26"/>
      <c r="C729" s="27"/>
      <c r="D729" s="27"/>
      <c r="E729" s="27"/>
      <c r="F729" s="26"/>
      <c r="G729" s="26"/>
      <c r="H729" s="26"/>
      <c r="I729" s="34"/>
      <c r="J729" s="34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116"/>
      <c r="V729" s="2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</row>
    <row r="730" spans="1:39" ht="9.75" customHeight="1" x14ac:dyDescent="0.25">
      <c r="A730" s="1"/>
      <c r="B730" s="26"/>
      <c r="C730" s="27"/>
      <c r="D730" s="27"/>
      <c r="E730" s="27"/>
      <c r="F730" s="26"/>
      <c r="G730" s="26"/>
      <c r="H730" s="26"/>
      <c r="I730" s="34"/>
      <c r="J730" s="34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116"/>
      <c r="V730" s="2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</row>
    <row r="731" spans="1:39" ht="9.75" customHeight="1" x14ac:dyDescent="0.25">
      <c r="A731" s="1"/>
      <c r="B731" s="26"/>
      <c r="C731" s="27"/>
      <c r="D731" s="27"/>
      <c r="E731" s="27"/>
      <c r="F731" s="26"/>
      <c r="G731" s="26"/>
      <c r="H731" s="26"/>
      <c r="I731" s="34"/>
      <c r="J731" s="34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116"/>
      <c r="V731" s="2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</row>
    <row r="732" spans="1:39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17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9.75" customHeight="1" x14ac:dyDescent="0.25">
      <c r="A733" s="1"/>
      <c r="B733" s="26"/>
      <c r="C733" s="27"/>
      <c r="D733" s="27"/>
      <c r="E733" s="27"/>
      <c r="F733" s="26"/>
      <c r="G733" s="26"/>
      <c r="H733" s="26"/>
      <c r="I733" s="34"/>
      <c r="J733" s="34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116"/>
      <c r="V733" s="2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</row>
    <row r="734" spans="1:39" ht="9.75" customHeight="1" x14ac:dyDescent="0.25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122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</row>
    <row r="735" spans="1:39" ht="9.75" customHeight="1" x14ac:dyDescent="0.2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122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</row>
    <row r="736" spans="1:39" ht="9.75" customHeight="1" x14ac:dyDescent="0.25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122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</row>
    <row r="737" spans="1:39" ht="9.75" customHeight="1" x14ac:dyDescent="0.25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122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</row>
    <row r="738" spans="1:39" ht="9.75" customHeight="1" x14ac:dyDescent="0.25">
      <c r="A738" s="1"/>
      <c r="B738" s="26"/>
      <c r="C738" s="27"/>
      <c r="D738" s="27"/>
      <c r="E738" s="27"/>
      <c r="F738" s="26"/>
      <c r="G738" s="26"/>
      <c r="H738" s="26"/>
      <c r="I738" s="34"/>
      <c r="J738" s="34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116"/>
      <c r="V738" s="2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</row>
    <row r="739" spans="1:39" ht="9.75" customHeight="1" x14ac:dyDescent="0.25">
      <c r="A739" s="1"/>
      <c r="B739" s="26"/>
      <c r="C739" s="27"/>
      <c r="D739" s="27"/>
      <c r="E739" s="27"/>
      <c r="F739" s="26"/>
      <c r="G739" s="26"/>
      <c r="H739" s="26"/>
      <c r="I739" s="34"/>
      <c r="J739" s="34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116"/>
      <c r="V739" s="2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</row>
    <row r="740" spans="1:39" ht="9.75" customHeight="1" x14ac:dyDescent="0.25">
      <c r="A740" s="1"/>
      <c r="B740" s="26"/>
      <c r="C740" s="27"/>
      <c r="D740" s="27"/>
      <c r="E740" s="27"/>
      <c r="F740" s="26"/>
      <c r="G740" s="26"/>
      <c r="H740" s="26"/>
      <c r="I740" s="34"/>
      <c r="J740" s="34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116"/>
      <c r="V740" s="2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</row>
    <row r="741" spans="1:39" ht="9.75" customHeight="1" x14ac:dyDescent="0.25">
      <c r="A741" s="1"/>
      <c r="B741" s="26"/>
      <c r="C741" s="27"/>
      <c r="D741" s="27"/>
      <c r="E741" s="27"/>
      <c r="F741" s="26"/>
      <c r="G741" s="26"/>
      <c r="H741" s="26"/>
      <c r="I741" s="34"/>
      <c r="J741" s="34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116"/>
      <c r="V741" s="2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</row>
    <row r="742" spans="1:39" ht="9.75" customHeight="1" x14ac:dyDescent="0.25">
      <c r="A742" s="1"/>
      <c r="B742" s="26"/>
      <c r="C742" s="27"/>
      <c r="D742" s="27"/>
      <c r="E742" s="27"/>
      <c r="F742" s="26"/>
      <c r="G742" s="26"/>
      <c r="H742" s="26"/>
      <c r="I742" s="34"/>
      <c r="J742" s="34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116"/>
      <c r="V742" s="2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</row>
    <row r="743" spans="1:39" ht="9.75" customHeight="1" x14ac:dyDescent="0.25">
      <c r="A743" s="1"/>
      <c r="B743" s="26"/>
      <c r="C743" s="27"/>
      <c r="D743" s="27"/>
      <c r="E743" s="27"/>
      <c r="F743" s="26"/>
      <c r="G743" s="26"/>
      <c r="H743" s="26"/>
      <c r="I743" s="34"/>
      <c r="J743" s="34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116"/>
      <c r="V743" s="2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</row>
    <row r="744" spans="1:39" ht="9.75" customHeight="1" x14ac:dyDescent="0.25">
      <c r="A744" s="1"/>
      <c r="B744" s="26"/>
      <c r="C744" s="27"/>
      <c r="D744" s="27"/>
      <c r="E744" s="27"/>
      <c r="F744" s="26"/>
      <c r="G744" s="26"/>
      <c r="H744" s="26"/>
      <c r="I744" s="34"/>
      <c r="J744" s="34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116"/>
      <c r="V744" s="2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</row>
    <row r="745" spans="1:39" ht="9.75" customHeight="1" x14ac:dyDescent="0.25">
      <c r="A745" s="1"/>
      <c r="B745" s="26"/>
      <c r="C745" s="27"/>
      <c r="D745" s="27"/>
      <c r="E745" s="27"/>
      <c r="F745" s="26"/>
      <c r="G745" s="26"/>
      <c r="H745" s="26"/>
      <c r="I745" s="34"/>
      <c r="J745" s="34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116"/>
      <c r="V745" s="2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</row>
    <row r="746" spans="1:39" ht="9.75" customHeight="1" x14ac:dyDescent="0.25">
      <c r="A746" s="1"/>
      <c r="B746" s="26"/>
      <c r="C746" s="27"/>
      <c r="D746" s="27"/>
      <c r="E746" s="27"/>
      <c r="F746" s="26"/>
      <c r="G746" s="26"/>
      <c r="H746" s="26"/>
      <c r="I746" s="34"/>
      <c r="J746" s="34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116"/>
      <c r="V746" s="2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</row>
    <row r="747" spans="1:39" ht="9.75" customHeight="1" x14ac:dyDescent="0.25">
      <c r="A747" s="1"/>
      <c r="B747" s="26"/>
      <c r="C747" s="27"/>
      <c r="D747" s="27"/>
      <c r="E747" s="27"/>
      <c r="F747" s="26"/>
      <c r="G747" s="26"/>
      <c r="H747" s="26"/>
      <c r="I747" s="34"/>
      <c r="J747" s="34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116"/>
      <c r="V747" s="2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</row>
    <row r="748" spans="1:39" ht="9.75" customHeight="1" x14ac:dyDescent="0.25">
      <c r="A748" s="1"/>
      <c r="B748" s="26"/>
      <c r="C748" s="27"/>
      <c r="D748" s="27"/>
      <c r="E748" s="27"/>
      <c r="F748" s="26"/>
      <c r="G748" s="26"/>
      <c r="H748" s="26"/>
      <c r="I748" s="34"/>
      <c r="J748" s="34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116"/>
      <c r="V748" s="2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</row>
    <row r="749" spans="1:39" ht="9.75" customHeight="1" x14ac:dyDescent="0.25">
      <c r="A749" s="1"/>
      <c r="B749" s="26"/>
      <c r="C749" s="27"/>
      <c r="D749" s="27"/>
      <c r="E749" s="27"/>
      <c r="F749" s="26"/>
      <c r="G749" s="26"/>
      <c r="H749" s="26"/>
      <c r="I749" s="34"/>
      <c r="J749" s="34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116"/>
      <c r="V749" s="2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</row>
    <row r="750" spans="1:39" ht="9.75" customHeight="1" x14ac:dyDescent="0.25">
      <c r="A750" s="1"/>
      <c r="B750" s="26"/>
      <c r="C750" s="27"/>
      <c r="D750" s="27"/>
      <c r="E750" s="27"/>
      <c r="F750" s="26"/>
      <c r="G750" s="26"/>
      <c r="H750" s="26"/>
      <c r="I750" s="34"/>
      <c r="J750" s="34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116"/>
      <c r="V750" s="2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</row>
    <row r="751" spans="1:39" ht="9.75" customHeight="1" x14ac:dyDescent="0.25">
      <c r="A751" s="1"/>
      <c r="B751" s="26"/>
      <c r="C751" s="27"/>
      <c r="D751" s="27"/>
      <c r="E751" s="27"/>
      <c r="F751" s="26"/>
      <c r="G751" s="26"/>
      <c r="H751" s="26"/>
      <c r="I751" s="34"/>
      <c r="J751" s="34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116"/>
      <c r="V751" s="2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</row>
    <row r="752" spans="1:39" ht="9.75" customHeight="1" x14ac:dyDescent="0.25">
      <c r="A752" s="1"/>
      <c r="B752" s="26"/>
      <c r="C752" s="27"/>
      <c r="D752" s="27"/>
      <c r="E752" s="27"/>
      <c r="F752" s="26"/>
      <c r="G752" s="26"/>
      <c r="H752" s="26"/>
      <c r="I752" s="34"/>
      <c r="J752" s="34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116"/>
      <c r="V752" s="2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</row>
    <row r="753" spans="1:39" ht="9.75" customHeight="1" x14ac:dyDescent="0.25">
      <c r="A753" s="1"/>
      <c r="B753" s="26"/>
      <c r="C753" s="27"/>
      <c r="D753" s="27"/>
      <c r="E753" s="27"/>
      <c r="F753" s="26"/>
      <c r="G753" s="26"/>
      <c r="H753" s="26"/>
      <c r="I753" s="34"/>
      <c r="J753" s="34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116"/>
      <c r="V753" s="2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</row>
    <row r="754" spans="1:39" ht="9.75" customHeight="1" x14ac:dyDescent="0.25">
      <c r="A754" s="1"/>
      <c r="B754" s="26"/>
      <c r="C754" s="27"/>
      <c r="D754" s="27"/>
      <c r="E754" s="27"/>
      <c r="F754" s="26"/>
      <c r="G754" s="26"/>
      <c r="H754" s="26"/>
      <c r="I754" s="34"/>
      <c r="J754" s="34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116"/>
      <c r="V754" s="2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</row>
    <row r="755" spans="1:39" ht="9.75" customHeight="1" x14ac:dyDescent="0.25">
      <c r="A755" s="1"/>
      <c r="B755" s="26"/>
      <c r="C755" s="27"/>
      <c r="D755" s="27"/>
      <c r="E755" s="27"/>
      <c r="F755" s="26"/>
      <c r="G755" s="26"/>
      <c r="H755" s="26"/>
      <c r="I755" s="34"/>
      <c r="J755" s="34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116"/>
      <c r="V755" s="2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</row>
    <row r="756" spans="1:39" ht="9.75" customHeight="1" x14ac:dyDescent="0.25">
      <c r="A756" s="1"/>
      <c r="B756" s="26"/>
      <c r="C756" s="27"/>
      <c r="D756" s="27"/>
      <c r="E756" s="27"/>
      <c r="F756" s="26"/>
      <c r="G756" s="26"/>
      <c r="H756" s="26"/>
      <c r="I756" s="34"/>
      <c r="J756" s="34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116"/>
      <c r="V756" s="2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</row>
    <row r="757" spans="1:39" ht="9.75" customHeight="1" x14ac:dyDescent="0.25">
      <c r="A757" s="1"/>
      <c r="B757" s="26"/>
      <c r="C757" s="27"/>
      <c r="D757" s="27"/>
      <c r="E757" s="27"/>
      <c r="F757" s="26"/>
      <c r="G757" s="26"/>
      <c r="H757" s="26"/>
      <c r="I757" s="34"/>
      <c r="J757" s="34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116"/>
      <c r="V757" s="2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</row>
    <row r="758" spans="1:39" ht="9.75" customHeight="1" x14ac:dyDescent="0.25">
      <c r="A758" s="1"/>
      <c r="B758" s="26"/>
      <c r="C758" s="27"/>
      <c r="D758" s="27"/>
      <c r="E758" s="27"/>
      <c r="F758" s="26"/>
      <c r="G758" s="26"/>
      <c r="H758" s="26"/>
      <c r="I758" s="34"/>
      <c r="J758" s="34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116"/>
      <c r="V758" s="2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</row>
    <row r="759" spans="1:39" ht="9.75" customHeight="1" x14ac:dyDescent="0.25">
      <c r="A759" s="1"/>
      <c r="B759" s="26"/>
      <c r="C759" s="27"/>
      <c r="D759" s="27"/>
      <c r="E759" s="27"/>
      <c r="F759" s="26"/>
      <c r="G759" s="26"/>
      <c r="H759" s="26"/>
      <c r="I759" s="34"/>
      <c r="J759" s="34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116"/>
      <c r="V759" s="2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</row>
    <row r="760" spans="1:39" ht="9.75" customHeight="1" x14ac:dyDescent="0.25">
      <c r="A760" s="1"/>
      <c r="B760" s="26"/>
      <c r="C760" s="27"/>
      <c r="D760" s="27"/>
      <c r="E760" s="27"/>
      <c r="F760" s="26"/>
      <c r="G760" s="26"/>
      <c r="H760" s="26"/>
      <c r="I760" s="34"/>
      <c r="J760" s="34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116"/>
      <c r="V760" s="2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</row>
    <row r="761" spans="1:39" ht="9.75" customHeight="1" x14ac:dyDescent="0.25">
      <c r="A761" s="1"/>
      <c r="B761" s="26"/>
      <c r="C761" s="27"/>
      <c r="D761" s="27"/>
      <c r="E761" s="27"/>
      <c r="F761" s="26"/>
      <c r="G761" s="26"/>
      <c r="H761" s="26"/>
      <c r="I761" s="34"/>
      <c r="J761" s="34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116"/>
      <c r="V761" s="2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</row>
    <row r="762" spans="1:39" ht="9.75" customHeight="1" x14ac:dyDescent="0.25">
      <c r="A762" s="1"/>
      <c r="B762" s="26"/>
      <c r="C762" s="27"/>
      <c r="D762" s="27"/>
      <c r="E762" s="27"/>
      <c r="F762" s="26"/>
      <c r="G762" s="26"/>
      <c r="H762" s="26"/>
      <c r="I762" s="34"/>
      <c r="J762" s="34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116"/>
      <c r="V762" s="2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</row>
    <row r="763" spans="1:39" ht="9.75" customHeight="1" x14ac:dyDescent="0.25">
      <c r="A763" s="1"/>
      <c r="B763" s="26"/>
      <c r="C763" s="27"/>
      <c r="D763" s="27"/>
      <c r="E763" s="27"/>
      <c r="F763" s="26"/>
      <c r="G763" s="26"/>
      <c r="H763" s="26"/>
      <c r="I763" s="34"/>
      <c r="J763" s="34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116"/>
      <c r="V763" s="2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</row>
    <row r="764" spans="1:39" ht="9.75" customHeight="1" x14ac:dyDescent="0.25">
      <c r="A764" s="1"/>
      <c r="B764" s="26"/>
      <c r="C764" s="27"/>
      <c r="D764" s="27"/>
      <c r="E764" s="27"/>
      <c r="F764" s="26"/>
      <c r="G764" s="26"/>
      <c r="H764" s="26"/>
      <c r="I764" s="34"/>
      <c r="J764" s="34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116"/>
      <c r="V764" s="2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</row>
    <row r="765" spans="1:39" ht="9.75" customHeight="1" x14ac:dyDescent="0.25">
      <c r="A765" s="1"/>
      <c r="B765" s="26"/>
      <c r="C765" s="27"/>
      <c r="D765" s="27"/>
      <c r="E765" s="27"/>
      <c r="F765" s="26"/>
      <c r="G765" s="26"/>
      <c r="H765" s="26"/>
      <c r="I765" s="34"/>
      <c r="J765" s="34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116"/>
      <c r="V765" s="2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</row>
    <row r="766" spans="1:39" ht="9.75" customHeight="1" x14ac:dyDescent="0.25">
      <c r="A766" s="1"/>
      <c r="B766" s="26"/>
      <c r="C766" s="27"/>
      <c r="D766" s="27"/>
      <c r="E766" s="27"/>
      <c r="F766" s="26"/>
      <c r="G766" s="26"/>
      <c r="H766" s="26"/>
      <c r="I766" s="34"/>
      <c r="J766" s="34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116"/>
      <c r="V766" s="2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</row>
    <row r="767" spans="1:39" ht="9.75" customHeight="1" x14ac:dyDescent="0.25">
      <c r="A767" s="1"/>
      <c r="B767" s="26"/>
      <c r="C767" s="27"/>
      <c r="D767" s="27"/>
      <c r="E767" s="27"/>
      <c r="F767" s="26"/>
      <c r="G767" s="26"/>
      <c r="H767" s="26"/>
      <c r="I767" s="34"/>
      <c r="J767" s="34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116"/>
      <c r="V767" s="2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</row>
    <row r="768" spans="1:39" ht="9.75" customHeight="1" x14ac:dyDescent="0.25">
      <c r="A768" s="1"/>
      <c r="B768" s="26"/>
      <c r="C768" s="27"/>
      <c r="D768" s="27"/>
      <c r="E768" s="27"/>
      <c r="F768" s="26"/>
      <c r="G768" s="26"/>
      <c r="H768" s="26"/>
      <c r="I768" s="34"/>
      <c r="J768" s="34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116"/>
      <c r="V768" s="2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</row>
    <row r="769" spans="1:39" ht="9.75" customHeight="1" x14ac:dyDescent="0.25">
      <c r="A769" s="1"/>
      <c r="B769" s="26"/>
      <c r="C769" s="27"/>
      <c r="D769" s="27"/>
      <c r="E769" s="27"/>
      <c r="F769" s="26"/>
      <c r="G769" s="26"/>
      <c r="H769" s="26"/>
      <c r="I769" s="34"/>
      <c r="J769" s="34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116"/>
      <c r="V769" s="2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</row>
    <row r="770" spans="1:39" ht="9.75" customHeight="1" x14ac:dyDescent="0.25">
      <c r="A770" s="1"/>
      <c r="B770" s="26"/>
      <c r="C770" s="27"/>
      <c r="D770" s="27"/>
      <c r="E770" s="27"/>
      <c r="F770" s="26"/>
      <c r="G770" s="26"/>
      <c r="H770" s="26"/>
      <c r="I770" s="34"/>
      <c r="J770" s="34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116"/>
      <c r="V770" s="2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</row>
    <row r="771" spans="1:39" ht="9.75" customHeight="1" x14ac:dyDescent="0.25">
      <c r="A771" s="1"/>
      <c r="B771" s="26"/>
      <c r="C771" s="27"/>
      <c r="D771" s="27"/>
      <c r="E771" s="27"/>
      <c r="F771" s="26"/>
      <c r="G771" s="26"/>
      <c r="H771" s="26"/>
      <c r="I771" s="34"/>
      <c r="J771" s="34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116"/>
      <c r="V771" s="2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</row>
    <row r="772" spans="1:39" ht="9.75" customHeight="1" x14ac:dyDescent="0.25">
      <c r="A772" s="1"/>
      <c r="B772" s="26"/>
      <c r="C772" s="27"/>
      <c r="D772" s="27"/>
      <c r="E772" s="27"/>
      <c r="F772" s="26"/>
      <c r="G772" s="26"/>
      <c r="H772" s="26"/>
      <c r="I772" s="34"/>
      <c r="J772" s="34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116"/>
      <c r="V772" s="2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</row>
    <row r="773" spans="1:39" ht="9.75" customHeight="1" x14ac:dyDescent="0.25">
      <c r="A773" s="1"/>
      <c r="B773" s="26"/>
      <c r="C773" s="27"/>
      <c r="D773" s="27"/>
      <c r="E773" s="27"/>
      <c r="F773" s="26"/>
      <c r="G773" s="26"/>
      <c r="H773" s="26"/>
      <c r="I773" s="34"/>
      <c r="J773" s="34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116"/>
      <c r="V773" s="2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</row>
    <row r="774" spans="1:39" ht="9.75" customHeight="1" x14ac:dyDescent="0.25">
      <c r="A774" s="1"/>
      <c r="B774" s="26"/>
      <c r="C774" s="27"/>
      <c r="D774" s="27"/>
      <c r="E774" s="27"/>
      <c r="F774" s="26"/>
      <c r="G774" s="26"/>
      <c r="H774" s="26"/>
      <c r="I774" s="34"/>
      <c r="J774" s="34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116"/>
      <c r="V774" s="2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</row>
    <row r="775" spans="1:39" ht="9.75" customHeight="1" x14ac:dyDescent="0.25">
      <c r="A775" s="1"/>
      <c r="B775" s="26"/>
      <c r="C775" s="27"/>
      <c r="D775" s="27"/>
      <c r="E775" s="27"/>
      <c r="F775" s="26"/>
      <c r="G775" s="26"/>
      <c r="H775" s="26"/>
      <c r="I775" s="34"/>
      <c r="J775" s="34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116"/>
      <c r="V775" s="2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</row>
    <row r="776" spans="1:39" ht="9.75" customHeight="1" x14ac:dyDescent="0.25">
      <c r="A776" s="1"/>
      <c r="B776" s="26"/>
      <c r="C776" s="27"/>
      <c r="D776" s="27"/>
      <c r="E776" s="27"/>
      <c r="F776" s="26"/>
      <c r="G776" s="26"/>
      <c r="H776" s="26"/>
      <c r="I776" s="34"/>
      <c r="J776" s="34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116"/>
      <c r="V776" s="2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</row>
    <row r="777" spans="1:39" ht="9.75" customHeight="1" x14ac:dyDescent="0.25">
      <c r="A777" s="1"/>
      <c r="B777" s="26"/>
      <c r="C777" s="27"/>
      <c r="D777" s="27"/>
      <c r="E777" s="27"/>
      <c r="F777" s="26"/>
      <c r="G777" s="26"/>
      <c r="H777" s="26"/>
      <c r="I777" s="34"/>
      <c r="J777" s="34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116"/>
      <c r="V777" s="2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</row>
    <row r="778" spans="1:39" ht="9.75" customHeight="1" x14ac:dyDescent="0.25">
      <c r="A778" s="1"/>
      <c r="B778" s="26"/>
      <c r="C778" s="27"/>
      <c r="D778" s="27"/>
      <c r="E778" s="27"/>
      <c r="F778" s="26"/>
      <c r="G778" s="26"/>
      <c r="H778" s="26"/>
      <c r="I778" s="34"/>
      <c r="J778" s="34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116"/>
      <c r="V778" s="2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</row>
    <row r="779" spans="1:39" ht="9.75" customHeight="1" x14ac:dyDescent="0.25">
      <c r="A779" s="1"/>
      <c r="B779" s="26"/>
      <c r="C779" s="27"/>
      <c r="D779" s="27"/>
      <c r="E779" s="27"/>
      <c r="F779" s="26"/>
      <c r="G779" s="26"/>
      <c r="H779" s="26"/>
      <c r="I779" s="34"/>
      <c r="J779" s="34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116"/>
      <c r="V779" s="2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</row>
    <row r="780" spans="1:39" ht="9.75" customHeight="1" x14ac:dyDescent="0.25">
      <c r="A780" s="1"/>
      <c r="B780" s="26"/>
      <c r="C780" s="27"/>
      <c r="D780" s="27"/>
      <c r="E780" s="27"/>
      <c r="F780" s="26"/>
      <c r="G780" s="26"/>
      <c r="H780" s="26"/>
      <c r="I780" s="34"/>
      <c r="J780" s="34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116"/>
      <c r="V780" s="2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</row>
    <row r="781" spans="1:39" ht="9.75" customHeight="1" x14ac:dyDescent="0.25">
      <c r="A781" s="1"/>
      <c r="B781" s="26"/>
      <c r="C781" s="27"/>
      <c r="D781" s="27"/>
      <c r="E781" s="27"/>
      <c r="F781" s="26"/>
      <c r="G781" s="26"/>
      <c r="H781" s="26"/>
      <c r="I781" s="34"/>
      <c r="J781" s="34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116"/>
      <c r="V781" s="2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</row>
    <row r="782" spans="1:39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17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17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17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17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17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17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17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17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17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17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17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17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17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17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17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17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17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17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17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17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17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17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17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17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17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17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17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17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17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17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17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17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17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17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17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17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9.7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118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</row>
    <row r="819" spans="1:39" ht="9.7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118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</row>
    <row r="820" spans="1:39" ht="9.75" customHeight="1" x14ac:dyDescent="0.25">
      <c r="A820" s="1"/>
      <c r="B820" s="26"/>
      <c r="C820" s="27"/>
      <c r="D820" s="27"/>
      <c r="E820" s="27"/>
      <c r="F820" s="26"/>
      <c r="G820" s="26"/>
      <c r="H820" s="26"/>
      <c r="I820" s="34"/>
      <c r="J820" s="34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116"/>
      <c r="V820" s="2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</row>
    <row r="821" spans="1:39" ht="9.75" customHeight="1" x14ac:dyDescent="0.25">
      <c r="A821" s="1"/>
      <c r="B821" s="26"/>
      <c r="C821" s="27"/>
      <c r="D821" s="27"/>
      <c r="E821" s="27"/>
      <c r="F821" s="26"/>
      <c r="G821" s="26"/>
      <c r="H821" s="26"/>
      <c r="I821" s="34"/>
      <c r="J821" s="34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116"/>
      <c r="V821" s="2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</row>
    <row r="822" spans="1:39" ht="9.75" customHeight="1" x14ac:dyDescent="0.25">
      <c r="A822" s="1"/>
      <c r="B822" s="26"/>
      <c r="C822" s="27"/>
      <c r="D822" s="27"/>
      <c r="E822" s="27"/>
      <c r="F822" s="26"/>
      <c r="G822" s="26"/>
      <c r="H822" s="26"/>
      <c r="I822" s="34"/>
      <c r="J822" s="34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116"/>
      <c r="V822" s="2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</row>
    <row r="823" spans="1:39" ht="9.75" customHeight="1" x14ac:dyDescent="0.25">
      <c r="A823" s="1"/>
      <c r="B823" s="26"/>
      <c r="C823" s="27"/>
      <c r="D823" s="27"/>
      <c r="E823" s="27"/>
      <c r="F823" s="26"/>
      <c r="G823" s="26"/>
      <c r="H823" s="26"/>
      <c r="I823" s="34"/>
      <c r="J823" s="34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116"/>
      <c r="V823" s="2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</row>
    <row r="824" spans="1:39" ht="9.75" customHeight="1" x14ac:dyDescent="0.25">
      <c r="A824" s="1"/>
      <c r="B824" s="26"/>
      <c r="C824" s="27"/>
      <c r="D824" s="27"/>
      <c r="E824" s="27"/>
      <c r="F824" s="26"/>
      <c r="G824" s="26"/>
      <c r="H824" s="26"/>
      <c r="I824" s="34"/>
      <c r="J824" s="34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116"/>
      <c r="V824" s="2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</row>
    <row r="825" spans="1:39" ht="9.75" customHeight="1" x14ac:dyDescent="0.25">
      <c r="A825" s="1"/>
      <c r="B825" s="26"/>
      <c r="C825" s="27"/>
      <c r="D825" s="27"/>
      <c r="E825" s="27"/>
      <c r="F825" s="26"/>
      <c r="G825" s="26"/>
      <c r="H825" s="26"/>
      <c r="I825" s="34"/>
      <c r="J825" s="34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116"/>
      <c r="V825" s="2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</row>
    <row r="826" spans="1:39" ht="9.75" customHeight="1" x14ac:dyDescent="0.25">
      <c r="A826" s="1"/>
      <c r="B826" s="26"/>
      <c r="C826" s="27"/>
      <c r="D826" s="27"/>
      <c r="E826" s="27"/>
      <c r="F826" s="26"/>
      <c r="G826" s="26"/>
      <c r="H826" s="26"/>
      <c r="I826" s="34"/>
      <c r="J826" s="34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116"/>
      <c r="V826" s="2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</row>
    <row r="827" spans="1:39" ht="9.75" customHeight="1" x14ac:dyDescent="0.25">
      <c r="A827" s="1"/>
      <c r="B827" s="26"/>
      <c r="C827" s="27"/>
      <c r="D827" s="27"/>
      <c r="E827" s="27"/>
      <c r="F827" s="26"/>
      <c r="G827" s="26"/>
      <c r="H827" s="26"/>
      <c r="I827" s="34"/>
      <c r="J827" s="34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116"/>
      <c r="V827" s="2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</row>
    <row r="828" spans="1:39" ht="9.75" customHeight="1" x14ac:dyDescent="0.25">
      <c r="A828" s="1"/>
      <c r="B828" s="26"/>
      <c r="C828" s="27"/>
      <c r="D828" s="27"/>
      <c r="E828" s="27"/>
      <c r="F828" s="26"/>
      <c r="G828" s="26"/>
      <c r="H828" s="26"/>
      <c r="I828" s="34"/>
      <c r="J828" s="34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116"/>
      <c r="V828" s="2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</row>
    <row r="829" spans="1:39" ht="9.75" customHeight="1" x14ac:dyDescent="0.3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119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</row>
    <row r="830" spans="1:39" ht="9.75" customHeight="1" x14ac:dyDescent="0.3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119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</row>
    <row r="831" spans="1:39" ht="9.75" customHeight="1" x14ac:dyDescent="0.3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119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</row>
    <row r="832" spans="1:39" ht="9.75" customHeight="1" x14ac:dyDescent="0.3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119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</row>
    <row r="833" spans="1:39" ht="9.75" customHeight="1" x14ac:dyDescent="0.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119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</row>
    <row r="834" spans="1:39" ht="9.75" customHeight="1" x14ac:dyDescent="0.3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119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</row>
    <row r="835" spans="1:39" ht="9.75" customHeight="1" x14ac:dyDescent="0.3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119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</row>
    <row r="836" spans="1:39" ht="9.75" customHeight="1" x14ac:dyDescent="0.3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119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</row>
    <row r="837" spans="1:39" ht="9.75" customHeight="1" x14ac:dyDescent="0.3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119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</row>
    <row r="838" spans="1:39" ht="9.75" customHeight="1" x14ac:dyDescent="0.3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119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</row>
    <row r="839" spans="1:39" ht="9.75" customHeight="1" x14ac:dyDescent="0.3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119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</row>
    <row r="840" spans="1:39" ht="9.75" customHeight="1" x14ac:dyDescent="0.3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119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</row>
    <row r="841" spans="1:39" ht="9.75" customHeight="1" x14ac:dyDescent="0.3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119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</row>
    <row r="842" spans="1:39" ht="9.75" customHeight="1" x14ac:dyDescent="0.3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119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</row>
    <row r="843" spans="1:39" ht="9.75" customHeight="1" x14ac:dyDescent="0.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119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</row>
    <row r="844" spans="1:39" ht="9.75" customHeight="1" x14ac:dyDescent="0.3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119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</row>
    <row r="845" spans="1:39" ht="9.75" customHeight="1" x14ac:dyDescent="0.3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119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</row>
    <row r="846" spans="1:39" ht="9.75" customHeight="1" x14ac:dyDescent="0.3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119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</row>
    <row r="847" spans="1:39" ht="9.75" customHeight="1" x14ac:dyDescent="0.3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119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</row>
    <row r="848" spans="1:39" ht="9.75" customHeight="1" x14ac:dyDescent="0.3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119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</row>
    <row r="849" spans="1:39" ht="9.75" customHeight="1" x14ac:dyDescent="0.3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119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</row>
    <row r="850" spans="1:39" ht="9.75" customHeight="1" x14ac:dyDescent="0.3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119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</row>
    <row r="851" spans="1:39" ht="9.75" customHeight="1" x14ac:dyDescent="0.3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119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</row>
    <row r="852" spans="1:39" ht="9.75" customHeight="1" x14ac:dyDescent="0.3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119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</row>
    <row r="853" spans="1:39" ht="9.75" customHeight="1" x14ac:dyDescent="0.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119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</row>
    <row r="854" spans="1:39" ht="9.75" customHeight="1" x14ac:dyDescent="0.3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119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</row>
    <row r="855" spans="1:39" ht="9.75" customHeight="1" x14ac:dyDescent="0.3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119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</row>
    <row r="856" spans="1:39" ht="9.75" customHeight="1" x14ac:dyDescent="0.3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119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</row>
    <row r="857" spans="1:39" ht="9.75" customHeight="1" x14ac:dyDescent="0.3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119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</row>
    <row r="858" spans="1:39" ht="9.75" customHeight="1" x14ac:dyDescent="0.3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119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</row>
    <row r="859" spans="1:39" ht="9.75" customHeight="1" x14ac:dyDescent="0.3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119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</row>
    <row r="860" spans="1:39" ht="9.75" customHeight="1" x14ac:dyDescent="0.3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119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</row>
    <row r="861" spans="1:39" ht="9.75" customHeight="1" x14ac:dyDescent="0.3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119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</row>
    <row r="862" spans="1:39" ht="9.75" customHeight="1" x14ac:dyDescent="0.3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119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</row>
    <row r="863" spans="1:39" ht="9.75" customHeight="1" x14ac:dyDescent="0.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119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</row>
    <row r="864" spans="1:39" ht="9.75" customHeight="1" x14ac:dyDescent="0.3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119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</row>
    <row r="865" spans="1:39" ht="9.75" customHeight="1" x14ac:dyDescent="0.3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119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</row>
    <row r="866" spans="1:39" ht="9.75" customHeight="1" x14ac:dyDescent="0.3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119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</row>
    <row r="867" spans="1:39" ht="9.75" customHeight="1" x14ac:dyDescent="0.3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119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</row>
    <row r="868" spans="1:39" ht="9.75" customHeight="1" x14ac:dyDescent="0.3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119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</row>
    <row r="869" spans="1:39" ht="9.75" customHeight="1" x14ac:dyDescent="0.3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119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</row>
    <row r="870" spans="1:39" ht="9.75" customHeight="1" x14ac:dyDescent="0.3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119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</row>
    <row r="871" spans="1:39" ht="9.75" customHeight="1" x14ac:dyDescent="0.3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119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</row>
    <row r="872" spans="1:39" ht="9.75" customHeight="1" x14ac:dyDescent="0.3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119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</row>
    <row r="873" spans="1:39" ht="9.75" customHeight="1" x14ac:dyDescent="0.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119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</row>
    <row r="874" spans="1:39" ht="9.75" customHeight="1" x14ac:dyDescent="0.3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119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</row>
    <row r="875" spans="1:39" ht="9.75" customHeight="1" x14ac:dyDescent="0.3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119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</row>
    <row r="876" spans="1:39" ht="9.75" customHeight="1" x14ac:dyDescent="0.3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119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</row>
    <row r="877" spans="1:39" ht="9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120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</row>
    <row r="878" spans="1:39" ht="9.75" customHeight="1" x14ac:dyDescent="0.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117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</row>
    <row r="879" spans="1:39" ht="9.75" customHeight="1" x14ac:dyDescent="0.25">
      <c r="A879" s="1"/>
      <c r="B879" s="26"/>
      <c r="C879" s="27"/>
      <c r="D879" s="27"/>
      <c r="E879" s="27"/>
      <c r="F879" s="26"/>
      <c r="G879" s="26"/>
      <c r="H879" s="26"/>
      <c r="I879" s="34"/>
      <c r="J879" s="34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116"/>
      <c r="V879" s="2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</row>
    <row r="880" spans="1:39" ht="9.75" customHeight="1" x14ac:dyDescent="0.25">
      <c r="A880" s="1"/>
      <c r="B880" s="26"/>
      <c r="C880" s="27"/>
      <c r="D880" s="27"/>
      <c r="E880" s="27"/>
      <c r="F880" s="26"/>
      <c r="G880" s="26"/>
      <c r="H880" s="26"/>
      <c r="I880" s="34"/>
      <c r="J880" s="34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116"/>
      <c r="V880" s="2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</row>
    <row r="881" spans="1:39" ht="9.75" customHeight="1" x14ac:dyDescent="0.25">
      <c r="A881" s="1"/>
      <c r="B881" s="26"/>
      <c r="C881" s="27"/>
      <c r="D881" s="27"/>
      <c r="E881" s="27"/>
      <c r="F881" s="26"/>
      <c r="G881" s="26"/>
      <c r="H881" s="26"/>
      <c r="I881" s="34"/>
      <c r="J881" s="34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116"/>
      <c r="V881" s="2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</row>
    <row r="882" spans="1:39" ht="9.75" customHeight="1" x14ac:dyDescent="0.25">
      <c r="A882" s="1"/>
      <c r="B882" s="26"/>
      <c r="C882" s="27"/>
      <c r="D882" s="27"/>
      <c r="E882" s="27"/>
      <c r="F882" s="26"/>
      <c r="G882" s="26"/>
      <c r="H882" s="26"/>
      <c r="I882" s="34"/>
      <c r="J882" s="34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116"/>
      <c r="V882" s="2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</row>
    <row r="883" spans="1:39" ht="9.75" customHeight="1" x14ac:dyDescent="0.25">
      <c r="A883" s="1"/>
      <c r="B883" s="26"/>
      <c r="C883" s="27"/>
      <c r="D883" s="27"/>
      <c r="E883" s="27"/>
      <c r="F883" s="26"/>
      <c r="G883" s="26"/>
      <c r="H883" s="26"/>
      <c r="I883" s="34"/>
      <c r="J883" s="34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116"/>
      <c r="V883" s="2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</row>
    <row r="884" spans="1:39" ht="9.75" customHeight="1" x14ac:dyDescent="0.25">
      <c r="A884" s="1"/>
      <c r="B884" s="26"/>
      <c r="C884" s="27"/>
      <c r="D884" s="27"/>
      <c r="E884" s="27"/>
      <c r="F884" s="26"/>
      <c r="G884" s="26"/>
      <c r="H884" s="26"/>
      <c r="I884" s="34"/>
      <c r="J884" s="34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116"/>
      <c r="V884" s="2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</row>
    <row r="885" spans="1:39" ht="9.75" customHeight="1" x14ac:dyDescent="0.25">
      <c r="A885" s="1"/>
      <c r="B885" s="26"/>
      <c r="C885" s="27"/>
      <c r="D885" s="27"/>
      <c r="E885" s="27"/>
      <c r="F885" s="26"/>
      <c r="G885" s="26"/>
      <c r="H885" s="26"/>
      <c r="I885" s="34"/>
      <c r="J885" s="34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116"/>
      <c r="V885" s="2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</row>
    <row r="886" spans="1:39" ht="9.75" customHeight="1" x14ac:dyDescent="0.25">
      <c r="A886" s="1"/>
      <c r="B886" s="26"/>
      <c r="C886" s="27"/>
      <c r="D886" s="27"/>
      <c r="E886" s="27"/>
      <c r="F886" s="26"/>
      <c r="G886" s="26"/>
      <c r="H886" s="26"/>
      <c r="I886" s="34"/>
      <c r="J886" s="34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116"/>
      <c r="V886" s="2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</row>
    <row r="887" spans="1:39" ht="9.75" customHeight="1" x14ac:dyDescent="0.25">
      <c r="A887" s="1"/>
      <c r="B887" s="26"/>
      <c r="C887" s="27"/>
      <c r="D887" s="27"/>
      <c r="E887" s="27"/>
      <c r="F887" s="26"/>
      <c r="G887" s="26"/>
      <c r="H887" s="26"/>
      <c r="I887" s="34"/>
      <c r="J887" s="34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116"/>
      <c r="V887" s="2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</row>
    <row r="888" spans="1:39" ht="9.75" customHeight="1" x14ac:dyDescent="0.25">
      <c r="A888" s="1"/>
      <c r="B888" s="26"/>
      <c r="C888" s="27"/>
      <c r="D888" s="27"/>
      <c r="E888" s="27"/>
      <c r="F888" s="26"/>
      <c r="G888" s="26"/>
      <c r="H888" s="26"/>
      <c r="I888" s="34"/>
      <c r="J888" s="34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116"/>
      <c r="V888" s="2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</row>
    <row r="889" spans="1:39" ht="9.75" customHeight="1" x14ac:dyDescent="0.25">
      <c r="A889" s="1"/>
      <c r="B889" s="26"/>
      <c r="C889" s="27"/>
      <c r="D889" s="27"/>
      <c r="E889" s="27"/>
      <c r="F889" s="26"/>
      <c r="G889" s="26"/>
      <c r="H889" s="26"/>
      <c r="I889" s="34"/>
      <c r="J889" s="34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116"/>
      <c r="V889" s="2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</row>
    <row r="890" spans="1:39" ht="9.75" customHeight="1" x14ac:dyDescent="0.25">
      <c r="A890" s="1"/>
      <c r="B890" s="26"/>
      <c r="C890" s="27"/>
      <c r="D890" s="27"/>
      <c r="E890" s="27"/>
      <c r="F890" s="26"/>
      <c r="G890" s="26"/>
      <c r="H890" s="26"/>
      <c r="I890" s="34"/>
      <c r="J890" s="34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116"/>
      <c r="V890" s="2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</row>
    <row r="891" spans="1:39" ht="9.75" customHeight="1" x14ac:dyDescent="0.25">
      <c r="A891" s="1"/>
      <c r="B891" s="26"/>
      <c r="C891" s="27"/>
      <c r="D891" s="27"/>
      <c r="E891" s="27"/>
      <c r="F891" s="26"/>
      <c r="G891" s="26"/>
      <c r="H891" s="26"/>
      <c r="I891" s="34"/>
      <c r="J891" s="34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116"/>
      <c r="V891" s="2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</row>
    <row r="892" spans="1:39" ht="9.75" customHeight="1" x14ac:dyDescent="0.25">
      <c r="A892" s="1"/>
      <c r="B892" s="26"/>
      <c r="C892" s="27"/>
      <c r="D892" s="27"/>
      <c r="E892" s="27"/>
      <c r="F892" s="26"/>
      <c r="G892" s="26"/>
      <c r="H892" s="26"/>
      <c r="I892" s="34"/>
      <c r="J892" s="34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116"/>
      <c r="V892" s="2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</row>
    <row r="893" spans="1:39" ht="9.75" customHeight="1" x14ac:dyDescent="0.25">
      <c r="A893" s="1"/>
      <c r="B893" s="26"/>
      <c r="C893" s="27"/>
      <c r="D893" s="27"/>
      <c r="E893" s="27"/>
      <c r="F893" s="26"/>
      <c r="G893" s="26"/>
      <c r="H893" s="26"/>
      <c r="I893" s="34"/>
      <c r="J893" s="34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116"/>
      <c r="V893" s="2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</row>
    <row r="894" spans="1:39" ht="9.75" customHeight="1" x14ac:dyDescent="0.25">
      <c r="A894" s="1"/>
      <c r="B894" s="26"/>
      <c r="C894" s="27"/>
      <c r="D894" s="27"/>
      <c r="E894" s="27"/>
      <c r="F894" s="26"/>
      <c r="G894" s="26"/>
      <c r="H894" s="26"/>
      <c r="I894" s="34"/>
      <c r="J894" s="34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116"/>
      <c r="V894" s="2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</row>
    <row r="895" spans="1:39" ht="9.75" customHeight="1" x14ac:dyDescent="0.25">
      <c r="A895" s="1"/>
      <c r="B895" s="26"/>
      <c r="C895" s="27"/>
      <c r="D895" s="27"/>
      <c r="E895" s="27"/>
      <c r="F895" s="26"/>
      <c r="G895" s="26"/>
      <c r="H895" s="26"/>
      <c r="I895" s="34"/>
      <c r="J895" s="34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116"/>
      <c r="V895" s="2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</row>
    <row r="896" spans="1:39" ht="9.75" customHeight="1" x14ac:dyDescent="0.25">
      <c r="A896" s="1"/>
      <c r="B896" s="26"/>
      <c r="C896" s="27"/>
      <c r="D896" s="27"/>
      <c r="E896" s="27"/>
      <c r="F896" s="26"/>
      <c r="G896" s="26"/>
      <c r="H896" s="26"/>
      <c r="I896" s="34"/>
      <c r="J896" s="34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116"/>
      <c r="V896" s="2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</row>
    <row r="897" spans="1:39" ht="9.75" customHeight="1" x14ac:dyDescent="0.25">
      <c r="A897" s="1"/>
      <c r="B897" s="26"/>
      <c r="C897" s="27"/>
      <c r="D897" s="27"/>
      <c r="E897" s="27"/>
      <c r="F897" s="26"/>
      <c r="G897" s="26"/>
      <c r="H897" s="26"/>
      <c r="I897" s="34"/>
      <c r="J897" s="34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116"/>
      <c r="V897" s="2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</row>
    <row r="898" spans="1:39" ht="9.75" customHeight="1" x14ac:dyDescent="0.25">
      <c r="A898" s="1"/>
      <c r="B898" s="26"/>
      <c r="C898" s="27"/>
      <c r="D898" s="27"/>
      <c r="E898" s="27"/>
      <c r="F898" s="26"/>
      <c r="G898" s="26"/>
      <c r="H898" s="26"/>
      <c r="I898" s="34"/>
      <c r="J898" s="34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116"/>
      <c r="V898" s="2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</row>
    <row r="899" spans="1:39" ht="9.75" customHeight="1" x14ac:dyDescent="0.25">
      <c r="A899" s="1"/>
      <c r="B899" s="26"/>
      <c r="C899" s="27"/>
      <c r="D899" s="27"/>
      <c r="E899" s="27"/>
      <c r="F899" s="26"/>
      <c r="G899" s="26"/>
      <c r="H899" s="26"/>
      <c r="I899" s="34"/>
      <c r="J899" s="34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116"/>
      <c r="V899" s="2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</row>
    <row r="900" spans="1:39" ht="9.75" customHeight="1" x14ac:dyDescent="0.25">
      <c r="A900" s="1"/>
      <c r="B900" s="26"/>
      <c r="C900" s="27"/>
      <c r="D900" s="27"/>
      <c r="E900" s="27"/>
      <c r="F900" s="26"/>
      <c r="G900" s="26"/>
      <c r="H900" s="26"/>
      <c r="I900" s="34"/>
      <c r="J900" s="34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116"/>
      <c r="V900" s="2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</row>
    <row r="901" spans="1:39" ht="9.75" customHeight="1" x14ac:dyDescent="0.25">
      <c r="A901" s="1"/>
      <c r="B901" s="26"/>
      <c r="C901" s="27"/>
      <c r="D901" s="27"/>
      <c r="E901" s="27"/>
      <c r="F901" s="26"/>
      <c r="G901" s="26"/>
      <c r="H901" s="26"/>
      <c r="I901" s="34"/>
      <c r="J901" s="34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116"/>
      <c r="V901" s="2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</row>
    <row r="902" spans="1:39" ht="9.75" customHeight="1" x14ac:dyDescent="0.25">
      <c r="A902" s="1"/>
      <c r="B902" s="26"/>
      <c r="C902" s="27"/>
      <c r="D902" s="27"/>
      <c r="E902" s="27"/>
      <c r="F902" s="26"/>
      <c r="G902" s="26"/>
      <c r="H902" s="26"/>
      <c r="I902" s="34"/>
      <c r="J902" s="34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116"/>
      <c r="V902" s="2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</row>
    <row r="903" spans="1:39" ht="9.75" customHeight="1" x14ac:dyDescent="0.25">
      <c r="A903" s="1"/>
      <c r="B903" s="26"/>
      <c r="C903" s="27"/>
      <c r="D903" s="27"/>
      <c r="E903" s="27"/>
      <c r="F903" s="26"/>
      <c r="G903" s="26"/>
      <c r="H903" s="26"/>
      <c r="I903" s="34"/>
      <c r="J903" s="34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116"/>
      <c r="V903" s="2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</row>
    <row r="904" spans="1:39" ht="9.75" customHeight="1" x14ac:dyDescent="0.25">
      <c r="A904" s="1"/>
      <c r="B904" s="26"/>
      <c r="C904" s="27"/>
      <c r="D904" s="27"/>
      <c r="E904" s="27"/>
      <c r="F904" s="26"/>
      <c r="G904" s="26"/>
      <c r="H904" s="26"/>
      <c r="I904" s="34"/>
      <c r="J904" s="34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116"/>
      <c r="V904" s="2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</row>
    <row r="905" spans="1:39" ht="9.75" customHeight="1" x14ac:dyDescent="0.25">
      <c r="A905" s="1"/>
      <c r="B905" s="26"/>
      <c r="C905" s="27"/>
      <c r="D905" s="27"/>
      <c r="E905" s="27"/>
      <c r="F905" s="26"/>
      <c r="G905" s="26"/>
      <c r="H905" s="26"/>
      <c r="I905" s="34"/>
      <c r="J905" s="34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116"/>
      <c r="V905" s="2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</row>
    <row r="906" spans="1:39" ht="9.75" customHeight="1" x14ac:dyDescent="0.25">
      <c r="A906" s="1"/>
      <c r="B906" s="26"/>
      <c r="C906" s="27"/>
      <c r="D906" s="27"/>
      <c r="E906" s="27"/>
      <c r="F906" s="26"/>
      <c r="G906" s="26"/>
      <c r="H906" s="26"/>
      <c r="I906" s="34"/>
      <c r="J906" s="34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116"/>
      <c r="V906" s="2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</row>
    <row r="907" spans="1:39" ht="9.75" customHeight="1" x14ac:dyDescent="0.25">
      <c r="A907" s="1"/>
      <c r="B907" s="26"/>
      <c r="C907" s="27"/>
      <c r="D907" s="27"/>
      <c r="E907" s="27"/>
      <c r="F907" s="26"/>
      <c r="G907" s="26"/>
      <c r="H907" s="26"/>
      <c r="I907" s="34"/>
      <c r="J907" s="34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116"/>
      <c r="V907" s="2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</row>
    <row r="908" spans="1:39" ht="9.75" customHeight="1" x14ac:dyDescent="0.25">
      <c r="A908" s="1"/>
      <c r="B908" s="26"/>
      <c r="C908" s="27"/>
      <c r="D908" s="27"/>
      <c r="E908" s="27"/>
      <c r="F908" s="26"/>
      <c r="G908" s="26"/>
      <c r="H908" s="26"/>
      <c r="I908" s="34"/>
      <c r="J908" s="34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116"/>
      <c r="V908" s="2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</row>
    <row r="909" spans="1:39" ht="9.75" customHeight="1" x14ac:dyDescent="0.25">
      <c r="A909" s="1"/>
      <c r="B909" s="26"/>
      <c r="C909" s="27"/>
      <c r="D909" s="27"/>
      <c r="E909" s="27"/>
      <c r="F909" s="26"/>
      <c r="G909" s="26"/>
      <c r="H909" s="26"/>
      <c r="I909" s="34"/>
      <c r="J909" s="34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116"/>
      <c r="V909" s="2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</row>
    <row r="910" spans="1:39" ht="9.75" customHeight="1" x14ac:dyDescent="0.25">
      <c r="A910" s="1"/>
      <c r="B910" s="26"/>
      <c r="C910" s="27"/>
      <c r="D910" s="27"/>
      <c r="E910" s="27"/>
      <c r="F910" s="26"/>
      <c r="G910" s="26"/>
      <c r="H910" s="26"/>
      <c r="I910" s="34"/>
      <c r="J910" s="34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116"/>
      <c r="V910" s="2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</row>
    <row r="911" spans="1:39" ht="9.75" customHeight="1" x14ac:dyDescent="0.25">
      <c r="A911" s="1"/>
      <c r="B911" s="26"/>
      <c r="C911" s="27"/>
      <c r="D911" s="27"/>
      <c r="E911" s="27"/>
      <c r="F911" s="26"/>
      <c r="G911" s="26"/>
      <c r="H911" s="26"/>
      <c r="I911" s="34"/>
      <c r="J911" s="34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116"/>
      <c r="V911" s="2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</row>
    <row r="912" spans="1:39" ht="9.75" customHeight="1" x14ac:dyDescent="0.25">
      <c r="A912" s="1"/>
      <c r="B912" s="26"/>
      <c r="C912" s="27"/>
      <c r="D912" s="27"/>
      <c r="E912" s="27"/>
      <c r="F912" s="26"/>
      <c r="G912" s="26"/>
      <c r="H912" s="26"/>
      <c r="I912" s="34"/>
      <c r="J912" s="34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116"/>
      <c r="V912" s="2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</row>
    <row r="913" spans="1:39" ht="9.75" customHeight="1" x14ac:dyDescent="0.25">
      <c r="A913" s="1"/>
      <c r="B913" s="26"/>
      <c r="C913" s="27"/>
      <c r="D913" s="27"/>
      <c r="E913" s="27"/>
      <c r="F913" s="26"/>
      <c r="G913" s="26"/>
      <c r="H913" s="26"/>
      <c r="I913" s="34"/>
      <c r="J913" s="34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116"/>
      <c r="V913" s="2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</row>
    <row r="914" spans="1:39" ht="9.75" customHeight="1" x14ac:dyDescent="0.25">
      <c r="A914" s="1"/>
      <c r="B914" s="26"/>
      <c r="C914" s="27"/>
      <c r="D914" s="27"/>
      <c r="E914" s="27"/>
      <c r="F914" s="26"/>
      <c r="G914" s="26"/>
      <c r="H914" s="26"/>
      <c r="I914" s="34"/>
      <c r="J914" s="34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116"/>
      <c r="V914" s="2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</row>
    <row r="915" spans="1:39" ht="9.75" customHeight="1" x14ac:dyDescent="0.25">
      <c r="A915" s="1"/>
      <c r="B915" s="26"/>
      <c r="C915" s="27"/>
      <c r="D915" s="27"/>
      <c r="E915" s="27"/>
      <c r="F915" s="26"/>
      <c r="G915" s="26"/>
      <c r="H915" s="26"/>
      <c r="I915" s="34"/>
      <c r="J915" s="34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116"/>
      <c r="V915" s="2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</row>
    <row r="916" spans="1:39" ht="9.75" customHeight="1" x14ac:dyDescent="0.25">
      <c r="A916" s="1"/>
      <c r="B916" s="26"/>
      <c r="C916" s="27"/>
      <c r="D916" s="27"/>
      <c r="E916" s="27"/>
      <c r="F916" s="26"/>
      <c r="G916" s="26"/>
      <c r="H916" s="26"/>
      <c r="I916" s="34"/>
      <c r="J916" s="34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116"/>
      <c r="V916" s="2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</row>
    <row r="917" spans="1:39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17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17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17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9.75" customHeight="1" x14ac:dyDescent="0.25">
      <c r="A920" s="84"/>
      <c r="B920" s="10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123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</row>
    <row r="921" spans="1:39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17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17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17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17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17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17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17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9.75" customHeight="1" x14ac:dyDescent="0.25">
      <c r="A928" s="1"/>
      <c r="B928" s="26"/>
      <c r="C928" s="27"/>
      <c r="D928" s="27"/>
      <c r="E928" s="27"/>
      <c r="F928" s="26"/>
      <c r="G928" s="26"/>
      <c r="H928" s="26"/>
      <c r="I928" s="34"/>
      <c r="J928" s="34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116"/>
      <c r="V928" s="2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</row>
    <row r="929" spans="1:39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17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17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17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9.75" customHeight="1" x14ac:dyDescent="0.25">
      <c r="A932" s="1"/>
      <c r="B932" s="26"/>
      <c r="C932" s="27"/>
      <c r="D932" s="27"/>
      <c r="E932" s="27"/>
      <c r="F932" s="26"/>
      <c r="G932" s="26"/>
      <c r="H932" s="26"/>
      <c r="I932" s="34"/>
      <c r="J932" s="34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116"/>
      <c r="V932" s="2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</row>
    <row r="933" spans="1:39" ht="9.75" customHeight="1" x14ac:dyDescent="0.25">
      <c r="A933" s="1"/>
      <c r="B933" s="26"/>
      <c r="C933" s="27"/>
      <c r="D933" s="27"/>
      <c r="E933" s="27"/>
      <c r="F933" s="26"/>
      <c r="G933" s="26"/>
      <c r="H933" s="26"/>
      <c r="I933" s="34"/>
      <c r="J933" s="34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116"/>
      <c r="V933" s="2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</row>
    <row r="934" spans="1:39" ht="9.75" customHeight="1" x14ac:dyDescent="0.25">
      <c r="A934" s="1"/>
      <c r="B934" s="26"/>
      <c r="C934" s="27"/>
      <c r="D934" s="27"/>
      <c r="E934" s="27"/>
      <c r="F934" s="26"/>
      <c r="G934" s="26"/>
      <c r="H934" s="26"/>
      <c r="I934" s="34"/>
      <c r="J934" s="34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116"/>
      <c r="V934" s="2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</row>
    <row r="935" spans="1:39" ht="9.75" customHeight="1" x14ac:dyDescent="0.25">
      <c r="A935" s="1"/>
      <c r="B935" s="26"/>
      <c r="C935" s="27"/>
      <c r="D935" s="27"/>
      <c r="E935" s="27"/>
      <c r="F935" s="26"/>
      <c r="G935" s="26"/>
      <c r="H935" s="26"/>
      <c r="I935" s="34"/>
      <c r="J935" s="34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116"/>
      <c r="V935" s="2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</row>
    <row r="936" spans="1:39" ht="9.75" customHeight="1" x14ac:dyDescent="0.25">
      <c r="A936" s="1"/>
      <c r="B936" s="26"/>
      <c r="C936" s="27"/>
      <c r="D936" s="27"/>
      <c r="E936" s="27"/>
      <c r="F936" s="26"/>
      <c r="G936" s="26"/>
      <c r="H936" s="26"/>
      <c r="I936" s="34"/>
      <c r="J936" s="34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116"/>
      <c r="V936" s="2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</row>
    <row r="937" spans="1:39" ht="9.75" customHeight="1" x14ac:dyDescent="0.25">
      <c r="A937" s="1"/>
      <c r="B937" s="26"/>
      <c r="C937" s="27"/>
      <c r="D937" s="27"/>
      <c r="E937" s="27"/>
      <c r="F937" s="26"/>
      <c r="G937" s="26"/>
      <c r="H937" s="26"/>
      <c r="I937" s="34"/>
      <c r="J937" s="34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116"/>
      <c r="V937" s="2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</row>
    <row r="938" spans="1:39" ht="9.75" customHeight="1" x14ac:dyDescent="0.25">
      <c r="A938" s="1"/>
      <c r="B938" s="26"/>
      <c r="C938" s="27"/>
      <c r="D938" s="27"/>
      <c r="E938" s="27"/>
      <c r="F938" s="26"/>
      <c r="G938" s="26"/>
      <c r="H938" s="26"/>
      <c r="I938" s="34"/>
      <c r="J938" s="34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116"/>
      <c r="V938" s="2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</row>
    <row r="939" spans="1:39" ht="9.75" customHeight="1" x14ac:dyDescent="0.25">
      <c r="A939" s="1"/>
      <c r="B939" s="26"/>
      <c r="C939" s="27"/>
      <c r="D939" s="27"/>
      <c r="E939" s="27"/>
      <c r="F939" s="26"/>
      <c r="G939" s="26"/>
      <c r="H939" s="26"/>
      <c r="I939" s="34"/>
      <c r="J939" s="34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116"/>
      <c r="V939" s="2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</row>
    <row r="940" spans="1:39" ht="9.75" customHeight="1" x14ac:dyDescent="0.25">
      <c r="A940" s="1"/>
      <c r="B940" s="26"/>
      <c r="C940" s="27"/>
      <c r="D940" s="27"/>
      <c r="E940" s="27"/>
      <c r="F940" s="26"/>
      <c r="G940" s="26"/>
      <c r="H940" s="26"/>
      <c r="I940" s="34"/>
      <c r="J940" s="34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116"/>
      <c r="V940" s="2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</row>
    <row r="941" spans="1:39" ht="9.75" customHeight="1" x14ac:dyDescent="0.25">
      <c r="A941" s="1"/>
      <c r="B941" s="26"/>
      <c r="C941" s="27"/>
      <c r="D941" s="27"/>
      <c r="E941" s="27"/>
      <c r="F941" s="26"/>
      <c r="G941" s="26"/>
      <c r="H941" s="26"/>
      <c r="I941" s="34"/>
      <c r="J941" s="34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116"/>
      <c r="V941" s="2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</row>
    <row r="942" spans="1:39" ht="9.75" customHeight="1" x14ac:dyDescent="0.25">
      <c r="A942" s="1"/>
      <c r="B942" s="26"/>
      <c r="C942" s="27"/>
      <c r="D942" s="27"/>
      <c r="E942" s="27"/>
      <c r="F942" s="26"/>
      <c r="G942" s="26"/>
      <c r="H942" s="26"/>
      <c r="I942" s="34"/>
      <c r="J942" s="34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116"/>
      <c r="V942" s="2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</row>
    <row r="943" spans="1:39" ht="9.75" customHeight="1" x14ac:dyDescent="0.25">
      <c r="A943" s="1"/>
      <c r="B943" s="26"/>
      <c r="C943" s="27"/>
      <c r="D943" s="27"/>
      <c r="E943" s="27"/>
      <c r="F943" s="26"/>
      <c r="G943" s="26"/>
      <c r="H943" s="26"/>
      <c r="I943" s="34"/>
      <c r="J943" s="34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116"/>
      <c r="V943" s="2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</row>
    <row r="944" spans="1:39" ht="9.75" customHeight="1" x14ac:dyDescent="0.25">
      <c r="A944" s="1"/>
      <c r="B944" s="26"/>
      <c r="C944" s="27"/>
      <c r="D944" s="27"/>
      <c r="E944" s="27"/>
      <c r="F944" s="26"/>
      <c r="G944" s="26"/>
      <c r="H944" s="26"/>
      <c r="I944" s="34"/>
      <c r="J944" s="34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116"/>
      <c r="V944" s="2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</row>
    <row r="945" spans="1:39" ht="9.75" customHeight="1" x14ac:dyDescent="0.25">
      <c r="A945" s="1"/>
      <c r="B945" s="26"/>
      <c r="C945" s="27"/>
      <c r="D945" s="27"/>
      <c r="E945" s="27"/>
      <c r="F945" s="26"/>
      <c r="G945" s="26"/>
      <c r="H945" s="26"/>
      <c r="I945" s="34"/>
      <c r="J945" s="34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116"/>
      <c r="V945" s="2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</row>
    <row r="946" spans="1:39" ht="9.75" customHeight="1" x14ac:dyDescent="0.25">
      <c r="A946" s="1"/>
      <c r="B946" s="26"/>
      <c r="C946" s="27"/>
      <c r="D946" s="27"/>
      <c r="E946" s="27"/>
      <c r="F946" s="26"/>
      <c r="G946" s="26"/>
      <c r="H946" s="26"/>
      <c r="I946" s="34"/>
      <c r="J946" s="34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116"/>
      <c r="V946" s="2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</row>
    <row r="947" spans="1:39" ht="9.75" customHeight="1" x14ac:dyDescent="0.25">
      <c r="A947" s="1"/>
      <c r="B947" s="26"/>
      <c r="C947" s="27"/>
      <c r="D947" s="27"/>
      <c r="E947" s="27"/>
      <c r="F947" s="26"/>
      <c r="G947" s="26"/>
      <c r="H947" s="26"/>
      <c r="I947" s="34"/>
      <c r="J947" s="34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116"/>
      <c r="V947" s="2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</row>
    <row r="948" spans="1:39" ht="9.75" customHeight="1" x14ac:dyDescent="0.25">
      <c r="A948" s="1"/>
      <c r="B948" s="26"/>
      <c r="C948" s="27"/>
      <c r="D948" s="27"/>
      <c r="E948" s="27"/>
      <c r="F948" s="26"/>
      <c r="G948" s="26"/>
      <c r="H948" s="26"/>
      <c r="I948" s="34"/>
      <c r="J948" s="34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116"/>
      <c r="V948" s="2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</row>
    <row r="949" spans="1:39" ht="9.75" customHeight="1" x14ac:dyDescent="0.25">
      <c r="A949" s="1"/>
      <c r="B949" s="26"/>
      <c r="C949" s="27"/>
      <c r="D949" s="27"/>
      <c r="E949" s="27"/>
      <c r="F949" s="26"/>
      <c r="G949" s="26"/>
      <c r="H949" s="26"/>
      <c r="I949" s="34"/>
      <c r="J949" s="34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116"/>
      <c r="V949" s="2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</row>
    <row r="950" spans="1:39" ht="9.75" customHeight="1" x14ac:dyDescent="0.25">
      <c r="A950" s="1"/>
      <c r="B950" s="26"/>
      <c r="C950" s="27"/>
      <c r="D950" s="27"/>
      <c r="E950" s="27"/>
      <c r="F950" s="26"/>
      <c r="G950" s="26"/>
      <c r="H950" s="26"/>
      <c r="I950" s="34"/>
      <c r="J950" s="34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116"/>
      <c r="V950" s="2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</row>
    <row r="951" spans="1:39" ht="9.75" customHeight="1" x14ac:dyDescent="0.25">
      <c r="A951" s="1"/>
      <c r="B951" s="26"/>
      <c r="C951" s="27"/>
      <c r="D951" s="27"/>
      <c r="E951" s="27"/>
      <c r="F951" s="26"/>
      <c r="G951" s="26"/>
      <c r="H951" s="26"/>
      <c r="I951" s="34"/>
      <c r="J951" s="34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116"/>
      <c r="V951" s="2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</row>
    <row r="952" spans="1:39" ht="9.75" customHeight="1" x14ac:dyDescent="0.25">
      <c r="A952" s="1"/>
      <c r="B952" s="26"/>
      <c r="C952" s="27"/>
      <c r="D952" s="27"/>
      <c r="E952" s="27"/>
      <c r="F952" s="26"/>
      <c r="G952" s="26"/>
      <c r="H952" s="26"/>
      <c r="I952" s="34"/>
      <c r="J952" s="34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116"/>
      <c r="V952" s="2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</row>
    <row r="953" spans="1:39" ht="9.75" customHeight="1" x14ac:dyDescent="0.25">
      <c r="A953" s="1"/>
      <c r="B953" s="26"/>
      <c r="C953" s="27"/>
      <c r="D953" s="27"/>
      <c r="E953" s="27"/>
      <c r="F953" s="26"/>
      <c r="G953" s="26"/>
      <c r="H953" s="26"/>
      <c r="I953" s="34"/>
      <c r="J953" s="34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116"/>
      <c r="V953" s="2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</row>
    <row r="954" spans="1:39" ht="9.75" customHeight="1" x14ac:dyDescent="0.25">
      <c r="A954" s="1"/>
      <c r="B954" s="26"/>
      <c r="C954" s="27"/>
      <c r="D954" s="27"/>
      <c r="E954" s="27"/>
      <c r="F954" s="26"/>
      <c r="G954" s="26"/>
      <c r="H954" s="26"/>
      <c r="I954" s="34"/>
      <c r="J954" s="34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116"/>
      <c r="V954" s="2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</row>
    <row r="955" spans="1:39" ht="9.75" customHeight="1" x14ac:dyDescent="0.25">
      <c r="A955" s="1"/>
      <c r="B955" s="26"/>
      <c r="C955" s="27"/>
      <c r="D955" s="27"/>
      <c r="E955" s="27"/>
      <c r="F955" s="26"/>
      <c r="G955" s="26"/>
      <c r="H955" s="26"/>
      <c r="I955" s="34"/>
      <c r="J955" s="34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116"/>
      <c r="V955" s="2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</row>
    <row r="956" spans="1:39" ht="9.75" customHeight="1" x14ac:dyDescent="0.25">
      <c r="A956" s="1"/>
      <c r="B956" s="26"/>
      <c r="C956" s="27"/>
      <c r="D956" s="27"/>
      <c r="E956" s="27"/>
      <c r="F956" s="26"/>
      <c r="G956" s="26"/>
      <c r="H956" s="26"/>
      <c r="I956" s="34"/>
      <c r="J956" s="34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116"/>
      <c r="V956" s="2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</row>
    <row r="957" spans="1:39" ht="9.75" customHeight="1" x14ac:dyDescent="0.25">
      <c r="A957" s="1"/>
      <c r="B957" s="26"/>
      <c r="C957" s="27"/>
      <c r="D957" s="27"/>
      <c r="E957" s="27"/>
      <c r="F957" s="26"/>
      <c r="G957" s="26"/>
      <c r="H957" s="26"/>
      <c r="I957" s="34"/>
      <c r="J957" s="34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116"/>
      <c r="V957" s="2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</row>
    <row r="958" spans="1:39" ht="9.75" customHeight="1" x14ac:dyDescent="0.25">
      <c r="A958" s="1"/>
      <c r="B958" s="26"/>
      <c r="C958" s="27"/>
      <c r="D958" s="27"/>
      <c r="E958" s="27"/>
      <c r="F958" s="26"/>
      <c r="G958" s="26"/>
      <c r="H958" s="26"/>
      <c r="I958" s="34"/>
      <c r="J958" s="34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116"/>
      <c r="V958" s="2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</row>
    <row r="959" spans="1:39" ht="9.75" customHeight="1" x14ac:dyDescent="0.25">
      <c r="A959" s="1"/>
      <c r="B959" s="26"/>
      <c r="C959" s="27"/>
      <c r="D959" s="27"/>
      <c r="E959" s="27"/>
      <c r="F959" s="26"/>
      <c r="G959" s="26"/>
      <c r="H959" s="26"/>
      <c r="I959" s="34"/>
      <c r="J959" s="34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116"/>
      <c r="V959" s="2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</row>
    <row r="960" spans="1:39" ht="9.75" customHeight="1" x14ac:dyDescent="0.25">
      <c r="A960" s="1"/>
      <c r="B960" s="26"/>
      <c r="C960" s="27"/>
      <c r="D960" s="27"/>
      <c r="E960" s="27"/>
      <c r="F960" s="26"/>
      <c r="G960" s="26"/>
      <c r="H960" s="26"/>
      <c r="I960" s="34"/>
      <c r="J960" s="34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116"/>
      <c r="V960" s="2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</row>
    <row r="961" spans="1:39" ht="9.75" customHeight="1" x14ac:dyDescent="0.25">
      <c r="A961" s="1"/>
      <c r="B961" s="26"/>
      <c r="C961" s="27"/>
      <c r="D961" s="27"/>
      <c r="E961" s="27"/>
      <c r="F961" s="26"/>
      <c r="G961" s="26"/>
      <c r="H961" s="26"/>
      <c r="I961" s="34"/>
      <c r="J961" s="34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116"/>
      <c r="V961" s="2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</row>
    <row r="962" spans="1:39" ht="9.75" customHeight="1" x14ac:dyDescent="0.25">
      <c r="A962" s="1"/>
      <c r="B962" s="26"/>
      <c r="C962" s="27"/>
      <c r="D962" s="27"/>
      <c r="E962" s="27"/>
      <c r="F962" s="26"/>
      <c r="G962" s="26"/>
      <c r="H962" s="26"/>
      <c r="I962" s="34"/>
      <c r="J962" s="34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116"/>
      <c r="V962" s="2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</row>
    <row r="963" spans="1:39" ht="9.75" customHeight="1" x14ac:dyDescent="0.25">
      <c r="A963" s="1"/>
      <c r="B963" s="26"/>
      <c r="C963" s="27"/>
      <c r="D963" s="27"/>
      <c r="E963" s="27"/>
      <c r="F963" s="26"/>
      <c r="G963" s="26"/>
      <c r="H963" s="26"/>
      <c r="I963" s="34"/>
      <c r="J963" s="34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116"/>
      <c r="V963" s="2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</row>
    <row r="964" spans="1:39" ht="9.75" customHeight="1" x14ac:dyDescent="0.25">
      <c r="A964" s="1"/>
      <c r="B964" s="26"/>
      <c r="C964" s="27"/>
      <c r="D964" s="27"/>
      <c r="E964" s="27"/>
      <c r="F964" s="26"/>
      <c r="G964" s="26"/>
      <c r="H964" s="26"/>
      <c r="I964" s="34"/>
      <c r="J964" s="34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116"/>
      <c r="V964" s="2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</row>
    <row r="965" spans="1:39" ht="9.75" customHeight="1" x14ac:dyDescent="0.25">
      <c r="A965" s="1"/>
      <c r="B965" s="26"/>
      <c r="C965" s="27"/>
      <c r="D965" s="27"/>
      <c r="E965" s="27"/>
      <c r="F965" s="26"/>
      <c r="G965" s="26"/>
      <c r="H965" s="26"/>
      <c r="I965" s="34"/>
      <c r="J965" s="34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116"/>
      <c r="V965" s="2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</row>
    <row r="966" spans="1:39" ht="9.75" customHeight="1" x14ac:dyDescent="0.25">
      <c r="A966" s="1"/>
      <c r="B966" s="26"/>
      <c r="C966" s="27"/>
      <c r="D966" s="27"/>
      <c r="E966" s="27"/>
      <c r="F966" s="26"/>
      <c r="G966" s="26"/>
      <c r="H966" s="26"/>
      <c r="I966" s="34"/>
      <c r="J966" s="34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116"/>
      <c r="V966" s="2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</row>
    <row r="967" spans="1:39" ht="9.75" customHeight="1" x14ac:dyDescent="0.25">
      <c r="A967" s="1"/>
      <c r="B967" s="26"/>
      <c r="C967" s="27"/>
      <c r="D967" s="27"/>
      <c r="E967" s="27"/>
      <c r="F967" s="26"/>
      <c r="G967" s="26"/>
      <c r="H967" s="26"/>
      <c r="I967" s="34"/>
      <c r="J967" s="34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116"/>
      <c r="V967" s="2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</row>
    <row r="968" spans="1:39" ht="9.75" customHeight="1" x14ac:dyDescent="0.25">
      <c r="A968" s="1"/>
      <c r="B968" s="26"/>
      <c r="C968" s="27"/>
      <c r="D968" s="27"/>
      <c r="E968" s="27"/>
      <c r="F968" s="26"/>
      <c r="G968" s="26"/>
      <c r="H968" s="26"/>
      <c r="I968" s="34"/>
      <c r="J968" s="34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116"/>
      <c r="V968" s="2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</row>
    <row r="969" spans="1:39" ht="9.75" customHeight="1" x14ac:dyDescent="0.25">
      <c r="A969" s="1"/>
      <c r="B969" s="26"/>
      <c r="C969" s="27"/>
      <c r="D969" s="27"/>
      <c r="E969" s="27"/>
      <c r="F969" s="26"/>
      <c r="G969" s="26"/>
      <c r="H969" s="26"/>
      <c r="I969" s="34"/>
      <c r="J969" s="34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116"/>
      <c r="V969" s="2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</row>
    <row r="970" spans="1:39" ht="9.75" customHeight="1" x14ac:dyDescent="0.25">
      <c r="A970" s="1"/>
      <c r="B970" s="26"/>
      <c r="C970" s="27"/>
      <c r="D970" s="27"/>
      <c r="E970" s="27"/>
      <c r="F970" s="26"/>
      <c r="G970" s="26"/>
      <c r="H970" s="26"/>
      <c r="I970" s="34"/>
      <c r="J970" s="34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116"/>
      <c r="V970" s="2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</row>
    <row r="971" spans="1:39" ht="9.75" customHeight="1" x14ac:dyDescent="0.25">
      <c r="A971" s="1"/>
      <c r="B971" s="26"/>
      <c r="C971" s="27"/>
      <c r="D971" s="27"/>
      <c r="E971" s="27"/>
      <c r="F971" s="26"/>
      <c r="G971" s="26"/>
      <c r="H971" s="26"/>
      <c r="I971" s="34"/>
      <c r="J971" s="34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116"/>
      <c r="V971" s="2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</row>
    <row r="972" spans="1:39" ht="9.75" customHeight="1" x14ac:dyDescent="0.25">
      <c r="A972" s="1"/>
      <c r="B972" s="26"/>
      <c r="C972" s="27"/>
      <c r="D972" s="27"/>
      <c r="E972" s="27"/>
      <c r="F972" s="26"/>
      <c r="G972" s="26"/>
      <c r="H972" s="26"/>
      <c r="I972" s="34"/>
      <c r="J972" s="34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116"/>
      <c r="V972" s="2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</row>
    <row r="973" spans="1:39" ht="9.75" customHeight="1" x14ac:dyDescent="0.25">
      <c r="A973" s="1"/>
      <c r="B973" s="26"/>
      <c r="C973" s="27"/>
      <c r="D973" s="27"/>
      <c r="E973" s="27"/>
      <c r="F973" s="26"/>
      <c r="G973" s="26"/>
      <c r="H973" s="26"/>
      <c r="I973" s="34"/>
      <c r="J973" s="34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116"/>
      <c r="V973" s="2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</row>
    <row r="974" spans="1:39" ht="9.75" customHeight="1" x14ac:dyDescent="0.25">
      <c r="A974" s="1"/>
      <c r="B974" s="26"/>
      <c r="C974" s="27"/>
      <c r="D974" s="27"/>
      <c r="E974" s="27"/>
      <c r="F974" s="26"/>
      <c r="G974" s="26"/>
      <c r="H974" s="26"/>
      <c r="I974" s="34"/>
      <c r="J974" s="34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116"/>
      <c r="V974" s="2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</row>
    <row r="975" spans="1:39" ht="9.75" customHeight="1" x14ac:dyDescent="0.25">
      <c r="A975" s="1"/>
      <c r="B975" s="26"/>
      <c r="C975" s="27"/>
      <c r="D975" s="27"/>
      <c r="E975" s="27"/>
      <c r="F975" s="26"/>
      <c r="G975" s="26"/>
      <c r="H975" s="26"/>
      <c r="I975" s="34"/>
      <c r="J975" s="34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116"/>
      <c r="V975" s="2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</row>
    <row r="976" spans="1:39" ht="9.75" customHeight="1" x14ac:dyDescent="0.25">
      <c r="A976" s="1"/>
      <c r="B976" s="26"/>
      <c r="C976" s="27"/>
      <c r="D976" s="27"/>
      <c r="E976" s="27"/>
      <c r="F976" s="26"/>
      <c r="G976" s="26"/>
      <c r="H976" s="26"/>
      <c r="I976" s="34"/>
      <c r="J976" s="34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116"/>
      <c r="V976" s="2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</row>
    <row r="977" spans="1:39" ht="9.75" customHeight="1" x14ac:dyDescent="0.25">
      <c r="A977" s="1"/>
      <c r="B977" s="26"/>
      <c r="C977" s="27"/>
      <c r="D977" s="27"/>
      <c r="E977" s="27"/>
      <c r="F977" s="26"/>
      <c r="G977" s="26"/>
      <c r="H977" s="26"/>
      <c r="I977" s="34"/>
      <c r="J977" s="34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116"/>
      <c r="V977" s="2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</row>
    <row r="978" spans="1:39" ht="9.75" customHeight="1" x14ac:dyDescent="0.25">
      <c r="A978" s="1"/>
      <c r="B978" s="26"/>
      <c r="C978" s="27"/>
      <c r="D978" s="27"/>
      <c r="E978" s="27"/>
      <c r="F978" s="26"/>
      <c r="G978" s="26"/>
      <c r="H978" s="26"/>
      <c r="I978" s="34"/>
      <c r="J978" s="34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116"/>
      <c r="V978" s="2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</row>
    <row r="979" spans="1:39" ht="9.75" customHeight="1" x14ac:dyDescent="0.25">
      <c r="A979" s="1"/>
      <c r="B979" s="26"/>
      <c r="C979" s="27"/>
      <c r="D979" s="27"/>
      <c r="E979" s="27"/>
      <c r="F979" s="26"/>
      <c r="G979" s="26"/>
      <c r="H979" s="26"/>
      <c r="I979" s="34"/>
      <c r="J979" s="34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116"/>
      <c r="V979" s="2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</row>
    <row r="980" spans="1:39" ht="9.75" customHeight="1" x14ac:dyDescent="0.25">
      <c r="A980" s="1"/>
      <c r="B980" s="26"/>
      <c r="C980" s="27"/>
      <c r="D980" s="27"/>
      <c r="E980" s="27"/>
      <c r="F980" s="26"/>
      <c r="G980" s="26"/>
      <c r="H980" s="26"/>
      <c r="I980" s="34"/>
      <c r="J980" s="34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116"/>
      <c r="V980" s="2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</row>
    <row r="981" spans="1:39" ht="9.75" customHeight="1" x14ac:dyDescent="0.25">
      <c r="A981" s="1"/>
      <c r="B981" s="26"/>
      <c r="C981" s="27"/>
      <c r="D981" s="27"/>
      <c r="E981" s="27"/>
      <c r="F981" s="26"/>
      <c r="G981" s="26"/>
      <c r="H981" s="26"/>
      <c r="I981" s="34"/>
      <c r="J981" s="34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116"/>
      <c r="V981" s="2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</row>
    <row r="982" spans="1:39" ht="9.75" customHeight="1" x14ac:dyDescent="0.25">
      <c r="A982" s="1"/>
      <c r="B982" s="26"/>
      <c r="C982" s="27"/>
      <c r="D982" s="27"/>
      <c r="E982" s="27"/>
      <c r="F982" s="26"/>
      <c r="G982" s="26"/>
      <c r="H982" s="26"/>
      <c r="I982" s="34"/>
      <c r="J982" s="34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116"/>
      <c r="V982" s="2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</row>
    <row r="983" spans="1:39" ht="9.75" customHeight="1" x14ac:dyDescent="0.25">
      <c r="A983" s="1"/>
      <c r="B983" s="26"/>
      <c r="C983" s="27"/>
      <c r="D983" s="27"/>
      <c r="E983" s="27"/>
      <c r="F983" s="26"/>
      <c r="G983" s="26"/>
      <c r="H983" s="26"/>
      <c r="I983" s="34"/>
      <c r="J983" s="34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116"/>
      <c r="V983" s="2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</row>
    <row r="984" spans="1:39" ht="9.75" customHeight="1" x14ac:dyDescent="0.25">
      <c r="A984" s="1"/>
      <c r="B984" s="26"/>
      <c r="C984" s="27"/>
      <c r="D984" s="27"/>
      <c r="E984" s="27"/>
      <c r="F984" s="26"/>
      <c r="G984" s="26"/>
      <c r="H984" s="26"/>
      <c r="I984" s="34"/>
      <c r="J984" s="34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116"/>
      <c r="V984" s="2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</row>
    <row r="985" spans="1:39" ht="9.75" customHeight="1" x14ac:dyDescent="0.25">
      <c r="A985" s="1"/>
      <c r="B985" s="26"/>
      <c r="C985" s="27"/>
      <c r="D985" s="27"/>
      <c r="E985" s="27"/>
      <c r="F985" s="26"/>
      <c r="G985" s="26"/>
      <c r="H985" s="26"/>
      <c r="I985" s="34"/>
      <c r="J985" s="34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116"/>
      <c r="V985" s="2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</row>
    <row r="986" spans="1:39" ht="9.75" customHeight="1" x14ac:dyDescent="0.25">
      <c r="A986" s="1"/>
      <c r="B986" s="26"/>
      <c r="C986" s="27"/>
      <c r="D986" s="27"/>
      <c r="E986" s="27"/>
      <c r="F986" s="26"/>
      <c r="G986" s="26"/>
      <c r="H986" s="26"/>
      <c r="I986" s="34"/>
      <c r="J986" s="34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116"/>
      <c r="V986" s="2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</row>
    <row r="987" spans="1:39" ht="9.75" customHeight="1" x14ac:dyDescent="0.25">
      <c r="A987" s="1"/>
      <c r="B987" s="26"/>
      <c r="C987" s="27"/>
      <c r="D987" s="27"/>
      <c r="E987" s="27"/>
      <c r="F987" s="26"/>
      <c r="G987" s="26"/>
      <c r="H987" s="26"/>
      <c r="I987" s="34"/>
      <c r="J987" s="34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116"/>
      <c r="V987" s="2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</row>
    <row r="988" spans="1:39" ht="9.75" customHeight="1" x14ac:dyDescent="0.25">
      <c r="A988" s="1"/>
      <c r="B988" s="26"/>
      <c r="C988" s="27"/>
      <c r="D988" s="27"/>
      <c r="E988" s="27"/>
      <c r="F988" s="26"/>
      <c r="G988" s="26"/>
      <c r="H988" s="26"/>
      <c r="I988" s="34"/>
      <c r="J988" s="34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116"/>
      <c r="V988" s="2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</row>
    <row r="989" spans="1:39" ht="9.75" customHeight="1" x14ac:dyDescent="0.25">
      <c r="A989" s="1"/>
      <c r="B989" s="26"/>
      <c r="C989" s="27"/>
      <c r="D989" s="27"/>
      <c r="E989" s="27"/>
      <c r="F989" s="26"/>
      <c r="G989" s="26"/>
      <c r="H989" s="26"/>
      <c r="I989" s="34"/>
      <c r="J989" s="34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116"/>
      <c r="V989" s="2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</row>
    <row r="990" spans="1:39" ht="9.75" customHeight="1" x14ac:dyDescent="0.25">
      <c r="A990" s="1"/>
      <c r="B990" s="26"/>
      <c r="C990" s="27"/>
      <c r="D990" s="27"/>
      <c r="E990" s="27"/>
      <c r="F990" s="26"/>
      <c r="G990" s="26"/>
      <c r="H990" s="26"/>
      <c r="I990" s="34"/>
      <c r="J990" s="34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116"/>
      <c r="V990" s="2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</row>
    <row r="991" spans="1:39" ht="9.75" customHeight="1" x14ac:dyDescent="0.25">
      <c r="A991" s="1"/>
      <c r="B991" s="26"/>
      <c r="C991" s="27"/>
      <c r="D991" s="27"/>
      <c r="E991" s="27"/>
      <c r="F991" s="26"/>
      <c r="G991" s="26"/>
      <c r="H991" s="26"/>
      <c r="I991" s="34"/>
      <c r="J991" s="34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116"/>
      <c r="V991" s="2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</row>
    <row r="992" spans="1:39" ht="9.75" customHeight="1" x14ac:dyDescent="0.25">
      <c r="A992" s="1"/>
      <c r="B992" s="26"/>
      <c r="C992" s="27"/>
      <c r="D992" s="27"/>
      <c r="E992" s="27"/>
      <c r="F992" s="26"/>
      <c r="G992" s="26"/>
      <c r="H992" s="26"/>
      <c r="I992" s="34"/>
      <c r="J992" s="34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116"/>
      <c r="V992" s="2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</row>
    <row r="993" spans="1:39" ht="9.75" customHeight="1" x14ac:dyDescent="0.25">
      <c r="A993" s="1"/>
      <c r="B993" s="26"/>
      <c r="C993" s="27"/>
      <c r="D993" s="27"/>
      <c r="E993" s="27"/>
      <c r="F993" s="26"/>
      <c r="G993" s="26"/>
      <c r="H993" s="26"/>
      <c r="I993" s="34"/>
      <c r="J993" s="34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116"/>
      <c r="V993" s="2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</row>
    <row r="994" spans="1:39" ht="9.75" customHeight="1" x14ac:dyDescent="0.25">
      <c r="A994" s="1"/>
      <c r="B994" s="26"/>
      <c r="C994" s="27"/>
      <c r="D994" s="27"/>
      <c r="E994" s="27"/>
      <c r="F994" s="26"/>
      <c r="G994" s="26"/>
      <c r="H994" s="26"/>
      <c r="I994" s="34"/>
      <c r="J994" s="34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116"/>
      <c r="V994" s="2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</row>
    <row r="995" spans="1:39" ht="9.75" customHeight="1" x14ac:dyDescent="0.25">
      <c r="A995" s="1"/>
      <c r="B995" s="26"/>
      <c r="C995" s="27"/>
      <c r="D995" s="27"/>
      <c r="E995" s="27"/>
      <c r="F995" s="26"/>
      <c r="G995" s="26"/>
      <c r="H995" s="26"/>
      <c r="I995" s="34"/>
      <c r="J995" s="34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116"/>
      <c r="V995" s="2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</row>
    <row r="996" spans="1:39" ht="9.75" customHeight="1" x14ac:dyDescent="0.25">
      <c r="A996" s="1"/>
      <c r="B996" s="26"/>
      <c r="C996" s="27"/>
      <c r="D996" s="27"/>
      <c r="E996" s="27"/>
      <c r="F996" s="26"/>
      <c r="G996" s="26"/>
      <c r="H996" s="26"/>
      <c r="I996" s="34"/>
      <c r="J996" s="34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116"/>
      <c r="V996" s="2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</row>
    <row r="997" spans="1:39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17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17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17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17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pageMargins left="0.78740157480314965" right="0.78740157480314965" top="0.55118110236220474" bottom="0.98425196850393704" header="0" footer="0"/>
  <pageSetup paperSize="9" fitToHeight="0" orientation="landscape"/>
  <headerFooter>
    <oddFooter>&amp;C800000&amp;F&amp;R800000&amp;P</oddFooter>
  </headerFooter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/>
  </sheetViews>
  <sheetFormatPr baseColWidth="10" defaultColWidth="12.6640625" defaultRowHeight="15" customHeight="1" x14ac:dyDescent="0.25"/>
  <cols>
    <col min="1" max="26" width="11.44140625" customWidth="1"/>
  </cols>
  <sheetData>
    <row r="1" spans="1:18" ht="12.75" customHeight="1" x14ac:dyDescent="0.25"/>
    <row r="2" spans="1:18" ht="12.75" customHeight="1" x14ac:dyDescent="0.25">
      <c r="A2" s="85" t="s">
        <v>209</v>
      </c>
      <c r="I2" s="86" t="s">
        <v>210</v>
      </c>
      <c r="J2" s="87">
        <v>1</v>
      </c>
    </row>
    <row r="3" spans="1:18" ht="12.75" customHeight="1" x14ac:dyDescent="0.25"/>
    <row r="4" spans="1:18" ht="12.75" customHeight="1" x14ac:dyDescent="0.25">
      <c r="F4" s="88" t="s">
        <v>211</v>
      </c>
    </row>
    <row r="5" spans="1:18" ht="12.75" customHeight="1" x14ac:dyDescent="0.25"/>
    <row r="6" spans="1:18" ht="12.75" customHeight="1" x14ac:dyDescent="0.25">
      <c r="A6" s="86" t="s">
        <v>211</v>
      </c>
      <c r="D6" s="89" t="s">
        <v>212</v>
      </c>
      <c r="E6" s="90" t="s">
        <v>213</v>
      </c>
    </row>
    <row r="7" spans="1:18" ht="12.75" customHeight="1" x14ac:dyDescent="0.25"/>
    <row r="8" spans="1:18" ht="12.75" customHeight="1" x14ac:dyDescent="0.25"/>
    <row r="9" spans="1:18" ht="12.75" customHeight="1" x14ac:dyDescent="0.25">
      <c r="A9" s="86" t="s">
        <v>214</v>
      </c>
      <c r="C9" s="90" t="s">
        <v>215</v>
      </c>
      <c r="H9" s="86" t="s">
        <v>216</v>
      </c>
      <c r="J9" s="89" t="s">
        <v>217</v>
      </c>
    </row>
    <row r="10" spans="1:18" ht="12.75" customHeight="1" x14ac:dyDescent="0.25">
      <c r="A10" s="86" t="s">
        <v>218</v>
      </c>
      <c r="C10" s="90" t="s">
        <v>219</v>
      </c>
    </row>
    <row r="11" spans="1:18" ht="12.75" customHeight="1" x14ac:dyDescent="0.25"/>
    <row r="12" spans="1:18" ht="12.75" customHeight="1" x14ac:dyDescent="0.25">
      <c r="A12" s="90" t="s">
        <v>0</v>
      </c>
      <c r="C12" s="90" t="s">
        <v>220</v>
      </c>
      <c r="G12" s="90" t="s">
        <v>221</v>
      </c>
      <c r="H12" s="91" t="s">
        <v>222</v>
      </c>
      <c r="I12" s="91" t="s">
        <v>223</v>
      </c>
      <c r="J12" s="91" t="s">
        <v>224</v>
      </c>
    </row>
    <row r="13" spans="1:18" ht="12.75" customHeight="1" x14ac:dyDescent="0.25"/>
    <row r="14" spans="1:18" ht="12.75" customHeight="1" x14ac:dyDescent="0.25">
      <c r="A14" s="92" t="s">
        <v>3</v>
      </c>
      <c r="E14" s="93" t="s">
        <v>6</v>
      </c>
      <c r="R14" s="94">
        <v>23651.77</v>
      </c>
    </row>
    <row r="15" spans="1:18" ht="12.75" customHeight="1" x14ac:dyDescent="0.25"/>
    <row r="16" spans="1:18" ht="12.75" customHeight="1" x14ac:dyDescent="0.25">
      <c r="A16" s="92" t="s">
        <v>4</v>
      </c>
      <c r="C16" s="92" t="s">
        <v>225</v>
      </c>
      <c r="H16" s="92" t="s">
        <v>226</v>
      </c>
      <c r="I16" s="95">
        <v>18</v>
      </c>
      <c r="K16" s="95">
        <v>126.58</v>
      </c>
      <c r="O16" s="95">
        <v>2278.44</v>
      </c>
    </row>
    <row r="17" spans="1:18" ht="12.75" customHeight="1" x14ac:dyDescent="0.25"/>
    <row r="18" spans="1:18" ht="12.75" customHeight="1" x14ac:dyDescent="0.25">
      <c r="A18" s="92" t="s">
        <v>5</v>
      </c>
      <c r="C18" s="92" t="s">
        <v>227</v>
      </c>
      <c r="H18" s="92" t="s">
        <v>52</v>
      </c>
      <c r="I18" s="95">
        <v>1</v>
      </c>
      <c r="K18" s="95">
        <v>548.21</v>
      </c>
      <c r="O18" s="95">
        <v>548.21</v>
      </c>
    </row>
    <row r="19" spans="1:18" ht="12.75" customHeight="1" x14ac:dyDescent="0.25"/>
    <row r="20" spans="1:18" ht="12.75" customHeight="1" x14ac:dyDescent="0.25">
      <c r="A20" s="92" t="s">
        <v>8</v>
      </c>
      <c r="C20" s="92" t="s">
        <v>228</v>
      </c>
      <c r="H20" s="92" t="s">
        <v>229</v>
      </c>
      <c r="K20" s="95">
        <v>150</v>
      </c>
    </row>
    <row r="21" spans="1:18" ht="12.75" customHeight="1" x14ac:dyDescent="0.25"/>
    <row r="22" spans="1:18" ht="12.75" customHeight="1" x14ac:dyDescent="0.25">
      <c r="A22" s="92" t="s">
        <v>8</v>
      </c>
      <c r="C22" s="92" t="s">
        <v>230</v>
      </c>
      <c r="H22" s="92" t="s">
        <v>229</v>
      </c>
      <c r="K22" s="95">
        <v>350</v>
      </c>
    </row>
    <row r="23" spans="1:18" ht="12.75" customHeight="1" x14ac:dyDescent="0.25"/>
    <row r="24" spans="1:18" ht="12.75" customHeight="1" x14ac:dyDescent="0.25">
      <c r="A24" s="92" t="s">
        <v>231</v>
      </c>
      <c r="C24" s="92" t="s">
        <v>232</v>
      </c>
      <c r="H24" s="92" t="s">
        <v>233</v>
      </c>
      <c r="K24" s="95">
        <v>5140.74</v>
      </c>
    </row>
    <row r="25" spans="1:18" ht="12.75" customHeight="1" x14ac:dyDescent="0.25"/>
    <row r="26" spans="1:18" ht="12.75" customHeight="1" x14ac:dyDescent="0.25">
      <c r="A26" s="92" t="s">
        <v>234</v>
      </c>
      <c r="C26" s="92" t="s">
        <v>235</v>
      </c>
      <c r="H26" s="92" t="s">
        <v>226</v>
      </c>
      <c r="K26" s="95">
        <v>1.8</v>
      </c>
    </row>
    <row r="27" spans="1:18" ht="12.75" customHeight="1" x14ac:dyDescent="0.25"/>
    <row r="28" spans="1:18" ht="12.75" customHeight="1" x14ac:dyDescent="0.25">
      <c r="A28" s="92" t="s">
        <v>7</v>
      </c>
      <c r="C28" s="92" t="s">
        <v>236</v>
      </c>
      <c r="H28" s="92" t="s">
        <v>226</v>
      </c>
      <c r="I28" s="95">
        <v>576</v>
      </c>
      <c r="K28" s="95">
        <v>4.63</v>
      </c>
      <c r="O28" s="95">
        <v>2666.88</v>
      </c>
    </row>
    <row r="29" spans="1:18" ht="12.75" customHeight="1" x14ac:dyDescent="0.25"/>
    <row r="30" spans="1:18" ht="12.75" customHeight="1" x14ac:dyDescent="0.25">
      <c r="A30" s="92" t="s">
        <v>237</v>
      </c>
      <c r="C30" s="92" t="s">
        <v>238</v>
      </c>
      <c r="H30" s="92" t="s">
        <v>229</v>
      </c>
      <c r="I30" s="95">
        <v>6</v>
      </c>
      <c r="K30" s="95">
        <v>4598.63</v>
      </c>
      <c r="O30" s="95">
        <v>27591.78</v>
      </c>
    </row>
    <row r="31" spans="1:18" ht="12.75" customHeight="1" x14ac:dyDescent="0.25"/>
    <row r="32" spans="1:18" ht="12.75" customHeight="1" x14ac:dyDescent="0.25">
      <c r="A32" s="92" t="s">
        <v>9</v>
      </c>
      <c r="E32" s="93" t="s">
        <v>239</v>
      </c>
      <c r="R32" s="94">
        <v>159927.96</v>
      </c>
    </row>
    <row r="33" spans="1:15" ht="12.75" customHeight="1" x14ac:dyDescent="0.25"/>
    <row r="34" spans="1:15" ht="12.75" customHeight="1" x14ac:dyDescent="0.25">
      <c r="A34" s="92" t="s">
        <v>10</v>
      </c>
      <c r="C34" s="92" t="s">
        <v>240</v>
      </c>
      <c r="H34" s="92" t="s">
        <v>241</v>
      </c>
      <c r="I34" s="95">
        <v>378</v>
      </c>
      <c r="K34" s="95">
        <v>17.010000000000002</v>
      </c>
      <c r="O34" s="95">
        <v>6429.78</v>
      </c>
    </row>
    <row r="35" spans="1:15" ht="12.75" customHeight="1" x14ac:dyDescent="0.25"/>
    <row r="36" spans="1:15" ht="12.75" customHeight="1" x14ac:dyDescent="0.25">
      <c r="A36" s="92" t="s">
        <v>12</v>
      </c>
      <c r="C36" s="92" t="s">
        <v>242</v>
      </c>
      <c r="H36" s="92" t="s">
        <v>241</v>
      </c>
      <c r="K36" s="95">
        <v>32.26</v>
      </c>
    </row>
    <row r="37" spans="1:15" ht="12.75" customHeight="1" x14ac:dyDescent="0.25"/>
    <row r="38" spans="1:15" ht="12.75" customHeight="1" x14ac:dyDescent="0.25">
      <c r="A38" s="92" t="s">
        <v>13</v>
      </c>
      <c r="C38" s="92" t="s">
        <v>243</v>
      </c>
      <c r="H38" s="92" t="s">
        <v>241</v>
      </c>
      <c r="I38" s="95">
        <v>252.5</v>
      </c>
      <c r="K38" s="95">
        <v>33.18</v>
      </c>
      <c r="O38" s="95">
        <v>8377.9500000000007</v>
      </c>
    </row>
    <row r="39" spans="1:15" ht="12.75" customHeight="1" x14ac:dyDescent="0.25"/>
    <row r="40" spans="1:15" ht="12.75" customHeight="1" x14ac:dyDescent="0.25">
      <c r="A40" s="92" t="s">
        <v>14</v>
      </c>
      <c r="C40" s="92" t="s">
        <v>244</v>
      </c>
      <c r="H40" s="92" t="s">
        <v>226</v>
      </c>
      <c r="K40" s="95">
        <v>62.01</v>
      </c>
    </row>
    <row r="41" spans="1:15" ht="12.75" customHeight="1" x14ac:dyDescent="0.25"/>
    <row r="42" spans="1:15" ht="12.75" customHeight="1" x14ac:dyDescent="0.25">
      <c r="A42" s="92" t="s">
        <v>14</v>
      </c>
      <c r="C42" s="92" t="s">
        <v>245</v>
      </c>
      <c r="H42" s="92" t="s">
        <v>241</v>
      </c>
      <c r="I42" s="95">
        <v>176</v>
      </c>
      <c r="K42" s="95">
        <v>19.850000000000001</v>
      </c>
      <c r="O42" s="95">
        <v>3493.6</v>
      </c>
    </row>
    <row r="43" spans="1:15" ht="12.75" customHeight="1" x14ac:dyDescent="0.25"/>
    <row r="44" spans="1:15" ht="12.75" customHeight="1" x14ac:dyDescent="0.25">
      <c r="A44" s="92" t="s">
        <v>246</v>
      </c>
      <c r="C44" s="92" t="s">
        <v>247</v>
      </c>
      <c r="H44" s="92" t="s">
        <v>226</v>
      </c>
      <c r="K44" s="95">
        <v>28.03</v>
      </c>
    </row>
    <row r="45" spans="1:15" ht="12.75" customHeight="1" x14ac:dyDescent="0.25"/>
    <row r="46" spans="1:15" ht="12.75" customHeight="1" x14ac:dyDescent="0.25">
      <c r="A46" s="92" t="s">
        <v>248</v>
      </c>
      <c r="C46" s="92" t="s">
        <v>249</v>
      </c>
      <c r="H46" s="92" t="s">
        <v>226</v>
      </c>
      <c r="I46" s="95">
        <v>302.8</v>
      </c>
      <c r="K46" s="95">
        <v>56.64</v>
      </c>
      <c r="O46" s="95">
        <v>17150.59</v>
      </c>
    </row>
    <row r="47" spans="1:15" ht="12.75" customHeight="1" x14ac:dyDescent="0.25"/>
    <row r="48" spans="1:15" ht="12.75" customHeight="1" x14ac:dyDescent="0.25">
      <c r="A48" s="92" t="s">
        <v>250</v>
      </c>
      <c r="C48" s="92" t="s">
        <v>251</v>
      </c>
      <c r="H48" s="92" t="s">
        <v>252</v>
      </c>
      <c r="I48" s="95">
        <v>7724.37</v>
      </c>
      <c r="K48" s="95">
        <v>5.27</v>
      </c>
      <c r="O48" s="95">
        <v>40707.43</v>
      </c>
    </row>
    <row r="49" spans="1:18" ht="12.75" customHeight="1" x14ac:dyDescent="0.25"/>
    <row r="50" spans="1:18" ht="12.75" customHeight="1" x14ac:dyDescent="0.25">
      <c r="A50" s="92" t="s">
        <v>253</v>
      </c>
      <c r="C50" s="92" t="s">
        <v>254</v>
      </c>
      <c r="H50" s="92" t="s">
        <v>241</v>
      </c>
      <c r="K50" s="95">
        <v>389.41</v>
      </c>
    </row>
    <row r="51" spans="1:18" ht="12.75" customHeight="1" x14ac:dyDescent="0.25"/>
    <row r="52" spans="1:18" ht="12.75" customHeight="1" x14ac:dyDescent="0.25">
      <c r="A52" s="92" t="s">
        <v>255</v>
      </c>
      <c r="E52" s="93" t="s">
        <v>256</v>
      </c>
      <c r="R52" s="94">
        <v>27798.75</v>
      </c>
    </row>
    <row r="53" spans="1:18" ht="12.75" customHeight="1" x14ac:dyDescent="0.25"/>
    <row r="54" spans="1:18" ht="12.75" customHeight="1" x14ac:dyDescent="0.25">
      <c r="A54" s="92" t="s">
        <v>257</v>
      </c>
      <c r="C54" s="92" t="s">
        <v>258</v>
      </c>
      <c r="H54" s="92" t="s">
        <v>241</v>
      </c>
      <c r="K54" s="95">
        <v>480.33</v>
      </c>
    </row>
    <row r="55" spans="1:18" ht="12.75" customHeight="1" x14ac:dyDescent="0.25"/>
    <row r="56" spans="1:18" ht="12.75" customHeight="1" x14ac:dyDescent="0.25">
      <c r="A56" s="92" t="s">
        <v>259</v>
      </c>
      <c r="C56" s="92" t="s">
        <v>260</v>
      </c>
      <c r="H56" s="92" t="s">
        <v>52</v>
      </c>
      <c r="K56" s="95">
        <v>1563.11</v>
      </c>
    </row>
    <row r="57" spans="1:18" ht="12.75" customHeight="1" x14ac:dyDescent="0.25"/>
    <row r="58" spans="1:18" ht="12.75" customHeight="1" x14ac:dyDescent="0.25">
      <c r="A58" s="92" t="s">
        <v>261</v>
      </c>
      <c r="C58" s="92" t="s">
        <v>262</v>
      </c>
      <c r="H58" s="92" t="s">
        <v>52</v>
      </c>
      <c r="K58" s="95">
        <v>1022.97</v>
      </c>
    </row>
    <row r="59" spans="1:18" ht="12.75" customHeight="1" x14ac:dyDescent="0.25"/>
    <row r="60" spans="1:18" ht="12.75" customHeight="1" x14ac:dyDescent="0.25">
      <c r="A60" s="92" t="s">
        <v>263</v>
      </c>
      <c r="C60" s="92" t="s">
        <v>264</v>
      </c>
      <c r="H60" s="92" t="s">
        <v>52</v>
      </c>
      <c r="K60" s="95">
        <v>58.57</v>
      </c>
    </row>
    <row r="61" spans="1:18" ht="12.75" customHeight="1" x14ac:dyDescent="0.25"/>
    <row r="62" spans="1:18" ht="12.75" customHeight="1" x14ac:dyDescent="0.25">
      <c r="A62" s="92" t="s">
        <v>265</v>
      </c>
      <c r="C62" s="92" t="s">
        <v>266</v>
      </c>
      <c r="H62" s="92" t="s">
        <v>226</v>
      </c>
      <c r="K62" s="95">
        <v>61.92</v>
      </c>
    </row>
    <row r="63" spans="1:18" ht="12.75" customHeight="1" x14ac:dyDescent="0.25"/>
    <row r="64" spans="1:18" ht="12.75" customHeight="1" x14ac:dyDescent="0.25">
      <c r="A64" s="92" t="s">
        <v>267</v>
      </c>
      <c r="C64" s="92" t="s">
        <v>268</v>
      </c>
      <c r="H64" s="92" t="s">
        <v>241</v>
      </c>
      <c r="K64" s="95">
        <v>75.78</v>
      </c>
    </row>
    <row r="65" spans="1:15" ht="12.75" customHeight="1" x14ac:dyDescent="0.25"/>
    <row r="66" spans="1:15" ht="12.75" customHeight="1" x14ac:dyDescent="0.25">
      <c r="A66" s="92" t="s">
        <v>269</v>
      </c>
      <c r="E66" s="93" t="s">
        <v>270</v>
      </c>
    </row>
    <row r="67" spans="1:15" ht="12.75" customHeight="1" x14ac:dyDescent="0.25"/>
    <row r="68" spans="1:15" ht="12.75" customHeight="1" x14ac:dyDescent="0.25">
      <c r="A68" s="92" t="s">
        <v>271</v>
      </c>
      <c r="C68" s="92" t="s">
        <v>272</v>
      </c>
      <c r="H68" s="92" t="s">
        <v>226</v>
      </c>
      <c r="I68" s="95">
        <v>240.95</v>
      </c>
      <c r="K68" s="95">
        <v>68.25</v>
      </c>
      <c r="O68" s="95">
        <v>16444.84</v>
      </c>
    </row>
    <row r="69" spans="1:15" ht="12.75" customHeight="1" x14ac:dyDescent="0.25"/>
    <row r="70" spans="1:15" ht="12.75" customHeight="1" x14ac:dyDescent="0.25">
      <c r="A70" s="92" t="s">
        <v>273</v>
      </c>
      <c r="C70" s="92" t="s">
        <v>251</v>
      </c>
      <c r="H70" s="92" t="s">
        <v>252</v>
      </c>
      <c r="I70" s="95">
        <v>8027.14</v>
      </c>
      <c r="K70" s="95">
        <v>5.27</v>
      </c>
      <c r="O70" s="95">
        <v>42303.03</v>
      </c>
    </row>
    <row r="71" spans="1:15" ht="12.75" customHeight="1" x14ac:dyDescent="0.25"/>
    <row r="72" spans="1:15" ht="12.75" customHeight="1" x14ac:dyDescent="0.25">
      <c r="A72" s="92" t="s">
        <v>274</v>
      </c>
      <c r="C72" s="92" t="s">
        <v>275</v>
      </c>
      <c r="H72" s="92" t="s">
        <v>276</v>
      </c>
      <c r="K72" s="95">
        <v>9.31</v>
      </c>
    </row>
    <row r="73" spans="1:15" ht="12.75" customHeight="1" x14ac:dyDescent="0.25"/>
    <row r="74" spans="1:15" ht="12.75" customHeight="1" x14ac:dyDescent="0.25">
      <c r="A74" s="92" t="s">
        <v>277</v>
      </c>
      <c r="C74" s="92" t="s">
        <v>278</v>
      </c>
      <c r="H74" s="92" t="s">
        <v>241</v>
      </c>
      <c r="K74" s="95">
        <v>427.5</v>
      </c>
    </row>
    <row r="75" spans="1:15" ht="12.75" customHeight="1" x14ac:dyDescent="0.25"/>
    <row r="76" spans="1:15" ht="12.75" customHeight="1" x14ac:dyDescent="0.25">
      <c r="A76" s="92" t="s">
        <v>279</v>
      </c>
      <c r="E76" s="93" t="s">
        <v>280</v>
      </c>
    </row>
    <row r="77" spans="1:15" ht="12.75" customHeight="1" x14ac:dyDescent="0.25"/>
    <row r="78" spans="1:15" ht="12.75" customHeight="1" x14ac:dyDescent="0.25">
      <c r="A78" s="92" t="s">
        <v>281</v>
      </c>
      <c r="C78" s="92" t="s">
        <v>272</v>
      </c>
      <c r="H78" s="92" t="s">
        <v>226</v>
      </c>
      <c r="I78" s="95">
        <v>90</v>
      </c>
      <c r="K78" s="95">
        <v>68.25</v>
      </c>
      <c r="O78" s="95">
        <v>6142.5</v>
      </c>
    </row>
    <row r="79" spans="1:15" ht="12.75" customHeight="1" x14ac:dyDescent="0.25"/>
    <row r="80" spans="1:15" ht="12.75" customHeight="1" x14ac:dyDescent="0.25">
      <c r="A80" s="92" t="s">
        <v>282</v>
      </c>
      <c r="C80" s="92" t="s">
        <v>251</v>
      </c>
      <c r="H80" s="92" t="s">
        <v>252</v>
      </c>
      <c r="I80" s="95">
        <v>3291.79</v>
      </c>
      <c r="K80" s="95">
        <v>5.27</v>
      </c>
      <c r="O80" s="95">
        <v>17347.73</v>
      </c>
    </row>
    <row r="81" spans="1:15" ht="12.75" customHeight="1" x14ac:dyDescent="0.25"/>
    <row r="82" spans="1:15" ht="12.75" customHeight="1" x14ac:dyDescent="0.25">
      <c r="A82" s="92" t="s">
        <v>283</v>
      </c>
      <c r="C82" s="92" t="s">
        <v>284</v>
      </c>
      <c r="H82" s="92" t="s">
        <v>241</v>
      </c>
      <c r="K82" s="95">
        <v>431.4</v>
      </c>
    </row>
    <row r="83" spans="1:15" ht="12.75" customHeight="1" x14ac:dyDescent="0.25"/>
    <row r="84" spans="1:15" ht="12.75" customHeight="1" x14ac:dyDescent="0.25">
      <c r="A84" s="92" t="s">
        <v>285</v>
      </c>
      <c r="E84" s="93" t="s">
        <v>286</v>
      </c>
    </row>
    <row r="85" spans="1:15" ht="12.75" customHeight="1" x14ac:dyDescent="0.25"/>
    <row r="86" spans="1:15" ht="12.75" customHeight="1" x14ac:dyDescent="0.25">
      <c r="A86" s="92" t="s">
        <v>287</v>
      </c>
      <c r="C86" s="92" t="s">
        <v>272</v>
      </c>
      <c r="H86" s="92" t="s">
        <v>226</v>
      </c>
      <c r="I86" s="95">
        <v>35</v>
      </c>
      <c r="K86" s="95">
        <v>68.25</v>
      </c>
      <c r="O86" s="95">
        <v>2388.75</v>
      </c>
    </row>
    <row r="87" spans="1:15" ht="12.75" customHeight="1" x14ac:dyDescent="0.25"/>
    <row r="88" spans="1:15" ht="12.75" customHeight="1" x14ac:dyDescent="0.25">
      <c r="A88" s="92" t="s">
        <v>288</v>
      </c>
      <c r="C88" s="92" t="s">
        <v>251</v>
      </c>
      <c r="H88" s="92" t="s">
        <v>252</v>
      </c>
      <c r="I88" s="95">
        <v>943.35</v>
      </c>
      <c r="K88" s="95">
        <v>5.27</v>
      </c>
      <c r="O88" s="95">
        <v>4971.45</v>
      </c>
    </row>
    <row r="89" spans="1:15" ht="12.75" customHeight="1" x14ac:dyDescent="0.25"/>
    <row r="90" spans="1:15" ht="12.75" customHeight="1" x14ac:dyDescent="0.25">
      <c r="A90" s="92" t="s">
        <v>289</v>
      </c>
      <c r="C90" s="92" t="s">
        <v>284</v>
      </c>
      <c r="H90" s="92" t="s">
        <v>241</v>
      </c>
      <c r="K90" s="95">
        <v>431.4</v>
      </c>
    </row>
    <row r="91" spans="1:15" ht="12.75" customHeight="1" x14ac:dyDescent="0.25"/>
    <row r="92" spans="1:15" ht="12.75" customHeight="1" x14ac:dyDescent="0.25">
      <c r="A92" s="92" t="s">
        <v>290</v>
      </c>
      <c r="E92" s="93" t="s">
        <v>291</v>
      </c>
    </row>
    <row r="93" spans="1:15" ht="12.75" customHeight="1" x14ac:dyDescent="0.25"/>
    <row r="94" spans="1:15" ht="12.75" customHeight="1" x14ac:dyDescent="0.25">
      <c r="A94" s="92" t="s">
        <v>292</v>
      </c>
      <c r="E94" s="93" t="s">
        <v>6</v>
      </c>
    </row>
    <row r="95" spans="1:15" ht="12.75" customHeight="1" x14ac:dyDescent="0.25"/>
    <row r="96" spans="1:15" ht="12.75" customHeight="1" x14ac:dyDescent="0.25">
      <c r="A96" s="92" t="s">
        <v>293</v>
      </c>
      <c r="C96" s="92" t="s">
        <v>236</v>
      </c>
      <c r="H96" s="92" t="s">
        <v>226</v>
      </c>
      <c r="I96" s="95">
        <v>576</v>
      </c>
      <c r="K96" s="95">
        <v>4.63</v>
      </c>
      <c r="O96" s="95">
        <v>2666.88</v>
      </c>
    </row>
    <row r="97" spans="1:15" ht="12.75" customHeight="1" x14ac:dyDescent="0.25"/>
    <row r="98" spans="1:15" ht="12.75" customHeight="1" x14ac:dyDescent="0.25">
      <c r="A98" s="92" t="s">
        <v>294</v>
      </c>
      <c r="E98" s="93" t="s">
        <v>11</v>
      </c>
    </row>
    <row r="99" spans="1:15" ht="12.75" customHeight="1" x14ac:dyDescent="0.25"/>
    <row r="100" spans="1:15" ht="12.75" customHeight="1" x14ac:dyDescent="0.25">
      <c r="A100" s="92" t="s">
        <v>295</v>
      </c>
      <c r="C100" s="92" t="s">
        <v>296</v>
      </c>
      <c r="H100" s="92" t="s">
        <v>241</v>
      </c>
      <c r="I100" s="95">
        <v>502.8</v>
      </c>
      <c r="K100" s="95">
        <v>8.85</v>
      </c>
      <c r="O100" s="95">
        <v>4449.78</v>
      </c>
    </row>
    <row r="101" spans="1:15" ht="12.75" customHeight="1" x14ac:dyDescent="0.25"/>
    <row r="102" spans="1:15" ht="12.75" customHeight="1" x14ac:dyDescent="0.25">
      <c r="A102" s="92" t="s">
        <v>297</v>
      </c>
      <c r="C102" s="92" t="s">
        <v>298</v>
      </c>
      <c r="H102" s="92" t="s">
        <v>241</v>
      </c>
      <c r="I102" s="95">
        <v>502.8</v>
      </c>
      <c r="K102" s="95">
        <v>8.85</v>
      </c>
      <c r="O102" s="95">
        <v>4449.78</v>
      </c>
    </row>
    <row r="103" spans="1:15" ht="12.75" customHeight="1" x14ac:dyDescent="0.25"/>
    <row r="104" spans="1:15" ht="12.75" customHeight="1" x14ac:dyDescent="0.25">
      <c r="A104" s="92" t="s">
        <v>299</v>
      </c>
      <c r="C104" s="92" t="s">
        <v>300</v>
      </c>
      <c r="H104" s="92" t="s">
        <v>241</v>
      </c>
      <c r="I104" s="95">
        <v>502.8</v>
      </c>
      <c r="K104" s="95">
        <v>4.3099999999999996</v>
      </c>
      <c r="O104" s="95">
        <v>2167.0700000000002</v>
      </c>
    </row>
    <row r="105" spans="1:15" ht="12.75" customHeight="1" x14ac:dyDescent="0.25"/>
    <row r="106" spans="1:15" ht="12.75" customHeight="1" x14ac:dyDescent="0.25">
      <c r="A106" s="92" t="s">
        <v>301</v>
      </c>
      <c r="C106" s="92" t="s">
        <v>302</v>
      </c>
      <c r="H106" s="92" t="s">
        <v>241</v>
      </c>
      <c r="I106" s="95">
        <v>502.8</v>
      </c>
      <c r="K106" s="95">
        <v>22.44</v>
      </c>
      <c r="O106" s="95">
        <v>11282.83</v>
      </c>
    </row>
    <row r="107" spans="1:15" ht="12.75" customHeight="1" x14ac:dyDescent="0.25"/>
    <row r="108" spans="1:15" ht="12.75" customHeight="1" x14ac:dyDescent="0.25">
      <c r="A108" s="92" t="s">
        <v>301</v>
      </c>
      <c r="C108" s="92" t="s">
        <v>303</v>
      </c>
      <c r="H108" s="92" t="s">
        <v>241</v>
      </c>
      <c r="K108" s="95">
        <v>7.81</v>
      </c>
    </row>
    <row r="109" spans="1:15" ht="12.75" customHeight="1" x14ac:dyDescent="0.25"/>
    <row r="110" spans="1:15" ht="12.75" customHeight="1" x14ac:dyDescent="0.25">
      <c r="A110" s="92" t="s">
        <v>304</v>
      </c>
      <c r="C110" s="92" t="s">
        <v>305</v>
      </c>
      <c r="H110" s="92" t="s">
        <v>241</v>
      </c>
      <c r="K110" s="95">
        <v>6.95</v>
      </c>
    </row>
    <row r="111" spans="1:15" ht="12.75" customHeight="1" x14ac:dyDescent="0.25"/>
    <row r="112" spans="1:15" ht="12.75" customHeight="1" x14ac:dyDescent="0.25">
      <c r="A112" s="92" t="s">
        <v>306</v>
      </c>
      <c r="C112" s="92" t="s">
        <v>307</v>
      </c>
      <c r="H112" s="92" t="s">
        <v>226</v>
      </c>
      <c r="K112" s="95">
        <v>32.409999999999997</v>
      </c>
    </row>
    <row r="113" spans="1:15" ht="12.75" customHeight="1" x14ac:dyDescent="0.25"/>
    <row r="114" spans="1:15" ht="12.75" customHeight="1" x14ac:dyDescent="0.25">
      <c r="A114" s="92" t="s">
        <v>308</v>
      </c>
      <c r="E114" s="93" t="s">
        <v>309</v>
      </c>
    </row>
    <row r="115" spans="1:15" ht="12.75" customHeight="1" x14ac:dyDescent="0.25"/>
    <row r="116" spans="1:15" ht="12.75" customHeight="1" x14ac:dyDescent="0.25">
      <c r="A116" s="92" t="s">
        <v>310</v>
      </c>
      <c r="E116" s="93" t="s">
        <v>6</v>
      </c>
    </row>
    <row r="117" spans="1:15" ht="12.75" customHeight="1" x14ac:dyDescent="0.25"/>
    <row r="118" spans="1:15" ht="12.75" customHeight="1" x14ac:dyDescent="0.25">
      <c r="A118" s="92" t="s">
        <v>311</v>
      </c>
      <c r="C118" s="92" t="s">
        <v>235</v>
      </c>
      <c r="H118" s="92" t="s">
        <v>226</v>
      </c>
      <c r="K118" s="95">
        <v>1.8</v>
      </c>
    </row>
    <row r="119" spans="1:15" ht="12.75" customHeight="1" x14ac:dyDescent="0.25"/>
    <row r="120" spans="1:15" ht="12.75" customHeight="1" x14ac:dyDescent="0.25">
      <c r="A120" s="92" t="s">
        <v>312</v>
      </c>
      <c r="C120" s="92" t="s">
        <v>236</v>
      </c>
      <c r="H120" s="92" t="s">
        <v>226</v>
      </c>
      <c r="I120" s="95">
        <v>576</v>
      </c>
      <c r="K120" s="95">
        <v>4.63</v>
      </c>
      <c r="O120" s="95">
        <v>2666.88</v>
      </c>
    </row>
    <row r="121" spans="1:15" ht="12.75" customHeight="1" x14ac:dyDescent="0.25"/>
    <row r="122" spans="1:15" ht="12.75" customHeight="1" x14ac:dyDescent="0.25">
      <c r="A122" s="92" t="s">
        <v>313</v>
      </c>
      <c r="E122" s="93" t="s">
        <v>11</v>
      </c>
    </row>
    <row r="123" spans="1:15" ht="12.75" customHeight="1" x14ac:dyDescent="0.25"/>
    <row r="124" spans="1:15" ht="12.75" customHeight="1" x14ac:dyDescent="0.25">
      <c r="A124" s="92" t="s">
        <v>314</v>
      </c>
      <c r="C124" s="92" t="s">
        <v>240</v>
      </c>
      <c r="H124" s="92" t="s">
        <v>241</v>
      </c>
      <c r="I124" s="95">
        <v>378</v>
      </c>
      <c r="K124" s="95">
        <v>17.010000000000002</v>
      </c>
      <c r="O124" s="95">
        <v>6429.78</v>
      </c>
    </row>
    <row r="125" spans="1:15" ht="12.75" customHeight="1" x14ac:dyDescent="0.25"/>
    <row r="126" spans="1:15" ht="12.75" customHeight="1" x14ac:dyDescent="0.25">
      <c r="A126" s="92" t="s">
        <v>315</v>
      </c>
      <c r="C126" s="92" t="s">
        <v>243</v>
      </c>
      <c r="H126" s="92" t="s">
        <v>241</v>
      </c>
      <c r="I126" s="95">
        <v>252.5</v>
      </c>
      <c r="K126" s="95">
        <v>33.18</v>
      </c>
      <c r="O126" s="95">
        <v>8377.9500000000007</v>
      </c>
    </row>
    <row r="127" spans="1:15" ht="12.75" customHeight="1" x14ac:dyDescent="0.25"/>
    <row r="128" spans="1:15" ht="12.75" customHeight="1" x14ac:dyDescent="0.25">
      <c r="A128" s="92" t="s">
        <v>316</v>
      </c>
      <c r="C128" s="92" t="s">
        <v>244</v>
      </c>
      <c r="H128" s="92" t="s">
        <v>226</v>
      </c>
      <c r="K128" s="95">
        <v>62.01</v>
      </c>
    </row>
    <row r="129" spans="1:18" ht="12.75" customHeight="1" x14ac:dyDescent="0.25"/>
    <row r="130" spans="1:18" ht="12.75" customHeight="1" x14ac:dyDescent="0.25">
      <c r="A130" s="92" t="s">
        <v>317</v>
      </c>
      <c r="C130" s="92" t="s">
        <v>245</v>
      </c>
      <c r="H130" s="92" t="s">
        <v>241</v>
      </c>
      <c r="I130" s="95">
        <v>176</v>
      </c>
      <c r="K130" s="95">
        <v>22.07</v>
      </c>
      <c r="O130" s="95">
        <v>3884.32</v>
      </c>
    </row>
    <row r="131" spans="1:18" ht="12.75" customHeight="1" x14ac:dyDescent="0.25"/>
    <row r="132" spans="1:18" ht="12.75" customHeight="1" x14ac:dyDescent="0.25">
      <c r="A132" s="92" t="s">
        <v>318</v>
      </c>
      <c r="E132" s="93" t="s">
        <v>319</v>
      </c>
    </row>
    <row r="133" spans="1:18" ht="12.75" customHeight="1" x14ac:dyDescent="0.25"/>
    <row r="134" spans="1:18" ht="12.75" customHeight="1" x14ac:dyDescent="0.25">
      <c r="A134" s="92" t="s">
        <v>320</v>
      </c>
      <c r="C134" s="92" t="s">
        <v>321</v>
      </c>
      <c r="H134" s="92" t="s">
        <v>241</v>
      </c>
      <c r="K134" s="95">
        <v>207.31</v>
      </c>
    </row>
    <row r="135" spans="1:18" ht="12.75" customHeight="1" x14ac:dyDescent="0.25"/>
    <row r="136" spans="1:18" ht="12.75" customHeight="1" x14ac:dyDescent="0.25">
      <c r="A136" s="92" t="s">
        <v>322</v>
      </c>
      <c r="C136" s="92" t="s">
        <v>323</v>
      </c>
      <c r="H136" s="92" t="s">
        <v>226</v>
      </c>
      <c r="K136" s="95">
        <v>74.14</v>
      </c>
    </row>
    <row r="137" spans="1:18" ht="12.75" customHeight="1" x14ac:dyDescent="0.25"/>
    <row r="138" spans="1:18" ht="12.75" customHeight="1" x14ac:dyDescent="0.25">
      <c r="A138" s="92" t="s">
        <v>324</v>
      </c>
      <c r="E138" s="93" t="s">
        <v>325</v>
      </c>
      <c r="R138" s="94">
        <v>22667.599999999999</v>
      </c>
    </row>
    <row r="139" spans="1:18" ht="12.75" customHeight="1" x14ac:dyDescent="0.25"/>
    <row r="140" spans="1:18" ht="12.75" customHeight="1" x14ac:dyDescent="0.25">
      <c r="A140" s="92" t="s">
        <v>326</v>
      </c>
      <c r="C140" s="92" t="s">
        <v>327</v>
      </c>
      <c r="H140" s="92" t="s">
        <v>52</v>
      </c>
      <c r="I140" s="95">
        <v>2</v>
      </c>
      <c r="K140" s="95">
        <v>3106.52</v>
      </c>
      <c r="O140" s="95">
        <v>6213.04</v>
      </c>
    </row>
    <row r="141" spans="1:18" ht="12.75" customHeight="1" x14ac:dyDescent="0.25"/>
    <row r="142" spans="1:18" ht="12.75" customHeight="1" x14ac:dyDescent="0.25">
      <c r="A142" s="92" t="s">
        <v>328</v>
      </c>
      <c r="C142" s="92" t="s">
        <v>329</v>
      </c>
      <c r="H142" s="92" t="s">
        <v>52</v>
      </c>
      <c r="I142" s="95">
        <v>2</v>
      </c>
      <c r="K142" s="95">
        <v>4606.5200000000004</v>
      </c>
      <c r="O142" s="95">
        <v>9213.0400000000009</v>
      </c>
    </row>
    <row r="143" spans="1:18" ht="12.75" customHeight="1" x14ac:dyDescent="0.25"/>
    <row r="144" spans="1:18" ht="12.75" customHeight="1" x14ac:dyDescent="0.25">
      <c r="A144" s="92" t="s">
        <v>330</v>
      </c>
      <c r="C144" s="92" t="s">
        <v>331</v>
      </c>
      <c r="H144" s="92" t="s">
        <v>62</v>
      </c>
      <c r="I144" s="95">
        <v>19.2</v>
      </c>
      <c r="K144" s="95">
        <v>8.6999999999999993</v>
      </c>
      <c r="O144" s="95">
        <v>167.04</v>
      </c>
    </row>
    <row r="145" spans="1:15" ht="12.75" customHeight="1" x14ac:dyDescent="0.25"/>
    <row r="146" spans="1:15" ht="12.75" customHeight="1" x14ac:dyDescent="0.25">
      <c r="A146" s="92" t="s">
        <v>332</v>
      </c>
      <c r="C146" s="92" t="s">
        <v>333</v>
      </c>
      <c r="H146" s="92" t="s">
        <v>62</v>
      </c>
      <c r="I146" s="95">
        <v>7.2</v>
      </c>
      <c r="K146" s="95">
        <v>166.09</v>
      </c>
      <c r="O146" s="95">
        <v>1195.8499999999999</v>
      </c>
    </row>
    <row r="147" spans="1:15" ht="12.75" customHeight="1" x14ac:dyDescent="0.25"/>
    <row r="148" spans="1:15" ht="12.75" customHeight="1" x14ac:dyDescent="0.25">
      <c r="A148" s="92" t="s">
        <v>334</v>
      </c>
      <c r="C148" s="92" t="s">
        <v>335</v>
      </c>
      <c r="H148" s="92" t="s">
        <v>62</v>
      </c>
      <c r="I148" s="95">
        <v>50</v>
      </c>
      <c r="K148" s="95">
        <v>798.3</v>
      </c>
      <c r="O148" s="95">
        <v>39915</v>
      </c>
    </row>
    <row r="149" spans="1:15" ht="12.75" customHeight="1" x14ac:dyDescent="0.25"/>
    <row r="150" spans="1:15" ht="12.75" customHeight="1" x14ac:dyDescent="0.25">
      <c r="A150" s="92" t="s">
        <v>336</v>
      </c>
      <c r="C150" s="92" t="s">
        <v>337</v>
      </c>
      <c r="H150" s="92" t="s">
        <v>226</v>
      </c>
      <c r="I150" s="95">
        <v>81.599999999999994</v>
      </c>
      <c r="K150" s="95">
        <v>8.57</v>
      </c>
      <c r="O150" s="95">
        <v>699.31</v>
      </c>
    </row>
    <row r="151" spans="1:15" ht="12.75" customHeight="1" x14ac:dyDescent="0.25"/>
    <row r="152" spans="1:15" ht="12.75" customHeight="1" x14ac:dyDescent="0.25">
      <c r="A152" s="92" t="s">
        <v>338</v>
      </c>
      <c r="C152" s="92" t="s">
        <v>339</v>
      </c>
      <c r="H152" s="92" t="s">
        <v>62</v>
      </c>
      <c r="I152" s="95">
        <v>6</v>
      </c>
      <c r="K152" s="95">
        <v>13.27</v>
      </c>
      <c r="O152" s="95">
        <v>79.62</v>
      </c>
    </row>
    <row r="153" spans="1:15" ht="12.75" customHeight="1" x14ac:dyDescent="0.25"/>
    <row r="154" spans="1:15" ht="12.75" customHeight="1" x14ac:dyDescent="0.25">
      <c r="A154" s="92" t="s">
        <v>340</v>
      </c>
      <c r="C154" s="92" t="s">
        <v>341</v>
      </c>
      <c r="H154" s="92" t="s">
        <v>52</v>
      </c>
      <c r="I154" s="95">
        <v>1</v>
      </c>
      <c r="K154" s="95">
        <v>700</v>
      </c>
      <c r="O154" s="95">
        <v>700</v>
      </c>
    </row>
    <row r="155" spans="1:15" ht="12.75" customHeight="1" x14ac:dyDescent="0.25"/>
    <row r="156" spans="1:15" ht="12.75" customHeight="1" x14ac:dyDescent="0.25">
      <c r="A156" s="92" t="s">
        <v>342</v>
      </c>
      <c r="E156" s="93" t="s">
        <v>343</v>
      </c>
    </row>
    <row r="157" spans="1:15" ht="12.75" customHeight="1" x14ac:dyDescent="0.25"/>
    <row r="158" spans="1:15" ht="12.75" customHeight="1" x14ac:dyDescent="0.25">
      <c r="A158" s="92" t="s">
        <v>344</v>
      </c>
      <c r="C158" s="92" t="s">
        <v>345</v>
      </c>
      <c r="H158" s="92" t="s">
        <v>52</v>
      </c>
      <c r="K158" s="95">
        <v>486.46</v>
      </c>
    </row>
    <row r="159" spans="1:15" ht="12.75" customHeight="1" x14ac:dyDescent="0.25"/>
    <row r="160" spans="1:15" ht="12.75" customHeight="1" x14ac:dyDescent="0.25">
      <c r="A160" s="92" t="s">
        <v>346</v>
      </c>
      <c r="C160" s="92" t="s">
        <v>347</v>
      </c>
      <c r="H160" s="92" t="s">
        <v>52</v>
      </c>
      <c r="K160" s="95">
        <v>636.46</v>
      </c>
    </row>
    <row r="161" spans="1:18" ht="12.75" customHeight="1" x14ac:dyDescent="0.25"/>
    <row r="162" spans="1:18" ht="12.75" customHeight="1" x14ac:dyDescent="0.25">
      <c r="A162" s="92" t="s">
        <v>348</v>
      </c>
      <c r="C162" s="92" t="s">
        <v>349</v>
      </c>
      <c r="H162" s="92" t="s">
        <v>52</v>
      </c>
      <c r="K162" s="95">
        <v>536.46</v>
      </c>
    </row>
    <row r="163" spans="1:18" ht="12.75" customHeight="1" x14ac:dyDescent="0.25"/>
    <row r="164" spans="1:18" ht="12.75" customHeight="1" x14ac:dyDescent="0.25">
      <c r="A164" s="92" t="s">
        <v>350</v>
      </c>
      <c r="C164" s="92" t="s">
        <v>351</v>
      </c>
      <c r="H164" s="92" t="s">
        <v>62</v>
      </c>
      <c r="K164" s="95">
        <v>10.16</v>
      </c>
    </row>
    <row r="165" spans="1:18" ht="12.75" customHeight="1" x14ac:dyDescent="0.25"/>
    <row r="166" spans="1:18" ht="12.75" customHeight="1" x14ac:dyDescent="0.25">
      <c r="A166" s="92" t="s">
        <v>352</v>
      </c>
      <c r="C166" s="92" t="s">
        <v>353</v>
      </c>
      <c r="H166" s="92" t="s">
        <v>226</v>
      </c>
      <c r="I166" s="95">
        <v>12.5</v>
      </c>
      <c r="K166" s="95">
        <v>16.48</v>
      </c>
      <c r="O166" s="95">
        <v>206</v>
      </c>
    </row>
    <row r="167" spans="1:18" ht="12.75" customHeight="1" x14ac:dyDescent="0.25"/>
    <row r="168" spans="1:18" ht="12.75" customHeight="1" x14ac:dyDescent="0.25">
      <c r="A168" s="92" t="s">
        <v>354</v>
      </c>
      <c r="E168" s="93" t="s">
        <v>355</v>
      </c>
      <c r="R168" s="94">
        <v>2800.59</v>
      </c>
    </row>
    <row r="169" spans="1:18" ht="12.75" customHeight="1" x14ac:dyDescent="0.25"/>
    <row r="170" spans="1:18" ht="12.75" customHeight="1" x14ac:dyDescent="0.25">
      <c r="A170" s="92" t="s">
        <v>356</v>
      </c>
      <c r="C170" s="92" t="s">
        <v>357</v>
      </c>
      <c r="H170" s="92" t="s">
        <v>226</v>
      </c>
      <c r="I170" s="95">
        <v>600</v>
      </c>
      <c r="K170" s="95">
        <v>4.2</v>
      </c>
      <c r="O170" s="95">
        <v>2520</v>
      </c>
    </row>
    <row r="171" spans="1:18" ht="12.75" customHeight="1" x14ac:dyDescent="0.25"/>
    <row r="172" spans="1:18" ht="12.75" customHeight="1" x14ac:dyDescent="0.25">
      <c r="A172" s="92" t="s">
        <v>358</v>
      </c>
      <c r="C172" s="92" t="s">
        <v>359</v>
      </c>
      <c r="H172" s="92" t="s">
        <v>226</v>
      </c>
      <c r="I172" s="95">
        <v>18</v>
      </c>
      <c r="K172" s="95">
        <v>2.0099999999999998</v>
      </c>
      <c r="O172" s="95">
        <v>36.18</v>
      </c>
    </row>
    <row r="173" spans="1:18" ht="12.75" customHeight="1" x14ac:dyDescent="0.25"/>
    <row r="174" spans="1:18" ht="12.75" customHeight="1" x14ac:dyDescent="0.25">
      <c r="A174" s="92" t="s">
        <v>360</v>
      </c>
      <c r="E174" s="93" t="s">
        <v>361</v>
      </c>
      <c r="R174" s="94">
        <v>5000</v>
      </c>
    </row>
    <row r="175" spans="1:18" ht="12.75" customHeight="1" x14ac:dyDescent="0.25"/>
    <row r="176" spans="1:18" ht="12.75" customHeight="1" x14ac:dyDescent="0.25">
      <c r="A176" s="92" t="s">
        <v>362</v>
      </c>
      <c r="C176" s="92" t="s">
        <v>363</v>
      </c>
      <c r="H176" s="92" t="s">
        <v>52</v>
      </c>
      <c r="I176" s="95">
        <v>3</v>
      </c>
      <c r="K176" s="95">
        <v>1200</v>
      </c>
      <c r="O176" s="95">
        <v>3600</v>
      </c>
    </row>
    <row r="177" spans="1:18" ht="12.75" customHeight="1" x14ac:dyDescent="0.25"/>
    <row r="178" spans="1:18" ht="12.75" customHeight="1" x14ac:dyDescent="0.25">
      <c r="A178" s="92" t="s">
        <v>364</v>
      </c>
      <c r="C178" s="92" t="s">
        <v>365</v>
      </c>
      <c r="H178" s="92" t="s">
        <v>52</v>
      </c>
      <c r="I178" s="95">
        <v>1</v>
      </c>
      <c r="K178" s="95">
        <v>400</v>
      </c>
      <c r="O178" s="95">
        <v>400</v>
      </c>
    </row>
    <row r="179" spans="1:18" ht="12.75" customHeight="1" x14ac:dyDescent="0.25"/>
    <row r="180" spans="1:18" ht="12.75" customHeight="1" x14ac:dyDescent="0.25">
      <c r="A180" s="92" t="s">
        <v>366</v>
      </c>
      <c r="C180" s="92" t="s">
        <v>367</v>
      </c>
      <c r="H180" s="92" t="s">
        <v>52</v>
      </c>
      <c r="I180" s="95">
        <v>2</v>
      </c>
      <c r="K180" s="95">
        <v>500</v>
      </c>
      <c r="O180" s="95">
        <v>1000</v>
      </c>
    </row>
    <row r="181" spans="1:18" ht="12.75" customHeight="1" x14ac:dyDescent="0.25"/>
    <row r="182" spans="1:18" ht="12.75" customHeight="1" x14ac:dyDescent="0.25">
      <c r="A182" s="92" t="s">
        <v>368</v>
      </c>
      <c r="E182" s="93" t="s">
        <v>369</v>
      </c>
      <c r="R182" s="94">
        <v>26167.200000000001</v>
      </c>
    </row>
    <row r="183" spans="1:18" ht="12.75" customHeight="1" x14ac:dyDescent="0.25"/>
    <row r="184" spans="1:18" ht="12.75" customHeight="1" x14ac:dyDescent="0.25">
      <c r="A184" s="92" t="s">
        <v>370</v>
      </c>
      <c r="C184" s="92" t="s">
        <v>371</v>
      </c>
      <c r="H184" s="92" t="s">
        <v>372</v>
      </c>
      <c r="I184" s="95">
        <v>218.06</v>
      </c>
      <c r="K184" s="95">
        <v>120</v>
      </c>
      <c r="O184" s="95">
        <v>26167.200000000001</v>
      </c>
    </row>
    <row r="185" spans="1:18" ht="12.75" customHeight="1" x14ac:dyDescent="0.25"/>
    <row r="186" spans="1:18" ht="12.75" customHeight="1" x14ac:dyDescent="0.25">
      <c r="I186" s="96" t="s">
        <v>373</v>
      </c>
      <c r="J186" s="97">
        <v>41254.838900462964</v>
      </c>
    </row>
    <row r="187" spans="1:18" ht="12.75" customHeight="1" x14ac:dyDescent="0.25"/>
    <row r="188" spans="1:18" ht="12.75" customHeight="1" x14ac:dyDescent="0.25"/>
    <row r="189" spans="1:18" ht="12.75" customHeight="1" x14ac:dyDescent="0.25"/>
    <row r="190" spans="1:18" ht="12.75" customHeight="1" x14ac:dyDescent="0.25"/>
    <row r="191" spans="1:18" ht="12.75" customHeight="1" x14ac:dyDescent="0.25"/>
    <row r="192" spans="1:18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Metrado Estructuras</vt:lpstr>
      <vt:lpstr>METRADO</vt:lpstr>
      <vt:lpstr>Hoja1</vt:lpstr>
      <vt:lpstr>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Jorge Luis dueñas ttito</cp:lastModifiedBy>
  <dcterms:created xsi:type="dcterms:W3CDTF">2026-03-11T04:21:51Z</dcterms:created>
  <dcterms:modified xsi:type="dcterms:W3CDTF">2026-03-11T04:21:52Z</dcterms:modified>
</cp:coreProperties>
</file>